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bgoworks.sharepoint.com/sites/BML_Dispo-PlanungNOS/Freigegebene Dokumente/Planung NOS/10_Excel_Wocheneinteilung_Intern_NOS/testing/"/>
    </mc:Choice>
  </mc:AlternateContent>
  <xr:revisionPtr revIDLastSave="46650" documentId="8_{41020BEB-598C-44AA-9DF1-8206EA4A2BC9}" xr6:coauthVersionLast="47" xr6:coauthVersionMax="47" xr10:uidLastSave="{22169CFD-5E1A-4A2D-A397-BBB17852C258}"/>
  <bookViews>
    <workbookView xWindow="-28920" yWindow="5235" windowWidth="29040" windowHeight="15720" firstSheet="1" activeTab="1" xr2:uid="{00000000-000D-0000-FFFF-FFFF00000000}"/>
  </bookViews>
  <sheets>
    <sheet name="Sheet2" sheetId="2" state="hidden" r:id="rId1"/>
    <sheet name="Sheet" sheetId="357" r:id="rId2"/>
    <sheet name="TourSummary" sheetId="350" r:id="rId3"/>
    <sheet name="Tour_Summary_Template" sheetId="351" r:id="rId4"/>
    <sheet name="Frachtbrief_Template" sheetId="353" r:id="rId5"/>
    <sheet name="Emoji" sheetId="354" r:id="rId6"/>
    <sheet name="Zellen_Infos" sheetId="355" r:id="rId7"/>
    <sheet name="Sheet_Wien" sheetId="1" r:id="rId8"/>
    <sheet name="INSB_OLD_Sheet" sheetId="356" r:id="rId9"/>
  </sheets>
  <functionGroups builtInGroupCount="19"/>
  <definedNames>
    <definedName name="_xlnm._FilterDatabase" localSheetId="8" hidden="1">INSB_OLD_Sheet!$A$1:$BM$19</definedName>
    <definedName name="_xlnm._FilterDatabase" localSheetId="1" hidden="1">Sheet!$A$1:$BM$101</definedName>
    <definedName name="_xlnm._FilterDatabase" localSheetId="7" hidden="1">Sheet_Wien!$A$1:$BH$28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4" i="357" l="1"/>
  <c r="D94" i="357"/>
  <c r="C94" i="357"/>
  <c r="E91" i="357"/>
  <c r="D91" i="357"/>
  <c r="C91" i="357"/>
  <c r="E75" i="357"/>
  <c r="D75" i="357"/>
  <c r="C75" i="357"/>
  <c r="E73" i="357"/>
  <c r="D73" i="357"/>
  <c r="C73" i="357"/>
  <c r="E69" i="357"/>
  <c r="D69" i="357"/>
  <c r="C69" i="357"/>
  <c r="E59" i="357"/>
  <c r="D59" i="357"/>
  <c r="C59" i="357"/>
  <c r="E57" i="357"/>
  <c r="D57" i="357"/>
  <c r="C57" i="357"/>
  <c r="E54" i="357"/>
  <c r="D54" i="357"/>
  <c r="C54" i="357"/>
  <c r="E49" i="357"/>
  <c r="D49" i="357"/>
  <c r="C49" i="357"/>
  <c r="E41" i="357"/>
  <c r="D41" i="357"/>
  <c r="C41" i="357"/>
  <c r="E38" i="357"/>
  <c r="D38" i="357"/>
  <c r="C38" i="357"/>
  <c r="E33" i="357"/>
  <c r="D33" i="357"/>
  <c r="C33" i="357"/>
  <c r="E28" i="357"/>
  <c r="D28" i="357"/>
  <c r="C28" i="357"/>
  <c r="E26" i="357"/>
  <c r="D26" i="357"/>
  <c r="C26" i="357"/>
  <c r="E21" i="357"/>
  <c r="D21" i="357"/>
  <c r="C21" i="357"/>
  <c r="E6" i="357"/>
  <c r="D6" i="357"/>
  <c r="C6" i="357"/>
  <c r="E4" i="357"/>
  <c r="D4" i="357"/>
  <c r="C4" i="357"/>
  <c r="E2" i="357"/>
  <c r="D2" i="357"/>
  <c r="C2" i="357"/>
  <c r="E15" i="356"/>
  <c r="D15" i="356"/>
  <c r="C15" i="356"/>
  <c r="E6" i="356"/>
  <c r="D6" i="356"/>
  <c r="C6" i="356"/>
  <c r="E4" i="356"/>
  <c r="D4" i="356"/>
  <c r="C4" i="356"/>
  <c r="E2" i="356"/>
  <c r="D2" i="356"/>
  <c r="C2" i="356"/>
  <c r="E7" i="1"/>
  <c r="D7" i="1"/>
  <c r="C7" i="1"/>
  <c r="E5" i="1"/>
  <c r="D5" i="1"/>
  <c r="C5" i="1"/>
  <c r="E2" i="1"/>
  <c r="D2" i="1"/>
  <c r="C2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<sst xmlns="http://schemas.openxmlformats.org/spreadsheetml/2006/main" count="6666" uniqueCount="1591">
  <si>
    <t>Tournummer</t>
  </si>
  <si>
    <t>Tourname</t>
  </si>
  <si>
    <t>Stopreihenfolge</t>
  </si>
  <si>
    <t>Gewicht (kg)</t>
  </si>
  <si>
    <t>Volumen (m³)</t>
  </si>
  <si>
    <t>Zuletzt geändert durch</t>
  </si>
  <si>
    <t>Dispotopf</t>
  </si>
  <si>
    <t>Lieferwoche</t>
  </si>
  <si>
    <t>Verkehrsträger</t>
  </si>
  <si>
    <t>Auftragsvariante</t>
  </si>
  <si>
    <t>Fahrttyp</t>
  </si>
  <si>
    <t>AB Nummer</t>
  </si>
  <si>
    <t>Auftragsnummer</t>
  </si>
  <si>
    <t>Fahrtnummer</t>
  </si>
  <si>
    <t>Fixtermin</t>
  </si>
  <si>
    <t>Liefertag_System</t>
  </si>
  <si>
    <t>Leistungsdatum</t>
  </si>
  <si>
    <t>System Zustelldatum</t>
  </si>
  <si>
    <t>Beladestelle</t>
  </si>
  <si>
    <t>1. B Straße</t>
  </si>
  <si>
    <t>1. B PLZ</t>
  </si>
  <si>
    <t>1. B Ort</t>
  </si>
  <si>
    <t>1. B Land</t>
  </si>
  <si>
    <t>1. B Länderkürzel</t>
  </si>
  <si>
    <t>Fahrzeug</t>
  </si>
  <si>
    <t>Kennzeichen</t>
  </si>
  <si>
    <t>Frachtführer</t>
  </si>
  <si>
    <t>Containerfolge</t>
  </si>
  <si>
    <t>Wechselbrücke 1</t>
  </si>
  <si>
    <t>Wechselbrücke 2</t>
  </si>
  <si>
    <t>Verladereihenfolge</t>
  </si>
  <si>
    <t>Entladestart</t>
  </si>
  <si>
    <t>AVIS Datum</t>
  </si>
  <si>
    <t>Avisiert</t>
  </si>
  <si>
    <t>Stückzahl Gesamt</t>
  </si>
  <si>
    <t>Empfänger</t>
  </si>
  <si>
    <t>Empf. Str.</t>
  </si>
  <si>
    <t>Empf. Ort</t>
  </si>
  <si>
    <t>Empf. Plz.</t>
  </si>
  <si>
    <t>Empf. Land</t>
  </si>
  <si>
    <t>Kommission</t>
  </si>
  <si>
    <t>AB Info</t>
  </si>
  <si>
    <t>Gebäudeinfo</t>
  </si>
  <si>
    <t>Wichtiger Hinweis Auftrag</t>
  </si>
  <si>
    <t>Anlieferinfo</t>
  </si>
  <si>
    <t>Bemerkung Abrechnung</t>
  </si>
  <si>
    <t>Packstück Artikeltypen</t>
  </si>
  <si>
    <t>Warenbeschreibung</t>
  </si>
  <si>
    <t>Ladungsinhalte aller B</t>
  </si>
  <si>
    <t>Zollware</t>
  </si>
  <si>
    <t>Mitarbeiter</t>
  </si>
  <si>
    <t>Tourstrecke</t>
  </si>
  <si>
    <t>Routenplaner Gesamtkilometer</t>
  </si>
  <si>
    <t>Gesamt_Dauer</t>
  </si>
  <si>
    <t>Montagezeit gesamt</t>
  </si>
  <si>
    <t>Vertragezeit gesamt</t>
  </si>
  <si>
    <t>Arbeitszeit</t>
  </si>
  <si>
    <t>Ansprechpartner</t>
  </si>
  <si>
    <t>Ansprechpartner Telefon</t>
  </si>
  <si>
    <t>Ansprechpartner E-Mail</t>
  </si>
  <si>
    <t>CS</t>
  </si>
  <si>
    <t>Zone A</t>
  </si>
  <si>
    <t>202515</t>
  </si>
  <si>
    <t>Selbstmontage</t>
  </si>
  <si>
    <t>Selbstabholung</t>
  </si>
  <si>
    <t>False</t>
  </si>
  <si>
    <t>Neudoerfler Office Systems GmbH</t>
  </si>
  <si>
    <t>Kommerzialrat-Karl-Markon-Straße 530</t>
  </si>
  <si>
    <t>7201</t>
  </si>
  <si>
    <t>Neudörfl</t>
  </si>
  <si>
    <t>Österreich</t>
  </si>
  <si>
    <t>A</t>
  </si>
  <si>
    <t>WERK INTERN</t>
  </si>
  <si>
    <t/>
  </si>
  <si>
    <t>Kom.-Rat Karl Markon Str. 530</t>
  </si>
  <si>
    <t>Lift:2//---</t>
  </si>
  <si>
    <t>300</t>
  </si>
  <si>
    <t>(Lad) Neudörfl - (Ent) Neudörfl</t>
  </si>
  <si>
    <t>Klodner</t>
  </si>
  <si>
    <t>+43 2622 77444 255</t>
  </si>
  <si>
    <t>kerstin.klodner@neudoerfler.com</t>
  </si>
  <si>
    <t>LKW</t>
  </si>
  <si>
    <t>Möbel</t>
  </si>
  <si>
    <t>Auslieferung</t>
  </si>
  <si>
    <t>True</t>
  </si>
  <si>
    <t>WY307AX</t>
  </si>
  <si>
    <t>Wien</t>
  </si>
  <si>
    <t>1030</t>
  </si>
  <si>
    <t>Lift:1//10OG</t>
  </si>
  <si>
    <t>Plan:2|WAB/Ladezone:1/0|Zufahrt:| |</t>
  </si>
  <si>
    <t>100,200,300</t>
  </si>
  <si>
    <t>(Lad) Neudörfl - (Ent) Wien</t>
  </si>
  <si>
    <t>Kuchelbacher</t>
  </si>
  <si>
    <t>+43 1 71704 513</t>
  </si>
  <si>
    <t>nicole.kuchelbacher@neudoerfler.com</t>
  </si>
  <si>
    <t>Wand</t>
  </si>
  <si>
    <t>Netzwerkpartner</t>
  </si>
  <si>
    <t>DIREKT</t>
  </si>
  <si>
    <t>100,200,300,400</t>
  </si>
  <si>
    <t>Österreichische Hagelversicherung</t>
  </si>
  <si>
    <t>Lerchengasse 3-5</t>
  </si>
  <si>
    <t>1080</t>
  </si>
  <si>
    <t>Österreichische Hagelversicherung|Österreich|1080|Lerchengasse 3-5</t>
  </si>
  <si>
    <t>Edlinger</t>
  </si>
  <si>
    <t>+43 1 71704 518</t>
  </si>
  <si>
    <t>katharina.edlinger@neudoerfler.com</t>
  </si>
  <si>
    <t>202514</t>
  </si>
  <si>
    <t>ABHOLUNG</t>
  </si>
  <si>
    <t>100</t>
  </si>
  <si>
    <t>MONTEURE</t>
  </si>
  <si>
    <t>Neudoerfler Office Systems GmbH|Österreich|7201|Kom.-Rat Karl Markon Str. 530</t>
  </si>
  <si>
    <t>Lift:1//---</t>
  </si>
  <si>
    <t>WY659AN</t>
  </si>
  <si>
    <t>BGO_WAB</t>
  </si>
  <si>
    <t>|1|1|DAP|1|80|80|0</t>
  </si>
  <si>
    <t>Lift:1//1OG</t>
  </si>
  <si>
    <t>Pasmann</t>
  </si>
  <si>
    <t>+43 1 71704 519</t>
  </si>
  <si>
    <t>sandra.pasmann@neudoerfler.com</t>
  </si>
  <si>
    <t>WY741AT</t>
  </si>
  <si>
    <t>Lift:1//2OG</t>
  </si>
  <si>
    <t xml:space="preserve">** Freigabe erteilt </t>
  </si>
  <si>
    <t>Dienstleistung</t>
  </si>
  <si>
    <t>Reklamation|30|1|DAP|1|80|80|0</t>
  </si>
  <si>
    <t>NOSSCHIHE</t>
  </si>
  <si>
    <t>Zone C</t>
  </si>
  <si>
    <t>WY308AX</t>
  </si>
  <si>
    <t>100,200</t>
  </si>
  <si>
    <t xml:space="preserve">29623 </t>
  </si>
  <si>
    <t>29623</t>
  </si>
  <si>
    <t>Wien 8 - 07.04.</t>
  </si>
  <si>
    <t>undefiniert</t>
  </si>
  <si>
    <t>11|705129|00|00</t>
  </si>
  <si>
    <t>20795</t>
  </si>
  <si>
    <t>20795-1</t>
  </si>
  <si>
    <t xml:space="preserve">Bestellung per Mail am 10.02.2025 </t>
  </si>
  <si>
    <t>Lift:0//</t>
  </si>
  <si>
    <t>|1|1|DAP|0|80|80|0</t>
  </si>
  <si>
    <t>Plan:0|WAB/Ladezone:0/0|Zufahrt:| |</t>
  </si>
  <si>
    <t>100,200,300,400,500,600,700,800,900,1000</t>
  </si>
  <si>
    <t>68403|2301003|13162602|FLUX168P             Flux E plus, E-Hebetisch,78971|30000004|13162599|CONT-RC              Rollcont. mit seitl. Eingriff,33504|2095000|9613924|MXRC6AP              MOTION Auflagepolster,71233|3062001|12749828|NOOVA1216MIP         NO</t>
  </si>
  <si>
    <t>11|678572|00|00</t>
  </si>
  <si>
    <t>21048</t>
  </si>
  <si>
    <t>21048-1</t>
  </si>
  <si>
    <t>Lift:1/Personenlift ca. 1x1m/3OG</t>
  </si>
  <si>
    <t>Plan:2|WAB/Ladezone:1/1|Zufahrt:| |</t>
  </si>
  <si>
    <t>100,200,300,400,500,600,700,800,900,1000,1100,1200,1300,1400,1500,1600,1700,1800,1900,2000,2100,2200,2300,2400,2500,2600,2700,2800,2900,3000</t>
  </si>
  <si>
    <t>68403|2301003|13162602|FLUX168P             Flux E plus, E-Hebetisch,78971|30000004|13162599|CONT-RC              Rollcont. mit seitl. Eingriff,33504|2095000|9613924|MXRC6AP              MOTION Auflagepolster,82096|9901202|13162604|N_BKXSS.UBS25        LI</t>
  </si>
  <si>
    <t xml:space="preserve">29646 </t>
  </si>
  <si>
    <t>29646</t>
  </si>
  <si>
    <t>WERK 10.04.</t>
  </si>
  <si>
    <t>10|708652|00|00</t>
  </si>
  <si>
    <t>21805</t>
  </si>
  <si>
    <t>21805-1</t>
  </si>
  <si>
    <t>Neudoerfler Office Systems GmbH TAPEZIEREREI</t>
  </si>
  <si>
    <t xml:space="preserve">Lieferung in Tapeziererei </t>
  </si>
  <si>
    <t>|3|1|DAP|1|80|92|0</t>
  </si>
  <si>
    <t>Plan:2|WAB/Ladezone:0/0|Zufahrt:|Lieferung in Tapeziererei |</t>
  </si>
  <si>
    <t>31334|2050112|13005766|MXTI228              MOTION Arbeitstisch,31431|2052007|13005754|MXTL126              MOTION Anbauelement</t>
  </si>
  <si>
    <t xml:space="preserve">29658 </t>
  </si>
  <si>
    <t>29658</t>
  </si>
  <si>
    <t>SC Wr. Neudorf 07.04.</t>
  </si>
  <si>
    <t>11|707879|00|00</t>
  </si>
  <si>
    <t>21655</t>
  </si>
  <si>
    <t>21655-1</t>
  </si>
  <si>
    <t>Gewista Werbegesellschaft m.b.H.</t>
  </si>
  <si>
    <t>Thomas-Klestil-Platz 13</t>
  </si>
  <si>
    <t>Gewista-Werbegesellschaft m.b.H.|Österreich|1030|ORBI Tower, Thomas-Klestil-Platz 13</t>
  </si>
  <si>
    <t>21258|0|0|SUSO-HW              .</t>
  </si>
  <si>
    <t>(Lad) Neudörfl - (Ent) Wien - (Ent) Sigmundsherberg - (Ent) Wien - (Ent) Wien - (Ent) Wien - (Ent) Wien - (Ent) Wien - (Ent) Wien - (Ent) Wien - (Ent) Wien - (Ent) Wien - (Ent) Wien - (Ent) Wien - (Ent) Tulln - (Ent) Wien - (Ent) Wien - (Ent) Wien</t>
  </si>
  <si>
    <t>Starkl</t>
  </si>
  <si>
    <t>+43 1 71704 512</t>
  </si>
  <si>
    <t>carina.starkl@neudoerfler.com</t>
  </si>
  <si>
    <t>11|707164|00|00</t>
  </si>
  <si>
    <t>21122</t>
  </si>
  <si>
    <t>21122-1</t>
  </si>
  <si>
    <t>ÖBB-Infrastruktur AG</t>
  </si>
  <si>
    <t>Bahnstrasse 12</t>
  </si>
  <si>
    <t>Sigmundsherberg</t>
  </si>
  <si>
    <t>3751</t>
  </si>
  <si>
    <t xml:space="preserve"> | 4900698462 | 4600030817</t>
  </si>
  <si>
    <t xml:space="preserve">xx4900698462xx </t>
  </si>
  <si>
    <t>ÖBB-Infrastruktur AG|Österreich|1020|Praterstern 3</t>
  </si>
  <si>
    <t>74001|9023401|12148560|VI-616.1020N-ÖBB     F1 Drehstuhl, Polsterrücken</t>
  </si>
  <si>
    <t>Sitta-Holzinger</t>
  </si>
  <si>
    <t>+43 1 71704 516</t>
  </si>
  <si>
    <t>michaela.sitta-holzinger@neudoerfler.com</t>
  </si>
  <si>
    <t>11|707196|00|00</t>
  </si>
  <si>
    <t>21411</t>
  </si>
  <si>
    <t>21411-1</t>
  </si>
  <si>
    <t>WIENER LINIEN GmbH &amp; CO KG</t>
  </si>
  <si>
    <t>Garnisongasse 8</t>
  </si>
  <si>
    <t>1190</t>
  </si>
  <si>
    <t xml:space="preserve"> | 4310294406 - 00010 | </t>
  </si>
  <si>
    <t xml:space="preserve">** Rollcontainer - Freigabe erteilt </t>
  </si>
  <si>
    <t>Lift:2//1OG</t>
  </si>
  <si>
    <t>|1|1|DAP|2|80|80|0</t>
  </si>
  <si>
    <t>Plan:2|WAB/Ladezone:1/0|Zufahrt:|Hr. Ginalski (+43 664 88576700) = Ansprechpartner vor Ort |</t>
  </si>
  <si>
    <t>Wiener Linien GmbH &amp; Co KG|Österreich|1031|Erdbergstraße 202</t>
  </si>
  <si>
    <t>78971|30000004|12958185|CONT-RC              Rollcont. mit seitl. Eingriff,8227|0|0|MOZLQUER             Querunterteilung</t>
  </si>
  <si>
    <t>11|707162|00|00</t>
  </si>
  <si>
    <t>21121</t>
  </si>
  <si>
    <t>21121-1</t>
  </si>
  <si>
    <t>ÖBB Infrastruktur, Wien</t>
  </si>
  <si>
    <t>Lassallestraße 5</t>
  </si>
  <si>
    <t>1020</t>
  </si>
  <si>
    <t xml:space="preserve"> | 4900698378 | 4600030817</t>
  </si>
  <si>
    <t xml:space="preserve">xx4900698378xx </t>
  </si>
  <si>
    <t>77040|9023500|12148562|VI-616.1020N-ÖBB_1   F1 Drehstuhl, Polsterrücken</t>
  </si>
  <si>
    <t>11|708317|00|00</t>
  </si>
  <si>
    <t>21705</t>
  </si>
  <si>
    <t>21705-1</t>
  </si>
  <si>
    <t>Neudoerfler Office Systems GmbH Geschäftsstelle Wien</t>
  </si>
  <si>
    <t>Schwarzenbergplatz 7</t>
  </si>
  <si>
    <t>Gasfedern f. HAG Lager</t>
  </si>
  <si>
    <t>Lift:2//1UG</t>
  </si>
  <si>
    <t>|3|0||1|80|91|0</t>
  </si>
  <si>
    <t>Neudoerfler Office Systems GmbH|Österreich|1030|Schwarzenbergplatz 7</t>
  </si>
  <si>
    <t>9161|9900000|13209369|HG-SOSO              Handelsware</t>
  </si>
  <si>
    <t>11|708373|00|00</t>
  </si>
  <si>
    <t>21754</t>
  </si>
  <si>
    <t>21754-1</t>
  </si>
  <si>
    <t>GS-Wien</t>
  </si>
  <si>
    <t>Michael Zacherl|Österreich|2340|Thomas-Tamussino-Straße 16/9/5</t>
  </si>
  <si>
    <t>12683|9900000|13209723|HWHW                 Handelsware</t>
  </si>
  <si>
    <t>Zacherl</t>
  </si>
  <si>
    <t>+43 664 2828634</t>
  </si>
  <si>
    <t>michael.zacherl@neudoerfler.com</t>
  </si>
  <si>
    <t>11|707746|00|00</t>
  </si>
  <si>
    <t>21610</t>
  </si>
  <si>
    <t>21610-1</t>
  </si>
  <si>
    <t>WIENER LINIEN GmbH &amp; Co KG Bahnhof Erdberg</t>
  </si>
  <si>
    <t>Kappgasse 2</t>
  </si>
  <si>
    <t xml:space="preserve"> | 4310294545 - 00010 | </t>
  </si>
  <si>
    <t>Lift:1//5OG</t>
  </si>
  <si>
    <t>Plan:2|WAB/Ladezone:1/0|Zufahrt:|Hr. Ecker (+43 664 8820 3393) = Ansprechpartner vor Ort |</t>
  </si>
  <si>
    <t>12|706405|00|00</t>
  </si>
  <si>
    <t>20997</t>
  </si>
  <si>
    <t>20997-1</t>
  </si>
  <si>
    <t>SPÖ</t>
  </si>
  <si>
    <t>Simmeringer Hauptstraße 81-85 Tür 1</t>
  </si>
  <si>
    <t>1110</t>
  </si>
  <si>
    <t xml:space="preserve">Mailbestellung vom 19.02.2025 |  | </t>
  </si>
  <si>
    <t xml:space="preserve">SPÖ - NOS Möblierung </t>
  </si>
  <si>
    <t>Plan:1|WAB/Ladezone:0/1|Zufahrt:| |</t>
  </si>
  <si>
    <t>Matthias Madler MM3 Tischlerei|Österreich|2630|Sandgasse 3</t>
  </si>
  <si>
    <t>100,200,300,400,500</t>
  </si>
  <si>
    <t>1296|3031105|13178177|MOSR0615             Standregal 1,5 OH,31528|2070110|13178185|MXPW1604             Tischpinnwand lightGrundplatte 19 mm,31530|2070110|12897918|MXPW2004             Tischpinnwand lightGrundplatte 19 mm,81728|9900400|13040786|PC-PJP-40</t>
  </si>
  <si>
    <t>11|707191|00|00</t>
  </si>
  <si>
    <t>21410</t>
  </si>
  <si>
    <t>21410-1</t>
  </si>
  <si>
    <t>Erdbergstraße 202</t>
  </si>
  <si>
    <t xml:space="preserve"> | 4310294406 - 00020 | </t>
  </si>
  <si>
    <t xml:space="preserve">** Garderobenpaneel - Freigabe erteilt </t>
  </si>
  <si>
    <t>Lift:1//3OG</t>
  </si>
  <si>
    <t>Plan:2|WAB/Ladezone:1/0|Zufahrt:|Hr. Gharbi (+43 664 88618445) = Ansprechpartner vor Ort |</t>
  </si>
  <si>
    <t>32638|3040009|11751176|MOGW0350             Garderobepaneel</t>
  </si>
  <si>
    <t>11|707803|00|00</t>
  </si>
  <si>
    <t>21614</t>
  </si>
  <si>
    <t>21614-1</t>
  </si>
  <si>
    <t xml:space="preserve"> | 4310294545 - 00050 | </t>
  </si>
  <si>
    <t>Lift:1//4OG</t>
  </si>
  <si>
    <t>Plan:2|WAB/Ladezone:1/0|Zufahrt:|Fr. Matic (+43 664 7882 7673) = Ansprechpartnerin vor Ort |</t>
  </si>
  <si>
    <t>11|707804|00|00</t>
  </si>
  <si>
    <t>21615</t>
  </si>
  <si>
    <t>21615-1</t>
  </si>
  <si>
    <t xml:space="preserve"> | 4310294545 - 00030 | </t>
  </si>
  <si>
    <t>Plan:2|WAB/Ladezone:1/0|Zufahrt:|Fr. Grossinger (+43 1 7909 67006) = Ansprechpartnerin vor Ort |</t>
  </si>
  <si>
    <t>11|707028|00|00</t>
  </si>
  <si>
    <t>21157</t>
  </si>
  <si>
    <t>21157-1</t>
  </si>
  <si>
    <t xml:space="preserve"> | 4310294126 - 00010 | </t>
  </si>
  <si>
    <t>Plan:2|WAB/Ladezone:1/0|Zufahrt:|Hr. Eineder (+43 664 8848 2045) = Ansprechpartner vor Ort |</t>
  </si>
  <si>
    <t>32638|3040009|11751176|MOGW0350             Garderobepaneel,31504|2070010|12164819|MXOP0804             Tischpinnwand organisierbarGrundplatte 32 mm,68567|2098000|4328870|MXZPWWIS             Pinnwandwinkel f. seitl. Montage</t>
  </si>
  <si>
    <t>11|706558|00|00</t>
  </si>
  <si>
    <t>21362</t>
  </si>
  <si>
    <t>21362-1</t>
  </si>
  <si>
    <t>Baumärkte A.Sochor &amp; Co GmbH</t>
  </si>
  <si>
    <t>Triester Straße 10/2</t>
  </si>
  <si>
    <t>1100</t>
  </si>
  <si>
    <t xml:space="preserve">Bestellung per Mail am 28.02.2025 </t>
  </si>
  <si>
    <t>Baumärkte A.Sochor &amp; Co GmbH|Österreich|1100|Triester Straße 10/2</t>
  </si>
  <si>
    <t xml:space="preserve">82117|9901104|12946581|N_ATL2.CLRES25       Flux E2 Plus, rechteckigmit C-Fuß, Spanpl.25 mm,78971|30000004|12993393|CONT-RC              Rollcont. mit seitl. Eingriff,8227|0|0|MOZLQUER             Querunterteilung,69695|9900500|12387136|PC-HAG-6004       </t>
  </si>
  <si>
    <t>Maliqi</t>
  </si>
  <si>
    <t>+43 171704 537</t>
  </si>
  <si>
    <t>saranda.maliqi@neudoerfler.com</t>
  </si>
  <si>
    <t>11|707360|00|00</t>
  </si>
  <si>
    <t>21141</t>
  </si>
  <si>
    <t>21141-1</t>
  </si>
  <si>
    <t>Dr.Helga Dostal</t>
  </si>
  <si>
    <t>Schulgasse 84/9</t>
  </si>
  <si>
    <t>1180</t>
  </si>
  <si>
    <t xml:space="preserve">Reklamation zu 11/664222 </t>
  </si>
  <si>
    <t>Dr.Helga Dostal|Österreich|1180|Schulgasse 84/9</t>
  </si>
  <si>
    <t>73357|9900400|11741711|PC-REXI-1688         Rexite 1688</t>
  </si>
  <si>
    <t>Kiedler</t>
  </si>
  <si>
    <t>+43 1 71704 545</t>
  </si>
  <si>
    <t>manuela.kiedler@neudoerfler.com</t>
  </si>
  <si>
    <t>11|707209|00|00</t>
  </si>
  <si>
    <t>21648</t>
  </si>
  <si>
    <t>21648-1</t>
  </si>
  <si>
    <t>IT Services der Sozialversicherung GmbH</t>
  </si>
  <si>
    <t>Johann-Böhm-Platz 1</t>
  </si>
  <si>
    <t>109011BN-000013473 | 4500025517 | 21010427200101</t>
  </si>
  <si>
    <t>Tischpinnwände 109011BN-000013473</t>
  </si>
  <si>
    <t>IT Services der|Österreich|1020|Johann-Böhm-Platz 1</t>
  </si>
  <si>
    <t>76405|2077200|12126212|MQ22TPAW160          TPAW160</t>
  </si>
  <si>
    <t>11|707412|00|00</t>
  </si>
  <si>
    <t>21323</t>
  </si>
  <si>
    <t>21323-1</t>
  </si>
  <si>
    <t>Österr. Staatsdruckerei GmbH</t>
  </si>
  <si>
    <t>Tenschertstraße 7</t>
  </si>
  <si>
    <t>1239</t>
  </si>
  <si>
    <t xml:space="preserve">212410 |  | </t>
  </si>
  <si>
    <t xml:space="preserve">Bestellung 212410 </t>
  </si>
  <si>
    <t>Plan:2|WAB/Ladezone:0/0|Zufahrt:| |</t>
  </si>
  <si>
    <t>Österr. Staatsdruckerei GmbH|Österreich|1239|Tenschertstraße 7</t>
  </si>
  <si>
    <t>100,200,300,400,500,600</t>
  </si>
  <si>
    <t>31529|2070110|13194164|MXPW1804             Tischpinnwand lightGrundplatte 19 mm,68577|2098501|12857710|MXZVTI20             Knieblende f. TI-Tische,78971|30000004|12991795|CONT-RC              Rollcont. mit seitl. Eingriff,70267|9900400|11044435|PC-VT-41</t>
  </si>
  <si>
    <t>11|707148|00|00</t>
  </si>
  <si>
    <t>21172</t>
  </si>
  <si>
    <t>21172-1</t>
  </si>
  <si>
    <t>Raben Logistics Austria GmbH</t>
  </si>
  <si>
    <t>Güterzentrum Süd</t>
  </si>
  <si>
    <t xml:space="preserve"> |  | 4600030817</t>
  </si>
  <si>
    <t xml:space="preserve">Bestellung v. 27.02.2025 </t>
  </si>
  <si>
    <t>Raben Logistics Austria GmbH|Österreich|1110|Warneckestraße 7</t>
  </si>
  <si>
    <t>74001|9023401|12148625|VI-616.1020N-ÖBB     F1 Drehstuhl, Polsterrücken</t>
  </si>
  <si>
    <t>11|707378|00|00</t>
  </si>
  <si>
    <t>21213</t>
  </si>
  <si>
    <t>21213-1</t>
  </si>
  <si>
    <t>ÖBB Infrastruktur, Tulln</t>
  </si>
  <si>
    <t>Heinrich-Öschl-Gasse 53</t>
  </si>
  <si>
    <t>Tulln</t>
  </si>
  <si>
    <t>3430</t>
  </si>
  <si>
    <t xml:space="preserve"> | 4900699267 | 4600030817</t>
  </si>
  <si>
    <t xml:space="preserve">xx4900699267xx </t>
  </si>
  <si>
    <t>11|707538|00|00</t>
  </si>
  <si>
    <t>21527</t>
  </si>
  <si>
    <t>21527-1</t>
  </si>
  <si>
    <t>iMobility GmbH, Wien</t>
  </si>
  <si>
    <t>Weyringergasse 1-5</t>
  </si>
  <si>
    <t>1040</t>
  </si>
  <si>
    <t xml:space="preserve"> | 4451469472 | 4600030817</t>
  </si>
  <si>
    <t xml:space="preserve">xx4451469472xx </t>
  </si>
  <si>
    <t>iMobility GmbH|Österreich|1040|Weyringergasse 5/B4</t>
  </si>
  <si>
    <t>74002|9023500|11891960|VI-617.1020N-ÖBB     F1 Drehstuhl, Netzrücken</t>
  </si>
  <si>
    <t>11|709365|00|00</t>
  </si>
  <si>
    <t>22285</t>
  </si>
  <si>
    <t>22285-1</t>
  </si>
  <si>
    <t>OeAD-GmbH</t>
  </si>
  <si>
    <t>Universitätsstraße 5</t>
  </si>
  <si>
    <t>1010</t>
  </si>
  <si>
    <t>109011BN-000012886 | 109011BN-000012886 | 21010427200101</t>
  </si>
  <si>
    <t xml:space="preserve">Reklamation zu 11/698167 </t>
  </si>
  <si>
    <t>Lift:1/Personenlift/---</t>
  </si>
  <si>
    <t>Plan:2|WAB/Ladezone:1/0|Zufahrt:Dachgeschoß| |</t>
  </si>
  <si>
    <t>Österr. Austauschdienst GmbH|Österreich|1010|Ebendorferstraße 7</t>
  </si>
  <si>
    <t>100,200,300,400,500,600,700,800</t>
  </si>
  <si>
    <t>66005|3990001|9904742|MONTAGEPAU           Montage Pauschale,73552|0|0|FLUXZ_HS-DL6ICM-SI   Hubsäule DL6 IC, Master, silber,73555|0|0|FLUXZ_HS-DL6ICS-SI   Hubsäule DL6 IC, Slave, silber,73535|0|0|FLUXZ_KB-IC          Schaltnetzteil IC,73533|0|0|FLUXZ_BT-P</t>
  </si>
  <si>
    <t>RYBAK</t>
  </si>
  <si>
    <t>+43 1 717 04 547</t>
  </si>
  <si>
    <t>sibel.rybak@neudoerfler.com</t>
  </si>
  <si>
    <t>11|709343|00|00</t>
  </si>
  <si>
    <t>22283</t>
  </si>
  <si>
    <t>22283-1</t>
  </si>
  <si>
    <t>Universität Wien Raum- und Ressourcenmanagement</t>
  </si>
  <si>
    <t>Sensengasse 3a</t>
  </si>
  <si>
    <t>1090</t>
  </si>
  <si>
    <t>109011BN-000012964 | 4500066942 | 21010427200201</t>
  </si>
  <si>
    <t xml:space="preserve">Reklamation zu AID 11/700060 </t>
  </si>
  <si>
    <t>Universität Wien Abt. Recht, Raum|Österreich|1010|Universitätsring 1</t>
  </si>
  <si>
    <t>73533|0|0|FLUXZ_BT-PREM        Bedienelement PremiumDisplay + 4 Speicherpos.,73535|0|0|FLUXZ_KB-IC          Schaltnetzteil IC,73552|0|0|FLUXZ_HS-DL6ICM-SI   Hubsäule DL6 IC, Master, silber,66005|3990001|9912412|MONTAGEPAU           Montage Pauschale</t>
  </si>
  <si>
    <t>WY450AX</t>
  </si>
  <si>
    <t>WY742AT</t>
  </si>
  <si>
    <t>Zone B</t>
  </si>
  <si>
    <t>POST</t>
  </si>
  <si>
    <t>ab Werk</t>
  </si>
  <si>
    <t>Basis</t>
  </si>
  <si>
    <t>WY459AV</t>
  </si>
  <si>
    <t>SPED_KUZSTRICH</t>
  </si>
  <si>
    <t>WINKLER_NORMAL</t>
  </si>
  <si>
    <t>EU-Länder</t>
  </si>
  <si>
    <t>WY461AV</t>
  </si>
  <si>
    <t>MP_KESIC</t>
  </si>
  <si>
    <t>WINKLER_JUMBO</t>
  </si>
  <si>
    <t>Relogg Berlin</t>
  </si>
  <si>
    <t>WY817AY</t>
  </si>
  <si>
    <t>MP_L-M</t>
  </si>
  <si>
    <t>Relogg Stuttgart</t>
  </si>
  <si>
    <t>Tischler</t>
  </si>
  <si>
    <t>WY657AN</t>
  </si>
  <si>
    <t>MP_RIEGLER</t>
  </si>
  <si>
    <t>BENE_WAB</t>
  </si>
  <si>
    <t>Relogg München</t>
  </si>
  <si>
    <t>Umzug</t>
  </si>
  <si>
    <t>WY352AY</t>
  </si>
  <si>
    <t>SPED_KAMEEN</t>
  </si>
  <si>
    <t>NOS_NORMAL</t>
  </si>
  <si>
    <t>Zustellung</t>
  </si>
  <si>
    <t>WY728AJ</t>
  </si>
  <si>
    <t>WEISS_KOFFER</t>
  </si>
  <si>
    <t>WY685AW</t>
  </si>
  <si>
    <t>JCL_WAB</t>
  </si>
  <si>
    <t>WY593AV</t>
  </si>
  <si>
    <t>LAUER_WAB</t>
  </si>
  <si>
    <t>Zone D</t>
  </si>
  <si>
    <t>WY311AW</t>
  </si>
  <si>
    <t>WINKLER_EGAL</t>
  </si>
  <si>
    <t>Zone E</t>
  </si>
  <si>
    <t>WY152AX</t>
  </si>
  <si>
    <t>WEISS_PLANE</t>
  </si>
  <si>
    <t>Zone F</t>
  </si>
  <si>
    <t>WY353AY</t>
  </si>
  <si>
    <t>NOS_NEUTRAL</t>
  </si>
  <si>
    <t>Zone G</t>
  </si>
  <si>
    <t>WY686AW</t>
  </si>
  <si>
    <t>NOS_EGAL</t>
  </si>
  <si>
    <t>Zone H</t>
  </si>
  <si>
    <t>WY959AY</t>
  </si>
  <si>
    <t>Zone I</t>
  </si>
  <si>
    <t>WY455AV</t>
  </si>
  <si>
    <t>Zone J</t>
  </si>
  <si>
    <t>WY457AV</t>
  </si>
  <si>
    <t>WY559AY</t>
  </si>
  <si>
    <t>WY284AW</t>
  </si>
  <si>
    <t>WY439AW</t>
  </si>
  <si>
    <t>WY460AV</t>
  </si>
  <si>
    <t>WY563AV</t>
  </si>
  <si>
    <t>WY454AV</t>
  </si>
  <si>
    <t>WY458AV</t>
  </si>
  <si>
    <t>BGO-LKW_LINZ</t>
  </si>
  <si>
    <t>WY449AX</t>
  </si>
  <si>
    <t>WY816AW</t>
  </si>
  <si>
    <t>WY855AW</t>
  </si>
  <si>
    <t>WY862AX</t>
  </si>
  <si>
    <t>WY863AX</t>
  </si>
  <si>
    <t>WY864AX</t>
  </si>
  <si>
    <t>WY865AX</t>
  </si>
  <si>
    <t>WY876AX</t>
  </si>
  <si>
    <t>WY877AX</t>
  </si>
  <si>
    <t>WY878AX</t>
  </si>
  <si>
    <t>WY973AX</t>
  </si>
  <si>
    <t>WY871AW</t>
  </si>
  <si>
    <t>WY740AT</t>
  </si>
  <si>
    <t>WY394AY</t>
  </si>
  <si>
    <t>WY452AV</t>
  </si>
  <si>
    <t>WY456AV</t>
  </si>
  <si>
    <t>WY312AW</t>
  </si>
  <si>
    <t>WY285AW</t>
  </si>
  <si>
    <t>WY655AN</t>
  </si>
  <si>
    <t>WY387AM</t>
  </si>
  <si>
    <t>WAGEN 11</t>
  </si>
  <si>
    <t>WAGEN PUM</t>
  </si>
  <si>
    <t>WAGEN 10</t>
  </si>
  <si>
    <t>WAGEN 03</t>
  </si>
  <si>
    <t>WAGEN OPEL</t>
  </si>
  <si>
    <t>WAGEN 04</t>
  </si>
  <si>
    <t>WAGEN 05</t>
  </si>
  <si>
    <t>WAGEN 08</t>
  </si>
  <si>
    <t>WAGEN 02</t>
  </si>
  <si>
    <t>WAGEN 07</t>
  </si>
  <si>
    <t>WAGEN SCUDO</t>
  </si>
  <si>
    <t>WAGEN 09</t>
  </si>
  <si>
    <t>WAGEN 06</t>
  </si>
  <si>
    <t>WAGEN 15</t>
  </si>
  <si>
    <t>WAGEN 14</t>
  </si>
  <si>
    <t>WY978AY</t>
  </si>
  <si>
    <t>WY980AY</t>
  </si>
  <si>
    <t>L&amp;M_NOS OÖ</t>
  </si>
  <si>
    <t>L&amp;M_NOS DE</t>
  </si>
  <si>
    <t>ÜBERSTELLUNG</t>
  </si>
  <si>
    <t>KESIC_NOS</t>
  </si>
  <si>
    <t>KAPELER_NOS</t>
  </si>
  <si>
    <t>FRACHTMEISTER LKW 1</t>
  </si>
  <si>
    <t>FRACHTMEISTER LKW 2</t>
  </si>
  <si>
    <t>BGO2 7,5T</t>
  </si>
  <si>
    <t>BGO1 3,5T</t>
  </si>
  <si>
    <t>78971|30000004|12958185|CONT-RC              Rollcont. mit seitl. Eingriff
----------
8227|0|0|MOZLQUER             Querunterteilung</t>
  </si>
  <si>
    <t>9161|9900000|13209369|HG-SOSO              Handelsware
----------
9161|9900000|13209369|HG-SOSO              Handelsware
----------
9161|9900000|13209369|HG-SOSO              Handelsware
----------
9161|9900000|13209369|HG-SOSO              Handelsware</t>
  </si>
  <si>
    <t>12683|9900000|13178191|HWHW                 Handelsware
----------
1296|3031105|13178177|MOSR0615             Standregal 1,5 OH
----------
31528|2070110|13178185|MXPW1604             Tischpinnwand lightGrundplatte 19 mm
----------
31530|2070110|12897918|MXPW2004             Tischpinnwand lightGrundplatte 19 mm
----------
81728|9900400|13040786|PC-PJP-4043-9006     PJ Production ApS 4043-9006</t>
  </si>
  <si>
    <t>31504|2070010|12164819|MXOP0804             Tischpinnwand organisierbarGrundplatte 32 mm
----------
32638|3040009|11751176|MOGW0350             Garderobepaneel
----------
68567|2098000|4328870|MXZPWWIS             Pinnwandwinkel f. seitl. Montage</t>
  </si>
  <si>
    <t>69695|9900500|12387136|PC-HAG-6004          HAG
----------
78971|30000004|12993393|CONT-RC              Rollcont. mit seitl. Eingriff
----------
82117|9901104|12946581|N_ATL2.CLRES25       Flux E2 Plus, rechteckigmit C-Fuß, Spanpl.25 mm
----------
8227|0|0|MOZLQUER             Querunterteilung</t>
  </si>
  <si>
    <t>1182|3000026|13194199|MOSS1015             Schiebetürschrank 1,5 OH
----------
31529|2070110|13194164|MXPW1804             Tischpinnwand lightGrundplatte 19 mm
----------
68577|2098501|12857710|MXZVTI20             Knieblende f. TI-Tische
----------
70267|9900400|11044435|PC-VT-414.2010       Viasit 414.2010
----------
78971|30000004|12991795|CONT-RC              Rollcont. mit seitl. Eingriff
----------
8242|0|0|MOZLP39F             1 Papiereins.f.Lade 3, 12 Fächer</t>
  </si>
  <si>
    <t>66005|3990001|9904742|MONTAGEPAU           Montage Pauschale
----------
73533|0|0|FLUXZ_BT-PREM        Bedienelement PremiumDisplay + 4 Speicherpos.
----------
73535|0|0|FLUXZ_KB-IC          Schaltnetzteil IC
----------
73540|0|0|FLUXZ_KAB-A0200      Anschl.kabel SMPS (IC) L: 200 mm
----------
73541|0|0|FLUXZ_KAB-A1800      Anschl.kabel SMPS (IC) L: 1800 mm
----------
73542|0|0|FLUXZ_KAB-N3000      Netzkab. SMPS (IC) L: 3000 mm
----------
73552|0|0|FLUXZ_HS-DL6ICM-SI   Hubsäule DL6 IC, Master, silber
----------
73555|0|0|FLUXZ_HS-DL6ICS-SI   Hubsäule DL6 IC, Slave, silber</t>
  </si>
  <si>
    <t>66005|3990001|9912412|MONTAGEPAU           Montage Pauschale
----------
73533|0|0|FLUXZ_BT-PREM        Bedienelement PremiumDisplay + 4 Speicherpos.
----------
73535|0|0|FLUXZ_KB-IC          Schaltnetzteil IC
----------
73552|0|0|FLUXZ_HS-DL6ICM-SI   Hubsäule DL6 IC, Master, silber</t>
  </si>
  <si>
    <t>31397|2051007|13162608|MXTK220              MOTION Kombi-Arbeitstisch
----------
31430|2052007|13162610|MXTL106              MOTION Anbauelement
----------
32021|2050112|13162606|MXTI226              MOTION Arbeitstisch
----------
33109|2061502|3373515|MXBT080              MOTION Besprechungstisch rund
----------
33504|2095000|9613924|MXRC6AP              MOTION Auflagepolster
----------
33504|2095000|9613924|MXRC6AP              MOTION Auflagepolster
----------
47039|2082001|5629218|MXMB1610             motion:box
----------
5003|3043005|12220828|MOPW1230             Wandpinnwand
----------
68403|2301003|13162602|FLUX168P             Flux E plus, E-Hebetisch
----------
71144|3062001|12775891|NOOVA1216SEID        NOOVA Seitenpaneel doppelt
----------
71144|3062001|12775891|NOOVA1216SEID        NOOVA Seitenpaneel doppelt
----------
71232|3062001|13183527|NOOVA1208SEIE        NOOVA Einhaus. Seitenpaneel einfa
----------
71233|3062001|12749828|NOOVA1216MIP         NOOVA Einhaus. Mittelpan</t>
  </si>
  <si>
    <t xml:space="preserve">33504|2095000|9613924|MXRC6AP              MOTION Auflagepolster
----------
68403|2301003|13162602|FLUX168P             Flux E plus, E-Hebetisch
----------
70069|9900400|11003223|PC-SE-BD-122         Sedus bd-122
----------
71144|3062001|12775891|NOOVA1216SEID        NOOVA Seitenpaneel doppelt
----------
71233|3062001|12749828|NOOVA1216MIP         NOOVA Einhaus. Mittelpaneel
----------
71233|3062001|12749828|NOOVA1216MIP         NOOVA Einhaus. Mittelpaneel
----------
71385|3062001|12775894|NOOVA1218SEID        NOOVA Seitenpaneel doppelt
----------
78971|30000004|13162599|CONT-RC              Rollcont. mit seitl. Eingriff
----------
82096|9901202|13121029|N_BKXSS.UBS25        Schiebetürschrank, Unterbau,Plattenmaterial: Spanplatte 
----------
82096|9901202|13147413|N_BKXSS.UBS25        Schiebetürschrank, Unterbau,Plattenmaterial: Spanplatte </t>
  </si>
  <si>
    <t>Tour_Name</t>
  </si>
  <si>
    <t>Tour_Date</t>
  </si>
  <si>
    <t>Tour_Type</t>
  </si>
  <si>
    <t>Total_Weight (kg)</t>
  </si>
  <si>
    <t>Total_Volume (m³)</t>
  </si>
  <si>
    <t>AB_Numbers</t>
  </si>
  <si>
    <t>Items_Per_Stop</t>
  </si>
  <si>
    <t>31334|2050112|13005766|MXTI228              MOTION Arbeitstisch
----------
31431|2052007|13005754|MXTL126              MOTION Anbauelement</t>
  </si>
  <si>
    <t>Direct Tour</t>
  </si>
  <si>
    <t>Tourenübersicht</t>
  </si>
  <si>
    <t>[[TOUR_NUMBER]]</t>
  </si>
  <si>
    <t>[[TOUR_NAME]]</t>
  </si>
  <si>
    <t>[[VEHICLE]]</t>
  </si>
  <si>
    <t>[[Stop 1]]</t>
  </si>
  <si>
    <t>[[Kunde_Name 1]]</t>
  </si>
  <si>
    <t>Volumen</t>
  </si>
  <si>
    <t>Stopps</t>
  </si>
  <si>
    <t>Kunden</t>
  </si>
  <si>
    <t>Gewicht</t>
  </si>
  <si>
    <t>[[Stop_1_W]]</t>
  </si>
  <si>
    <t>[[Stop_1_V]]</t>
  </si>
  <si>
    <t>[[AB-Nummer]]</t>
  </si>
  <si>
    <t>Abladestelle</t>
  </si>
  <si>
    <t>Montage</t>
  </si>
  <si>
    <t>[[Kunde_Str 1]]</t>
  </si>
  <si>
    <t>[[Kunde_Ort 1]]</t>
  </si>
  <si>
    <t>[[Kunde_Plz 1]]</t>
  </si>
  <si>
    <t>[[ServiceTyp]]</t>
  </si>
  <si>
    <t>[[Tour_DATE]]</t>
  </si>
  <si>
    <t>[[Tour_DATE &amp; Time]]</t>
  </si>
  <si>
    <t>[[AB Info]]</t>
  </si>
  <si>
    <t>[[Gebäudeinfo]]</t>
  </si>
  <si>
    <t>[[Wichtiger Hinweis Auftrag]]</t>
  </si>
  <si>
    <t>[[Anlieferinfo]]</t>
  </si>
  <si>
    <t>Frachtbrief</t>
  </si>
  <si>
    <t xml:space="preserve">📁 </t>
  </si>
  <si>
    <t>File Folder</t>
  </si>
  <si>
    <t xml:space="preserve">📊 </t>
  </si>
  <si>
    <t>Chart</t>
  </si>
  <si>
    <t>📝</t>
  </si>
  <si>
    <t xml:space="preserve"> Memo/Note</t>
  </si>
  <si>
    <t xml:space="preserve">🗂️ </t>
  </si>
  <si>
    <t>Card Index Dividers</t>
  </si>
  <si>
    <t xml:space="preserve">📔 </t>
  </si>
  <si>
    <t>Notebook</t>
  </si>
  <si>
    <t xml:space="preserve">🔌 </t>
  </si>
  <si>
    <t>Electric Plug</t>
  </si>
  <si>
    <t xml:space="preserve">💡 </t>
  </si>
  <si>
    <t>Lampen</t>
  </si>
  <si>
    <t xml:space="preserve">🗃️ </t>
  </si>
  <si>
    <t>Box Item</t>
  </si>
  <si>
    <t xml:space="preserve">📋 </t>
  </si>
  <si>
    <t>Clipboard</t>
  </si>
  <si>
    <t xml:space="preserve">🧰 </t>
  </si>
  <si>
    <t>Toolbox</t>
  </si>
  <si>
    <t xml:space="preserve">🔧 </t>
  </si>
  <si>
    <t>Wrench</t>
  </si>
  <si>
    <t>🔨</t>
  </si>
  <si>
    <t>MontageZeit</t>
  </si>
  <si>
    <t xml:space="preserve">📐 </t>
  </si>
  <si>
    <t>Triangle Ruler</t>
  </si>
  <si>
    <t>📏</t>
  </si>
  <si>
    <t>Straight Ruler</t>
  </si>
  <si>
    <t>🔩</t>
  </si>
  <si>
    <t>Screw</t>
  </si>
  <si>
    <t>⚙️</t>
  </si>
  <si>
    <t>Gear</t>
  </si>
  <si>
    <t>📦</t>
  </si>
  <si>
    <t>Package</t>
  </si>
  <si>
    <t>🗄️</t>
  </si>
  <si>
    <t>Rollcontainer</t>
  </si>
  <si>
    <t>🚪</t>
  </si>
  <si>
    <t>Door /Wall</t>
  </si>
  <si>
    <t>🟦</t>
  </si>
  <si>
    <t>Panel</t>
  </si>
  <si>
    <t>⬛</t>
  </si>
  <si>
    <t>Panel 2</t>
  </si>
  <si>
    <t>🧩</t>
  </si>
  <si>
    <t>Weird Part</t>
  </si>
  <si>
    <t>💈</t>
  </si>
  <si>
    <t>Säule</t>
  </si>
  <si>
    <t xml:space="preserve">🖥️ </t>
  </si>
  <si>
    <t>CPU</t>
  </si>
  <si>
    <t xml:space="preserve">🚪 </t>
  </si>
  <si>
    <t>Door</t>
  </si>
  <si>
    <t xml:space="preserve">🪟 </t>
  </si>
  <si>
    <t>Window</t>
  </si>
  <si>
    <t xml:space="preserve">📠 </t>
  </si>
  <si>
    <t>Fax Machine</t>
  </si>
  <si>
    <t xml:space="preserve">📱 </t>
  </si>
  <si>
    <t>Mobile Phone</t>
  </si>
  <si>
    <t>📞</t>
  </si>
  <si>
    <t xml:space="preserve"> Telephone</t>
  </si>
  <si>
    <t xml:space="preserve">🪑 </t>
  </si>
  <si>
    <t>Chair</t>
  </si>
  <si>
    <t>🛋️</t>
  </si>
  <si>
    <t xml:space="preserve"> Couch/Sofa</t>
  </si>
  <si>
    <t xml:space="preserve">⌨️ </t>
  </si>
  <si>
    <t>Keyboard</t>
  </si>
  <si>
    <t xml:space="preserve">🖱️ </t>
  </si>
  <si>
    <t>Mouse</t>
  </si>
  <si>
    <t>Tourname:</t>
  </si>
  <si>
    <t>Tournummer:</t>
  </si>
  <si>
    <t>Tour Datum:</t>
  </si>
  <si>
    <t>Fahrzeug:</t>
  </si>
  <si>
    <t>Tourstrecke:</t>
  </si>
  <si>
    <t>Kunde:</t>
  </si>
  <si>
    <t>AB-Nummer:</t>
  </si>
  <si>
    <t>Typ:</t>
  </si>
  <si>
    <t>Volumen:</t>
  </si>
  <si>
    <t>Gewicht:</t>
  </si>
  <si>
    <t>[[Tourstrecke]]</t>
  </si>
  <si>
    <t>[[Tour_Ges_Kilometer]]</t>
  </si>
  <si>
    <t>Service Center</t>
  </si>
  <si>
    <t>Position</t>
  </si>
  <si>
    <t>Tour-Kilometer:</t>
  </si>
  <si>
    <t>Mont_Zeit:</t>
  </si>
  <si>
    <t>[[Stop_1_Z]]</t>
  </si>
  <si>
    <t>Mont-Zeit</t>
  </si>
  <si>
    <t>[[Stop_1]]</t>
  </si>
  <si>
    <t>Artikel-Nummer</t>
  </si>
  <si>
    <t>Artikel-Name</t>
  </si>
  <si>
    <t>Bemerkung Transport (Tour)</t>
  </si>
  <si>
    <t>Bemerkung Transport</t>
  </si>
  <si>
    <t>Bemerkung Verladung (Tour)</t>
  </si>
  <si>
    <t>Bemerkung Montage</t>
  </si>
  <si>
    <t>Bemerkung Fahrer Intern</t>
  </si>
  <si>
    <t>Bürgerstraße 8</t>
  </si>
  <si>
    <t>Innsbruck</t>
  </si>
  <si>
    <t>6020</t>
  </si>
  <si>
    <t>(Lad) Neudörfl - (Ent) Innsbruck</t>
  </si>
  <si>
    <t>Steidl</t>
  </si>
  <si>
    <t>+43 512 584008 813</t>
  </si>
  <si>
    <t>hannah.steidl@neudoerfler.com</t>
  </si>
  <si>
    <t xml:space="preserve">28266 </t>
  </si>
  <si>
    <t>28266</t>
  </si>
  <si>
    <t>Wohnungsvergabe Innsbruck 22.04</t>
  </si>
  <si>
    <t>BMLZELLER</t>
  </si>
  <si>
    <t>202517</t>
  </si>
  <si>
    <t>15|706160|00|00</t>
  </si>
  <si>
    <t>20701</t>
  </si>
  <si>
    <t>20701-1</t>
  </si>
  <si>
    <t>15_2_01/02</t>
  </si>
  <si>
    <t>Wohnungsvergabe</t>
  </si>
  <si>
    <t>109011BN-000013097 | 109011BN-000013097 | 21010427200101</t>
  </si>
  <si>
    <t>|2|1|DAP|5|80|80|0</t>
  </si>
  <si>
    <t>Plan:2|WAB/Ladezone:0/0|Zufahrt:|Anlieferung vorab mit Kunden abklären 2 Küchenmontagen|</t>
  </si>
  <si>
    <t>Stadtmagistrat Innsbruck|Österreich|6020|Maria-Theresien-Straße 18</t>
  </si>
  <si>
    <t>100,200,300,400,500,600,700,800,900,1000,1500,1600,1700,1800,1900,2000,2100,2200,2300,2400,2500,2600,2700,2800,2900,3000,3100,3200,3300,3400,3600,3700,3800,3900,4000,4100,4200,4300,4400,4600,4700,4800,4900,5000,5100,5200,5300,5500,5600,5700,5800,5900,6000</t>
  </si>
  <si>
    <t>15662|1090203|11379368|ZBLÜG-AL10           ALU-Lüftungsgitter B100 mm_x000D_
----------_x000D_
15667|1090502|11490435|ZBLÜG-KS             Lüft.gitter Kunststoff 222x57 mm_x000D_
----------_x000D_
15667|1090502|11490435|ZBLÜG-KS             Lüft.gitter Kunststoff 222x57 mm_x000D_
----------_x000D_
21258|0|0|SUSO-HW              ._x000D_
----------_x000D_
21258|0|0|SUSO-HW              ._x000D_
----------_x000D_
31319|2050112|13121163|MXTI186              MOTION Arbeitstisch_x000D_
----------_x000D_
44931|4090500|13114596|SUPL12               Platte 1,2cm Stärke_x000D_
----------_x000D_
44931|4090500|13114596|SUPL12               Platte 1,2cm Stärke_x000D_
----------_x000D_
66005|3990001|9912427|MONTAGEPAU           Montage Pauschale_x000D_
----------_x000D_
70056|0|0|KOOK                 Küche bestehend aus:_x000D_
----------_x000D_
70056|0|0|KOOK                 Küche bestehend aus:_x000D_
----------_x000D_
71940|9900400|11411364|PC-VT-84.7500        Viasit 84.7500_x000D_
----------_x000D_
71940|9900400|11411364|PC-VT-84.7500        Viasit 84.7500_x000D_
----------_x000D_
74014|9900400|12928367|PC-CAMI-9K905-GR     Caimi 9K905-GR_x000D_
----------_x000D_
74015|9</t>
  </si>
  <si>
    <t>70056|0|0|KOOK                 Küche bestehend aus:,21258|0|0|SUSO-HW              .,44931|4090500|13114596|SUPL12               Platte 1,2cm Stärke,15667|1090502|11490435|ZBLÜG-KS             Lüft.gitter Kunststoff 222x57 mm,31319|2050112|13121163|MXTI18</t>
  </si>
  <si>
    <t xml:space="preserve">29282 </t>
  </si>
  <si>
    <t>29282</t>
  </si>
  <si>
    <t>Amt der Tiroler LRG 17.04</t>
  </si>
  <si>
    <t>202516</t>
  </si>
  <si>
    <t>15|696228|00|00</t>
  </si>
  <si>
    <t>21529</t>
  </si>
  <si>
    <t>21529-1</t>
  </si>
  <si>
    <t>15_4_01|02</t>
  </si>
  <si>
    <t>Amt der Tiroler LRG, Konservatorium 3.OG, Räume 301-314</t>
  </si>
  <si>
    <t>Paul Hofhaimer Gasse 6</t>
  </si>
  <si>
    <t xml:space="preserve">**lt. Bestellung v.17.02.2025 - GZ:LVerw-AL8/6/121 | Betreff: Möblierung Konservatorium 3.OG | </t>
  </si>
  <si>
    <t>**lt.Bestellung v.17.02.2025 / GZ:LVerw-AL8/6/1213-2025** Betreff: Konservatorium 3.OG Räume 301-314</t>
  </si>
  <si>
    <t>Lift:1/Liftgr.110x130cm H=210cm/3OG</t>
  </si>
  <si>
    <t>|2|1|DAP|1|80|80|0</t>
  </si>
  <si>
    <t>Plan:2|WAB/Ladezone:0/0|Zufahrt:Landes.- Konservatorium| |</t>
  </si>
  <si>
    <t>Amt der Tiroler Landesregierung|Österreich|6020|Eduard-Wallnöfer-Platz 3</t>
  </si>
  <si>
    <t>100,150,200,300,400,600,650,700,800,900,1100,1300,1400,1450,1600,1650,1700,1800,1900,2100,2200,2300,2350,2400,2500,2600,2800,2900,2950,3000,3100,3300,3350,3400,3500,3600,3800,3900,4000,4100,4200,4400,4500,4700,5100,5300,5400,5500,5600</t>
  </si>
  <si>
    <t>1248|3010120|10849295|MOTS1030             Drehtürschrank 3 OH_x000D_
----------_x000D_
1248|3010120|10849295|MOTS1030             Drehtürschrank 3 OH_x000D_
----------_x000D_
31333|2050112|12875787|MXTI208              MOTION Arbeitstisch_x000D_
----------_x000D_
31333|2050112|12875787|MXTI208              MOTION Arbeitstisch_x000D_
----------_x000D_
31333|2050112|12875787|MXTI208              MOTION Arbeitstisch_x000D_
----------_x000D_
31333|2050112|12875787|MXTI208              MOTION Arbeitstisch_x000D_
----------_x000D_
31333|2050112|12875787|MXTI208              MOTION Arbeitstisch_x000D_
----------_x000D_
31333|2050112|12875787|MXTI208              MOTION Arbeitstisch_x000D_
----------_x000D_
31333|2050112|12875787|MXTI208              MOTION Arbeitstisch_x000D_
----------_x000D_
31372|2050112|13021616|MXTI200              MOTION Arbeitstisch_x000D_
----------_x000D_
31372|2050112|13021616|MXTI200              MOTION Arbeitstisch_x000D_
----------_x000D_
33149|2061502|3235869|MXBT100              MOTION Besprechungstisch rund_x000D_
----------_x000D_
33149|2061502|3235869|MXBT100              MOTION Besprechungstisch rund_x000D_
----------_x000D_
33149</t>
  </si>
  <si>
    <t>31333|2050112|12875787|MXTI208              MOTION Arbeitstisch,33363|2071500|3020691|MXAP20               MOTION Organisationspaneel,33149|2061502|3235869|MXBT100              MOTION Besprechungstisch rund,69197|3327000|10803767|XLR.SS2020           Schi</t>
  </si>
  <si>
    <t>Lutz (T)</t>
  </si>
  <si>
    <t>+43 664 3910148</t>
  </si>
  <si>
    <t>markus.lutz@neudoerfler.com</t>
  </si>
  <si>
    <t xml:space="preserve">29748 </t>
  </si>
  <si>
    <t>29748</t>
  </si>
  <si>
    <t>SC INNSBRUCK Tour 09.04</t>
  </si>
  <si>
    <t>15|706992|00|00</t>
  </si>
  <si>
    <t>21013</t>
  </si>
  <si>
    <t>21013-2</t>
  </si>
  <si>
    <t>Service Center Innsbruck</t>
  </si>
  <si>
    <t>Feldstraße 7a</t>
  </si>
  <si>
    <t>15_4_01</t>
  </si>
  <si>
    <t>ÖBB Infra.AG, BASA Ibk Zi.111, 1.OG zh.Hr. Bouchra Fergoug</t>
  </si>
  <si>
    <t>Claudiastraße 2</t>
  </si>
  <si>
    <t>WJ7/4900698086 Abrufbestellung v.20.02.2025 | 4900698086 | 4600031939</t>
  </si>
  <si>
    <t>**Abrufbestellung WJ7/4900698086 v.20.02.2025** Betreff: 1xWandpinnwand für Hr. Fergoug Bouchra</t>
  </si>
  <si>
    <t>Lift:1/kliener Lift ca.1x1,2m/1OG</t>
  </si>
  <si>
    <t>Plan:2|WAB/Ladezone:0/0|Zufahrt:Zi.111 Hr. Bouchra Fergoug Tel.+436642866570|AID 706987 mitliefern (DS) |</t>
  </si>
  <si>
    <t>78743|3043005|10689892|XÖBB.PW1230          Wandpinnwand,78915|3099000|9237925|XÖBB.MIME            Logistikzuschlag</t>
  </si>
  <si>
    <t>(Aufk) Innsbruck - (Ent) Innsbruck - (Ent) Innsbruck - (Ent) Innsbruck - (Ent) Innsbruck - (Ent) Innsbruck</t>
  </si>
  <si>
    <t>15|706982|00|00</t>
  </si>
  <si>
    <t>21115</t>
  </si>
  <si>
    <t>21115-2</t>
  </si>
  <si>
    <t>ÖBB Infrastruktur AG, BL - Innsbruck 4x ÖBB DS, zh.Hr. Mario Spörr</t>
  </si>
  <si>
    <t>Rossaugasse 12</t>
  </si>
  <si>
    <t>SI4/4551177196 Abrufbestellung v.20.02.2025 | 4551177196 | 4600030817</t>
  </si>
  <si>
    <t>**Abrufbestellung SI4/4551177196 v. 20.02.2025** Betrifft: 9.Stk ÖBB Drehsessel mit Polsterrücken</t>
  </si>
  <si>
    <t>Plan:2|WAB/Ladezone:0/0|Zufahrt:BL Ibk (Hr. Mario Spörr 0664 6179795)| |Mo-Do 07.00-12.00 Fr.07.00-11.00</t>
  </si>
  <si>
    <t>15|706987|00|00</t>
  </si>
  <si>
    <t>21116</t>
  </si>
  <si>
    <t>21116-2</t>
  </si>
  <si>
    <t>WJ7/4900698087 Abrufbestellung v.20.02.2025 | 4900698087 | 4600030817</t>
  </si>
  <si>
    <t>**Abrufbestellung WJ7/4900698087 v.20.02.2025** Betreff: 1xÖBB DS+NS F1 für Hr. Fergoug Bouchra</t>
  </si>
  <si>
    <t>Plan:2|WAB/Ladezone:0/0|Zufahrt:Zi.111 Hr. Bochra Fergoug Tel. +43 664 2866570| |</t>
  </si>
  <si>
    <t>77040|9023500|12148647|VI-616.1020N-ÖBB_1   F1 Drehstuhl, Polsterrücken</t>
  </si>
  <si>
    <t>15|706049|00|00</t>
  </si>
  <si>
    <t>21322</t>
  </si>
  <si>
    <t>21322-2</t>
  </si>
  <si>
    <t>15_3_01</t>
  </si>
  <si>
    <t>Wasser Dienstleistungen, Rohrbau und Installation</t>
  </si>
  <si>
    <t>Rossaugasse 2</t>
  </si>
  <si>
    <t>109011BN-000013443 | 4500304005 | 21010427200101</t>
  </si>
  <si>
    <t>Innsbrucker Kommunalbetriebe AG|Österreich|6020|Salurner Straße 11</t>
  </si>
  <si>
    <t>100,200,300,400,500,600,700,800,900,1000,1100,1200,1300</t>
  </si>
  <si>
    <t>76294|2321000|12571352|MQ22FLUX208P         ET3,76228|2077000|12093480|MQ22OP2004E          TP2PE200,79507|30000004|12989466|MQ22RC691_H          RC1,76138|3014600|13155056|MQ22GS0650T          GS5,76138|3014600|13155052|MQ22GS0650T          GS5,76020|300</t>
  </si>
  <si>
    <t>15|704496|00|00</t>
  </si>
  <si>
    <t>21319</t>
  </si>
  <si>
    <t>21319-2</t>
  </si>
  <si>
    <t>109011BN-000013446 | 4500304008 | 21010427200101</t>
  </si>
  <si>
    <t>76294|2321000|12571352|MQ22FLUX208P         ET3,76228|2077000|12093480|MQ22OP2004E          TP2PE200,79507|30000004|12989466|MQ22RC691_H          RC1,76003|2041000|11502100|MQ22KT200            BTRE200100,76029|3005900|12366965|MQ22SS1620           STS6,7</t>
  </si>
  <si>
    <t>15|706042|00|00</t>
  </si>
  <si>
    <t>21320</t>
  </si>
  <si>
    <t>21320-2</t>
  </si>
  <si>
    <t>109011BN-000013444 | 4500304006 | 21010427200101</t>
  </si>
  <si>
    <t>100,200,300,400,500,600,700,800,900,1000,1100</t>
  </si>
  <si>
    <t>76294|2321000|12571352|MQ22FLUX208P         ET3,76228|2077000|12093480|MQ22OP2004E          TP2PE200,79507|30000004|12989466|MQ22RC691_H          RC1,76020|3005900|11407572|MQ22SS1220           STS3,76020|3005900|13155058|MQ22SS1220           STS3,76023|3</t>
  </si>
  <si>
    <t>15|706044|00|00</t>
  </si>
  <si>
    <t>21321</t>
  </si>
  <si>
    <t>21321-2</t>
  </si>
  <si>
    <t>109011BN-000013445 | 4500304007 | 21010427200101</t>
  </si>
  <si>
    <t>39246|2064003|5420297|MXMT242K             meet:table,79378|9900400|12592971|PC-LIN-27829AIR      Lintex 27829AIR,70054|9900400|11410233|PC-VT-84.8500        Viasit 84.8500</t>
  </si>
  <si>
    <t>15|707138|00|00</t>
  </si>
  <si>
    <t>21722</t>
  </si>
  <si>
    <t>21722-2</t>
  </si>
  <si>
    <t>15_3_02</t>
  </si>
  <si>
    <t>Institut für organische Chemie Universität Innsbruck</t>
  </si>
  <si>
    <t>Innrain 80/82</t>
  </si>
  <si>
    <t>109011BN-000013501 | 4100144896 | 21010427200101</t>
  </si>
  <si>
    <t>Arbeitstisch - T. Magauer L.02.012</t>
  </si>
  <si>
    <t>Lift:1/Personenlift/2OG</t>
  </si>
  <si>
    <t>Universität Innsbruck|Österreich|6020|Innrain 52</t>
  </si>
  <si>
    <t>300,400</t>
  </si>
  <si>
    <t>31331|2050112|13199255|MXTI168              MOTION Arbeitstisch,76387|3099000|12115899|MQ22MIME             Mindermengenzuschlag</t>
  </si>
  <si>
    <t>THONHAUSER</t>
  </si>
  <si>
    <t>+43 664 1800238</t>
  </si>
  <si>
    <t>radka.thonhauser@neudoerfler.com</t>
  </si>
  <si>
    <t>15|707211|00|00</t>
  </si>
  <si>
    <t>21204</t>
  </si>
  <si>
    <t xml:space="preserve">Bestellung 47000285203 v.24.02.2025 - Fr. Iris Kna | Büro: Erastzteilmagazin | </t>
  </si>
  <si>
    <t>**Bestellung 4700028203 von 24.02.2025 / Fr. Iris Kanpp** Betreff: Büro Labor Hr. Tratter (1xE-Hebeti.180x80cm+TIPW)</t>
  </si>
  <si>
    <t>Plan:2|WAB/Ladezone:0/0|Zufahrt:| |Mo-Do 7:30-12:00 + 13:00-14:30 und Fr. 7:30-11:00</t>
  </si>
  <si>
    <t>Papierfabrik Wattens GmbH &amp; Co KG|Österreich|6112|Ludwig-Lassl-Straße 15</t>
  </si>
  <si>
    <t>31509|2070010|12000077|MXOP1804             Tischpinnwand organisierbarGrundplatte 32 mm_x000D_
----------_x000D_
68687|2301003|13192388|FLUX188P             Flux E plus, E-Hebetisch</t>
  </si>
  <si>
    <t>68687|2301003|13192388|FLUX188P             Flux E plus, E-Hebetisch,31509|2070010|12000077|MXOP1804             Tischpinnwand organisierbarGrundplatte 32 mm</t>
  </si>
  <si>
    <t>11|708250|00|00</t>
  </si>
  <si>
    <t>21887</t>
  </si>
  <si>
    <t xml:space="preserve">Bestellung per Mail am 11.03.2025 </t>
  </si>
  <si>
    <t>BDO Austria Holding|Österreich|1100|Am Belvedere 4</t>
  </si>
  <si>
    <t>78971|30000004|13063320|CONT-RC              Rollcont. mit seitl. Eingriff</t>
  </si>
  <si>
    <t>11|708368|00|00</t>
  </si>
  <si>
    <t>21752</t>
  </si>
  <si>
    <t>109011BN-000013486 | 109011BN-000013486 | 21010427200101</t>
  </si>
  <si>
    <t xml:space="preserve">109011BN-000013486 </t>
  </si>
  <si>
    <t>VertretungsNetz -|Österreich|1030|Ungargasse 66/2/3.OG</t>
  </si>
  <si>
    <t>75745|2041000|11616496|MQ22TI168            ATR4_x000D_
----------_x000D_
76387|3099000|12115897|MQ22MIME             Mindermengenzuschlag</t>
  </si>
  <si>
    <t>75745|2041000|11616496|MQ22TI168            ATR4,76387|3099000|12115897|MQ22MIME             Mindermengenzuschlag</t>
  </si>
  <si>
    <t>15|706324|00|00</t>
  </si>
  <si>
    <t>21188</t>
  </si>
  <si>
    <t>Bauamt - Teil 1 Möbel</t>
  </si>
  <si>
    <t>Lift:1/200x94x140/2OG</t>
  </si>
  <si>
    <t>Plan:1|WAB/Ladezone:0/0|Zufahrt:| |</t>
  </si>
  <si>
    <t>Gemeinde Kirchbichl|Österreich|6322|Oberndorferstraße 1</t>
  </si>
  <si>
    <t>100,200,300,400,500,600,700,800,900,1000,1100,1200,1300,1400,1500,1600,1700,1800,1900,2000,2200</t>
  </si>
  <si>
    <t>15670|1090502|11336492|ZBKAS-SW             Kabeldurchführung_x000D_
----------_x000D_
48224|2061803|11053612|DREYFUSS-200         Besprechungstisch_x000D_
----------_x000D_
49320|2083002|13168662|AERT0820             Designprogramm Aer 2 OH_x000D_
----------_x000D_
49320|2083002|13168662|AERT0820             Designprogramm Aer 2 OH_x000D_
----------_x000D_
49320|2083002|13168676|AERT0820             Designprogramm Aer 2 OH_x000D_
----------_x000D_
49320|2083002|13168682|AERT0820             Designprogramm Aer 2 OH_x000D_
----------_x000D_
49414|2083002|12011775|AERT1020             Designprogramm Aer 2 OH_x000D_
----------_x000D_
49414|2083002|12011785|AERT1020             Designprogramm Aer 2 OH_x000D_
----------_x000D_
49414|2083002|13168668|AERT1020             Designprogramm Aer 2 OH_x000D_
----------_x000D_
49414|2083002|13168668|AERT1020             Designprogramm Aer 2 OH_x000D_
----------_x000D_
49980|2084002|8505536|AERP04               Designprogramm Aer Abdeckplatte_x000D_
----------_x000D_
49980|2084002|8519834|AERP04               Designprogramm Aer Abdeckplatte_x000D_
----------_x000D_
66005|3990001|9912412|MONTAGEPAU           Montag</t>
  </si>
  <si>
    <t>76295|2321000|13174934|MQ22FLUX209P         ET4,76295|2321000|13174940|MQ22FLUX209P         ET4,76381|2099204|10717645|MQ22CP-SW-FLUX       CPUH2,15670|1090502|11336492|ZBKAS-SW             Kabeldurchführung,66005|3990001|9912412|MONTAGEPAU           Mont</t>
  </si>
  <si>
    <t xml:space="preserve">29767 </t>
  </si>
  <si>
    <t>29767</t>
  </si>
  <si>
    <t>SC INNSBRUCK Tour 10.04</t>
  </si>
  <si>
    <t>21188-2</t>
  </si>
  <si>
    <t>WY-657AN</t>
  </si>
  <si>
    <t>Gemeinde Kirchbichl</t>
  </si>
  <si>
    <t>Oberndorferstraße 1</t>
  </si>
  <si>
    <t>Kirchbichl</t>
  </si>
  <si>
    <t>6322</t>
  </si>
  <si>
    <t>(Aufk) Innsbruck - (Ent) Kirchbichl - (Ent) Wörgl - (Ent) Schwaz - (Ent) Wattens</t>
  </si>
  <si>
    <t>21752-2</t>
  </si>
  <si>
    <t>VertretungsNetz - Erwachsenenvertretung</t>
  </si>
  <si>
    <t>Kanzler-Biener-Straße 8a</t>
  </si>
  <si>
    <t>Wörgl</t>
  </si>
  <si>
    <t>6300</t>
  </si>
  <si>
    <t>21887-2</t>
  </si>
  <si>
    <t>BDO Austria Holding</t>
  </si>
  <si>
    <t>Postgasse 1 / B1</t>
  </si>
  <si>
    <t>Schwaz</t>
  </si>
  <si>
    <t>6130</t>
  </si>
  <si>
    <t>21204-2</t>
  </si>
  <si>
    <t>Papierfabrik Wattens GmbH&amp;CoKG</t>
  </si>
  <si>
    <t>Bahnhofstraße 26</t>
  </si>
  <si>
    <t>Wattens</t>
  </si>
  <si>
    <t>6112</t>
  </si>
  <si>
    <t>Wohnungsvergabe Innsbruck</t>
  </si>
  <si>
    <t xml:space="preserve">Stop 0:_x000D_
• 100 | 15662 | 1090203 | 11379368 | ZBLÜG-AL10 - ALU-Lüftungsgitter B100 mm_x000D_
• 200 | 15667 | 1090502 | 11490435 | ZBLÜG-KS - Lüft.gitter Kunststoff 222x57 mm_x000D_
• 300 | 15667 | 1090502 | 11490435 | ZBLÜG-KS - Lüft.gitter Kunststoff 222x57 mm_x000D_
• 400 | 21258 | 0 | 0 | SUSO-HW              . - _x000D_
• 500 | 21258 | 0 | 0 | SUSO-HW              . - _x000D_
• 600 | 31319 | 2050112 | 13121163 | MXTI186 - MOTION Arbeitstisch_x000D_
• 700 | 44931 | 4090500 | 13114596 | SUPL12 - Platte 1,2cm Stärke_x000D_
• 800 | 44931 | 4090500 | 13114596 | SUPL12 - Platte 1,2cm Stärke_x000D_
• 900 | 66005 | 3990001 | 9912427 | MONTAGEPAU - Montage Pauschale_x000D_
• 1000 | 70056 | 0 | 0 | KOOK - Küche bestehend aus:_x000D_
• 1500 | 70056 | 0 | 0 | KOOK - Küche bestehend aus:_x000D_
• 1600 | 71940 | 9900400 | 11411364 | PC-VT-84.7500 - Viasit 84.7500_x000D_
• 1700 | 71940 | 9900400 | 11411364 | PC-VT-84.7500 - Viasit 84.7500_x000D_
• 1800 | 74014 | 9900400 | 12928367 | PC-CAMI-9K905-GR - Caimi 9K905-GR_x000D_
• 74015|9_x000D_
_x000D_
</t>
  </si>
  <si>
    <t>Amt der Tiroler LRG</t>
  </si>
  <si>
    <t xml:space="preserve">Stop 0:_x000D_
• 100 | 1248 | 3010120 | 10849295 | MOTS1030 - Drehtürschrank 3 OH_x000D_
• 150 | 1248 | 3010120 | 10849295 | MOTS1030 - Drehtürschrank 3 OH_x000D_
• 200 | 31333 | 2050112 | 12875787 | MXTI208 - MOTION Arbeitstisch_x000D_
• 300 | 31333 | 2050112 | 12875787 | MXTI208 - MOTION Arbeitstisch_x000D_
• 400 | 31333 | 2050112 | 12875787 | MXTI208 - MOTION Arbeitstisch_x000D_
• 600 | 31333 | 2050112 | 12875787 | MXTI208 - MOTION Arbeitstisch_x000D_
• 650 | 31333 | 2050112 | 12875787 | MXTI208 - MOTION Arbeitstisch_x000D_
• 700 | 31333 | 2050112 | 12875787 | MXTI208 - MOTION Arbeitstisch_x000D_
• 800 | 31333 | 2050112 | 12875787 | MXTI208 - MOTION Arbeitstisch_x000D_
• 900 | 31372 | 2050112 | 13021616 | MXTI200 - MOTION Arbeitstisch_x000D_
• 1100 | 31372 | 2050112 | 13021616 | MXTI200 - MOTION Arbeitstisch_x000D_
• 1300 | 33149 | 2061502 | 3235869 | MXBT100 - MOTION Besprechungstisch rund_x000D_
• 1400 | 33149 | 2061502 | 3235869 | MXBT100 - MOTION Besprechungstisch rund_x000D_
• 33149_x000D_
_x000D_
</t>
  </si>
  <si>
    <t>INNSBRUCK Tour</t>
  </si>
  <si>
    <t>15|706324|00|00, 11|708368|00|00, 11|708250|00|00, 15|707211|00|00</t>
  </si>
  <si>
    <t xml:space="preserve">Stop 1:_x000D_
• 100 | 15670 | 1090502 | 11336492 | ZBKAS-SW - Kabeldurchführung_x000D_
• 200 | 48224 | 2061803 | 11053612 | DREYFUSS-200 - Besprechungstisch_x000D_
• 300 | 49320 | 2083002 | 13168662 | AERT0820 - Designprogramm Aer 2 OH_x000D_
• 400 | 49320 | 2083002 | 13168662 | AERT0820 - Designprogramm Aer 2 OH_x000D_
• 500 | 49320 | 2083002 | 13168676 | AERT0820 - Designprogramm Aer 2 OH_x000D_
• 600 | 49320 | 2083002 | 13168682 | AERT0820 - Designprogramm Aer 2 OH_x000D_
• 700 | 49414 | 2083002 | 12011775 | AERT1020 - Designprogramm Aer 2 OH_x000D_
• 800 | 49414 | 2083002 | 12011785 | AERT1020 - Designprogramm Aer 2 OH_x000D_
• 900 | 49414 | 2083002 | 13168668 | AERT1020 - Designprogramm Aer 2 OH_x000D_
• 1000 | 49414 | 2083002 | 13168668 | AERT1020 - Designprogramm Aer 2 OH_x000D_
• 1100 | 49980 | 2084002 | 8505536 | AERP04 - Designprogramm Aer Abdeckplatte_x000D_
• 1200 | 49980 | 2084002 | 8519834 | AERP04 - Designprogramm Aer Abdeckplatte_x000D_
• 1300 | 66005 | 3990001 | 9912412 | MONTAGEPAU - Montag_x000D_
_x000D_
Stop 2:_x000D_
• 100 | 75745 | 2041000 | 11616496 | MQ22TI168 - ATR4_x000D_
• 200 | 76387 | 3099000 | 12115897 | MQ22MIME - Mindermengenzuschlag_x000D_
_x000D_
Stop 3:_x000D_
• 100 | 78971 | 30000004 | 13063320 | CONT-RC - Rollcont. mit seitl. Eingriff_x000D_
_x000D_
Stop 4:_x000D_
• 100 | 31509 | 2070010 | 12000077 | MXOP1804 - Tischpinnwand organisierbarGrundplatte 32 mm_x000D_
• 200 | 68687 | 2301003 | 13192388 | FLUX188P - Flux E plus, E-Hebetisch_x000D_
_x000D_
</t>
  </si>
  <si>
    <t>Stop-Zeit</t>
  </si>
  <si>
    <t xml:space="preserve">AB Info:  </t>
  </si>
  <si>
    <t xml:space="preserve">Gebäudeinfo:  </t>
  </si>
  <si>
    <t xml:space="preserve">Wichtiger Hinweis:  </t>
  </si>
  <si>
    <t xml:space="preserve">Anlieferinfo:  </t>
  </si>
  <si>
    <t>78743|3043005|10689892|XÖBB.PW1230          Wandpinnwand
----------
78915|3099000|9237925|XÖBB.MIME            Logistikzuschlag</t>
  </si>
  <si>
    <t>75671|3005900|11407574|MQ22SS1020           STS1
----------
76020|3005900|11407572|MQ22SS1220           STS3
----------
76020|3005900|13155058|MQ22SS1220           STS3
----------
76023|3005900|12750082|MQ22SS1230           STS4
----------
76054|3043005|11031043|MQ22PW1030           PW100
----------
76055|3043005|10726010|MQ22PW1230           PW120
----------
76061|3043401|6935175|MQ22PF10             FPW100
----------
76062|3043401|7137583|MQ22PF12             FPW120
----------
76138|3014600|13155052|MQ22GS0650T          GS5
----------
76138|3014600|13155056|MQ22GS0650T          GS5
----------
76228|2077000|12093480|MQ22OP2004E          TP2PE200
----------
76294|2321000|12571352|MQ22FLUX208P         ET3
----------
79507|30000004|12989466|MQ22RC691_H          RC1</t>
  </si>
  <si>
    <t>76003|2041000|11502100|MQ22KT200            BTRE200100
----------
76029|3005900|12366965|MQ22SS1620           STS6
----------
76053|3043005|10831350|MQ22PW0830           PW80
----------
76060|3043401|9052352|MQ22PF08             FPW80
----------
76138|3014600|13155052|MQ22GS0650T          GS5
----------
76138|3014600|13155056|MQ22GS0650T          GS5
----------
76216|3040009|10722496|MQ22GW0650           WG60
----------
76228|2077000|12093480|MQ22OP2004E          TP2PE200
----------
76294|2321000|12571352|MQ22FLUX208P         ET3
----------
79507|30000004|12989466|MQ22RC691_H          RC1</t>
  </si>
  <si>
    <t>74472|9900400|11949102|PC-VT-650.1500       Viasit 650.1500
----------
76020|3005900|11407572|MQ22SS1220           STS3
----------
76020|3005900|13155058|MQ22SS1220           STS3
----------
76023|3005900|12750082|MQ22SS1230           STS4
----------
76055|3043005|10726010|MQ22PW1230           PW120
----------
76062|3043401|7137583|MQ22PF12             FPW120
----------
76138|3014600|13155052|MQ22GS0650T          GS5
----------
76138|3014600|13155056|MQ22GS0650T          GS5
----------
76228|2077000|12093480|MQ22OP2004E          TP2PE200
----------
76294|2321000|12571352|MQ22FLUX208P         ET3
----------
79507|30000004|12989466|MQ22RC691_H          RC1</t>
  </si>
  <si>
    <t>39246|2064003|5420297|MXMT242K             meet:table
----------
70054|9900400|11410233|PC-VT-84.8500        Viasit 84.8500
----------
79378|9900400|12592971|PC-LIN-27829AIR      Lintex 27829AIR</t>
  </si>
  <si>
    <t>31331|2050112|13199255|MXTI168              MOTION Arbeitstisch
----------
76387|3099000|12115899|MQ22MIME             Mindermengenzuschlag</t>
  </si>
  <si>
    <t>NOS-Verkäufer</t>
  </si>
  <si>
    <t>[[Nos_Ansprechpartner]]</t>
  </si>
  <si>
    <t>[[Nos_Tel]]</t>
  </si>
  <si>
    <t>[[Nos_Mail]]</t>
  </si>
  <si>
    <t>Stückzahl</t>
  </si>
  <si>
    <t>15_2_01</t>
  </si>
  <si>
    <t>78743|3043005|10689892|XÖBB.PW1230          Wandpinnwand_x000D_
----------_x000D_
78915|3099000|9237925|XÖBB.MIME            Logistikzuschlag</t>
  </si>
  <si>
    <t>(Aufk) Innsbruck - (Ent) Innsbruck - (Ent) Innsbruck - (Ent) Innsbruck - (Ent) Innsbruck - (Ent) Innsbruck - (Ent) Innsbruck - (Ent) Innsbruck - (Ent) Innsbruck</t>
  </si>
  <si>
    <t>75671|3005900|11407574|MQ22SS1020           STS1_x000D_
----------_x000D_
76020|3005900|11407572|MQ22SS1220           STS3_x000D_
----------_x000D_
76020|3005900|13155058|MQ22SS1220           STS3_x000D_
----------_x000D_
76023|3005900|12750082|MQ22SS1230           STS4_x000D_
----------_x000D_
76054|3043005|11031043|MQ22PW1030           PW100_x000D_
----------_x000D_
76055|3043005|10726010|MQ22PW1230           PW120_x000D_
----------_x000D_
76061|3043401|6935175|MQ22PF10             FPW100_x000D_
----------_x000D_
76062|3043401|7137583|MQ22PF12             FPW120_x000D_
----------_x000D_
76138|3014600|13155052|MQ22GS0650T          GS5_x000D_
----------_x000D_
76138|3014600|13155056|MQ22GS0650T          GS5_x000D_
----------_x000D_
76228|2077000|12093480|MQ22OP2004E          TP2PE200_x000D_
----------_x000D_
76294|2321000|12571352|MQ22FLUX208P         ET3_x000D_
----------_x000D_
79507|30000004|12989466|MQ22RC691_H          RC1</t>
  </si>
  <si>
    <t>76003|2041000|11502100|MQ22KT200            BTRE200100_x000D_
----------_x000D_
76029|3005900|12366965|MQ22SS1620           STS6_x000D_
----------_x000D_
76053|3043005|10831350|MQ22PW0830           PW80_x000D_
----------_x000D_
76060|3043401|9052352|MQ22PF08             FPW80_x000D_
----------_x000D_
76138|3014600|13155052|MQ22GS0650T          GS5_x000D_
----------_x000D_
76138|3014600|13155056|MQ22GS0650T          GS5_x000D_
----------_x000D_
76216|3040009|10722496|MQ22GW0650           WG60_x000D_
----------_x000D_
76228|2077000|12093480|MQ22OP2004E          TP2PE200_x000D_
----------_x000D_
76294|2321000|12571352|MQ22FLUX208P         ET3_x000D_
----------_x000D_
79507|30000004|12989466|MQ22RC691_H          RC1</t>
  </si>
  <si>
    <t>74472|9900400|11949102|PC-VT-650.1500       Viasit 650.1500_x000D_
----------_x000D_
76020|3005900|11407572|MQ22SS1220           STS3_x000D_
----------_x000D_
76020|3005900|13155058|MQ22SS1220           STS3_x000D_
----------_x000D_
76023|3005900|12750082|MQ22SS1230           STS4_x000D_
----------_x000D_
76055|3043005|10726010|MQ22PW1230           PW120_x000D_
----------_x000D_
76062|3043401|7137583|MQ22PF12             FPW120_x000D_
----------_x000D_
76138|3014600|13155052|MQ22GS0650T          GS5_x000D_
----------_x000D_
76138|3014600|13155056|MQ22GS0650T          GS5_x000D_
----------_x000D_
76228|2077000|12093480|MQ22OP2004E          TP2PE200_x000D_
----------_x000D_
76294|2321000|12571352|MQ22FLUX208P         ET3_x000D_
----------_x000D_
79507|30000004|12989466|MQ22RC691_H          RC1</t>
  </si>
  <si>
    <t>39246|2064003|5420297|MXMT242K             meet:table_x000D_
----------_x000D_
70054|9900400|11410233|PC-VT-84.8500        Viasit 84.8500_x000D_
----------_x000D_
79378|9900400|12592971|PC-LIN-27829AIR      Lintex 27829AIR</t>
  </si>
  <si>
    <t>31331|2050112|13199255|MXTI168              MOTION Arbeitstisch_x000D_
----------_x000D_
76387|3099000|12115899|MQ22MIME             Mindermengenzuschlag</t>
  </si>
  <si>
    <t>15|709634|00|00</t>
  </si>
  <si>
    <t>22502</t>
  </si>
  <si>
    <t>22502-2</t>
  </si>
  <si>
    <t>BFÖ, Bereich Sekretariat, RNr. 111; 1.OG</t>
  </si>
  <si>
    <t>Herzog-Siegmund-Ufer 15</t>
  </si>
  <si>
    <t>109011BN-000012246 | 4100139526 | 21010427200101</t>
  </si>
  <si>
    <t xml:space="preserve">Rekla zu AID 15/691664 </t>
  </si>
  <si>
    <t>Lift:1/Lastenlift/1OG</t>
  </si>
  <si>
    <t>44932|4090500|12946758|SUPL19               Platte 1,9cm Stärke_x000D_
----------_x000D_
66005|3990001|9912412|MONTAGEPAU           Montage Pauschale</t>
  </si>
  <si>
    <t>44932|4090500|12946758|SUPL19               Platte 1,9cm Stärke,66005|3990001|9912412|MONTAGEPAU           Montage Pauschale</t>
  </si>
  <si>
    <t>15|709689|00|00</t>
  </si>
  <si>
    <t>22506</t>
  </si>
  <si>
    <t>22506-2</t>
  </si>
  <si>
    <t>Tirol Kliniken GmbH MZA 3OG NC Ambulanz</t>
  </si>
  <si>
    <t>Anichstraße 35</t>
  </si>
  <si>
    <t>109011BN-000012485 | 4900047830 | 21010427200101</t>
  </si>
  <si>
    <t xml:space="preserve">Reklamation zu Erstauftrag 15/692941 </t>
  </si>
  <si>
    <t>Plan:2|WAB/Ladezone:1/0|Zufahrt:Gebäude MZA 3.OG| |</t>
  </si>
  <si>
    <t>Tirol Kliniken GmbH|Österreich|6020|Anichstrass 35</t>
  </si>
  <si>
    <t>66005|3990001|9960583|MONTAGEPAU           Montage Pauschale_x000D_
----------_x000D_
76283|2321000|12153182|MQ22FLUX168P         ET1</t>
  </si>
  <si>
    <t>76283|2321000|12153182|MQ22FLUX168P         ET1,66005|3990001|9960583|MONTAGEPAU           Montage Pauschale</t>
  </si>
  <si>
    <t>Schmiedel</t>
  </si>
  <si>
    <t>+43 512 584008 815</t>
  </si>
  <si>
    <t>daniela.schmiedel@neudoerfler.com</t>
  </si>
  <si>
    <t>15|709747|00|00</t>
  </si>
  <si>
    <t>22517</t>
  </si>
  <si>
    <t>22517-2</t>
  </si>
  <si>
    <t>Servicecenter Innsbruck c/o Spedition Kapeller</t>
  </si>
  <si>
    <t>MONATGEAUFTREAG zu Erstauftrag 15/692275 Hebetischreperatur</t>
  </si>
  <si>
    <t>Lift:1/Kleiner Lift ca.100x2120cm/1OG</t>
  </si>
  <si>
    <t>Reklamation|30|0||5|80|80|0</t>
  </si>
  <si>
    <t>73532|0|0|FLUXZ_BT-PRO         Bedienelement ProLED Leiste + 2 Speicherpos.</t>
  </si>
  <si>
    <t>SCHMIED</t>
  </si>
  <si>
    <t>+43 664 4412011</t>
  </si>
  <si>
    <t>natascha.schmied@neudoerfler.com</t>
  </si>
  <si>
    <t>15|709750|00|00</t>
  </si>
  <si>
    <t>22518</t>
  </si>
  <si>
    <t>22518-2</t>
  </si>
  <si>
    <t>Tischreparaturauftrag aus Auftrag 15/703256</t>
  </si>
  <si>
    <t>Reklamation|30|0||1|80|80|0</t>
  </si>
  <si>
    <t>73533|0|0|FLUXZ_BT-PREM        Bedienelement PremiumDisplay + 4 Speicherpos.</t>
  </si>
  <si>
    <t>15|709746|00|00</t>
  </si>
  <si>
    <t>22516</t>
  </si>
  <si>
    <t>22516-2</t>
  </si>
  <si>
    <t xml:space="preserve"> |  | 21010427200101</t>
  </si>
  <si>
    <t xml:space="preserve">Reperaturauftrag zu 15/701153 </t>
  </si>
  <si>
    <t>Lift:1/210x160x210/5OG</t>
  </si>
  <si>
    <t>Plan:2|WAB/Ladezone:0/0|Zufahrt:| PW linksbündig montieren|</t>
  </si>
  <si>
    <t>15|709744|00|00</t>
  </si>
  <si>
    <t>22515</t>
  </si>
  <si>
    <t>22515-2</t>
  </si>
  <si>
    <t>SI4/4900668514 | 4900668514 | 4600031939</t>
  </si>
  <si>
    <t xml:space="preserve">Montageauftrag zu Erstauftrag 15/700338 </t>
  </si>
  <si>
    <t>15_2_02</t>
  </si>
  <si>
    <t>15|707382|00|00</t>
  </si>
  <si>
    <t>21295</t>
  </si>
  <si>
    <t xml:space="preserve">lt. Bestellung per Mail v. 27.02.2025 |  | </t>
  </si>
  <si>
    <t xml:space="preserve">Neubau Raum 417 + Ergänzungen </t>
  </si>
  <si>
    <t>Lift:1/ca.1x1,6m/4OG</t>
  </si>
  <si>
    <t>|1|1|DAP|5|80|80|0</t>
  </si>
  <si>
    <t>Plan:2|WAB/Ladezone:0/0|Zufahrt:| Schrankkombinatin 2OH+3OH+2OH (Leiter mitnehmen) + Plattenzuschnitt vor Ort|</t>
  </si>
  <si>
    <t>Bezirkshauptmannschaft Kufstein|Österreich|6330|Bozner Platz 1-3</t>
  </si>
  <si>
    <t>100,200,300,400,900,1000,1100,1200,1300,1400,1500,1600,1700</t>
  </si>
  <si>
    <t>1183|3000026|11610064|MOSS1020             Schiebetürschrank 2 OH_x000D_
----------_x000D_
1183|3000026|13194055|MOSS1020             Schiebetürschrank 2 OH_x000D_
----------_x000D_
1184|3000026|11678638|MOSS1030             Schiebetürschrank 3 OH_x000D_
----------_x000D_
1184|3000026|12698682|MOSS1030             Schiebetürschrank 3 OH_x000D_
----------_x000D_
1191|3000026|11610503|MOSS1230             Schiebetürschrank 3 OH_x000D_
----------_x000D_
1192|3000026|10854445|MOSS1240             Schiebetürschrank  4 OH_x000D_
----------_x000D_
1198|3000026|11440131|MOSS1620             Schiebetürschrank 2 OH_x000D_
----------_x000D_
1200|3000026|11110917|MOSS1640             Schiebetürschrank  4 OH_x000D_
----------_x000D_
31332|2050112|12871873|MXTI188              MOTION Arbeitstisch_x000D_
----------_x000D_
44933|4090500|13194050|SUPL25               Platte 2,5cm Stärke_x000D_
----------_x000D_
583|3000026|11858729|MOSS1220             Schiebetürschrank 2 OH_x000D_
----------_x000D_
66005|3990001|9912429|MONTAGEPAU           Montage Pauschale_x000D_
----------_x000D_
78971|30000004|13009056|CONT-RC              Rollcont. mit seitl. Eingriff</t>
  </si>
  <si>
    <t xml:space="preserve">31332|2050112|12871873|MXTI188              MOTION Arbeitstisch,44933|4090500|13194050|SUPL25               Platte 2,5cm Stärke,1191|3000026|11610503|MOSS1230             Schiebetürschrank 3 OH,1184|3000026|11678638|MOSS1030             Schiebetürschrank </t>
  </si>
  <si>
    <t xml:space="preserve">29784 </t>
  </si>
  <si>
    <t>29784</t>
  </si>
  <si>
    <t>SC INNSBRUCK Tour 11.04</t>
  </si>
  <si>
    <t>21295-2</t>
  </si>
  <si>
    <t>Bezirkshauptmannschaft Kufstein</t>
  </si>
  <si>
    <t>Bozner Platz 1-3</t>
  </si>
  <si>
    <t>Kufstein</t>
  </si>
  <si>
    <t>6330</t>
  </si>
  <si>
    <t>(Aufk) Innsbruck - (Ent) Kufstein</t>
  </si>
  <si>
    <t>15|705676|00|00</t>
  </si>
  <si>
    <t>20800</t>
  </si>
  <si>
    <t>15_1_01</t>
  </si>
  <si>
    <t xml:space="preserve">**lt. Bestellung v.17.02.2025 - GZ: LuR-0-7/1/1121 | **Betreff: Möbel Bürocontainer Imst** | </t>
  </si>
  <si>
    <t>**Bestellung v.17.02.2025 - GZ: LuR-0-7/1/1121-2025** *Betreff: Möbel Bürocontainer Imst</t>
  </si>
  <si>
    <t>Plan:1|WAB/Ladezone:0/0|Zufahrt:Ansprechpartner v.Ort Hr. Falbesoner Mario +43 676885087636|Aufstellung der Möbel lt. Anweisung von Kunde Hr. Falbesoner |</t>
  </si>
  <si>
    <t>Amt der Tiroler Landesregierung|Österreich|6020|Herrengasse 3</t>
  </si>
  <si>
    <t>100,200,300,550,800</t>
  </si>
  <si>
    <t>2554|3040202|29944|MOGWGS               Garderobeständer_x000D_
----------_x000D_
31333|2050112|12897630|MXTI208              MOTION Arbeitstisch_x000D_
----------_x000D_
51842|0|0|MONTM                Montagepauschale_x000D_
----------_x000D_
69203|3327000|10812755|XLR.TS1020           Drehtürschrank 2 OH_x000D_
----------_x000D_
80469|30000201|12817291|LHRC691_H            Rollcont. mit seitl. Eingriff</t>
  </si>
  <si>
    <t>31333|2050112|12897630|MXTI208              MOTION Arbeitstisch,80469|30000201|12817291|LHRC691_H            Rollcont. mit seitl. Eingriff,69203|3327000|10812755|XLR.TS1020           Drehtürschrank 2 OH,2554|3040202|29944|MOGWGS               Garderobestä</t>
  </si>
  <si>
    <t>15|706298|00|00</t>
  </si>
  <si>
    <t>20804</t>
  </si>
  <si>
    <t>109011BN-000013363 | 109011BN-000013363 | 21010427200101</t>
  </si>
  <si>
    <t xml:space="preserve">Sammelbestellung 13.02.2025 </t>
  </si>
  <si>
    <t>Plan:2|WAB/Ladezone:0/0|Zufahrt:|Achtung Fußgängerzone nur bis 10:30 befahrbar |</t>
  </si>
  <si>
    <t>35284|0|0|MXEPHE               Motion Empfangspult High End_x000D_
----------_x000D_
75841|2043500|2885907|MQ22BT080            BTRQ2_x000D_
----------_x000D_
76048|2091700|4518193|MQ22CADDY            C1_x000D_
----------_x000D_
76053|3043005|10679864|MQ22PW0830           PW80_x000D_
----------_x000D_
76060|3043401|134135|MQ22PF08             FPW80_x000D_
----------_x000D_
76216|3040009|10703367|MQ22GW0650           WG60_x000D_
----------_x000D_
76216|3040009|10703367|MQ22GW0650           WG60_x000D_
----------_x000D_
76250|2077100|12119693|MQ22OP1804B          TP2PB180_x000D_
----------_x000D_
76293|2321000|12176484|MQ22FLUX188P         ET2_x000D_
----------_x000D_
76296|2321000|12192782|MQ22FLUX200P         ET5_x000D_
----------_x000D_
9929|0|0|SUKL                 Kleinteile</t>
  </si>
  <si>
    <t>76216|3040009|10703367|MQ22GW0650           WG60,76048|2091700|4518193|MQ22CADDY            C1,76296|2321000|12192782|MQ22FLUX200P         ET5,35284|0|0|MXEPHE               Motion Empfangspult High End,9929|0|0|SUKL                 Kleinteile,76293|23210</t>
  </si>
  <si>
    <t>15|705248|00|00</t>
  </si>
  <si>
    <t>20799</t>
  </si>
  <si>
    <t xml:space="preserve">*Bestellung v.17.02.2025 - GZ: LVerw-AL8/6/1216-20 | Betreff: Lager Bestellung Feb.2025 Landhaus LH1 | </t>
  </si>
  <si>
    <t>*lt.Bestellung von 17.02.25 - GZ: LVerw-AL8/6/1216-2025* Betreff: Lagerbestellung LH1 - Feber 25</t>
  </si>
  <si>
    <t>Lift:1/ca.1,2x2m/5OG</t>
  </si>
  <si>
    <t>Plan:2|WAB/Ladezone:0/0|Zufahrt:Lager LH1 DG| |</t>
  </si>
  <si>
    <t>33363|2071500|3020691|MXAP20               MOTION Organisationspaneel_x000D_
----------_x000D_
51842|0|0|MONTM                Montagepauschale_x000D_
----------_x000D_
69197|3327000|10803767|XLR.SS2020           Schiebetürschrank 2 OH_x000D_
----------_x000D_
69203|3327000|10812755|XLR.TS1020           Drehtürschrank 2 OH_x000D_
----------_x000D_
80469|30000201|12817290|LHRC691_H            Rollcont. mit seitl. Eingriff</t>
  </si>
  <si>
    <t>69197|3327000|10803767|XLR.SS2020           Schiebetürschrank 2 OH,69203|3327000|10812755|XLR.TS1020           Drehtürschrank 2 OH,33363|2071500|3020691|MXAP20               MOTION Organisationspaneel,80469|30000201|12817290|LHRC691_H            Rollcont.</t>
  </si>
  <si>
    <t>15|704871|00|00</t>
  </si>
  <si>
    <t>21531</t>
  </si>
  <si>
    <t>109011BN-000013464 | 512500208 | 21010427200101</t>
  </si>
  <si>
    <t xml:space="preserve">Nachlieferung Mautstelle St. Jakob </t>
  </si>
  <si>
    <t>ASFINAG Maut Service GmbH|Österreich|5020|Alpenstraße  99</t>
  </si>
  <si>
    <t>76217|3040009|10720245|MQ22GW0850           WG80_x000D_
----------_x000D_
76228|2077000|13158579|MQ22OP2004E          TP2PE200_x000D_
----------_x000D_
76387|3099000|12115899|MQ22MIME             Mindermengenzuschlag_x000D_
----------_x000D_
79507|30000004|13082909|MQ22RC691_H          RC1</t>
  </si>
  <si>
    <t>79507|30000004|13082909|MQ22RC691_H          RC1,76217|3040009|10720245|MQ22GW0850           WG80,76228|2077000|13158579|MQ22OP2004E          TP2PE200,76387|3099000|12115899|MQ22MIME             Mindermengenzuschlag</t>
  </si>
  <si>
    <t>15|707539|00|00</t>
  </si>
  <si>
    <t>21586</t>
  </si>
  <si>
    <t>109011BN-000013499 | 442500505 | 21010427200101</t>
  </si>
  <si>
    <t xml:space="preserve">Betreff: Eckhebetische </t>
  </si>
  <si>
    <t>Plan:2|WAB/Ladezone:0/0|Zufahrt:|EG + 5 Stufen |</t>
  </si>
  <si>
    <t>ASFINAG Alpenstraßen GmbH Rennweg|Österreich|1000|Business Center 807</t>
  </si>
  <si>
    <t>31318|2050112|13195358|MXTI166              MOTION Arbeitstisch_x000D_
----------_x000D_
44932|4090500|13010067|SUPL19               Platte 1,9cm Stärke_x000D_
----------_x000D_
44932|4090500|13195366|SUPL19               Platte 1,9cm Stärke_x000D_
----------_x000D_
68688|2301003|13195346|FLUX208P             Flux E plus, E-Hebetisch_x000D_
----------_x000D_
68688|2301003|13195352|FLUX208P             Flux E plus, E-Hebetisch_x000D_
----------_x000D_
76000|2041000|11964689|MQ22KT147            BTRE14070_x000D_
----------_x000D_
77775|2306000|13195348|FLUX166P_AT          Flux E plus Anbautisch_x000D_
----------_x000D_
77775|2306000|13195354|FLUX166P_AT          Flux E plus Anbautisch</t>
  </si>
  <si>
    <t>76000|2041000|11964689|MQ22KT147            BTRE14070,68688|2301003|13195346|FLUX208P             Flux E plus, E-Hebetisch,77775|2306000|13195348|FLUX166P_AT          Flux E plus Anbautisch,68688|2301003|13195352|FLUX208P             Flux E plus, E-Hebeti</t>
  </si>
  <si>
    <t>15|708137|00|00</t>
  </si>
  <si>
    <t>21595</t>
  </si>
  <si>
    <t xml:space="preserve">Montageauftrag Abbau alter Tische und Wiederaufbau </t>
  </si>
  <si>
    <t>|7|1|DAP|1|80|80|0</t>
  </si>
  <si>
    <t>66041|3990001|9981157|MONTAGEREG           Montage Regie</t>
  </si>
  <si>
    <t>15|709503|00|00</t>
  </si>
  <si>
    <t>22349</t>
  </si>
  <si>
    <t>109011BN-000013142 | 4100143231 | 21010427200101</t>
  </si>
  <si>
    <t>Büro Dekan Rekla zu 15/702458</t>
  </si>
  <si>
    <t>66005|3990001|9907791|MONTAGEPAU           Montage Pauschale_x000D_
----------_x000D_
73533|0|0|FLUXZ_BT-PREM        Bedienelement PremiumDisplay + 4 Speicherpos.</t>
  </si>
  <si>
    <t>73533|0|0|FLUXZ_BT-PREM        Bedienelement PremiumDisplay + 4 Speicherpos.,66005|3990001|9907791|MONTAGEPAU           Montage Pauschale</t>
  </si>
  <si>
    <t>15|708518|00|00</t>
  </si>
  <si>
    <t>22491</t>
  </si>
  <si>
    <t xml:space="preserve">**Reklamation zu Erstauftrag AID 702284** | Austausch Tischplattte Pos.1.0 - FLUX E2 Hebetisch | </t>
  </si>
  <si>
    <t>**REKLAMATION zu Erstauftrag AID 15/702284** Betreff:  Austausch von 1.Stk Tischpl bei E-Fluxti.200x80cm</t>
  </si>
  <si>
    <t>Plan:2|WAB/Ladezone:0/0|Zufahrt:Austausch v.Tischplatte lt. Anweisung von Hr.Linsboth H.| |</t>
  </si>
  <si>
    <t>Gebrüder Weiss Ges.m.b.H|Österreich|6060|Löfflerweg 35</t>
  </si>
  <si>
    <t>200</t>
  </si>
  <si>
    <t>79847|9901104|12924632|NOS_ATE2.TLRES25     FLUX E2, rechteckig, mit T-Fuß,Spanplatte 25 mm</t>
  </si>
  <si>
    <t xml:space="preserve">29883 </t>
  </si>
  <si>
    <t>29883</t>
  </si>
  <si>
    <t>SC INNSBRUCK Tour 08.04 St. Anton</t>
  </si>
  <si>
    <t>21586-2</t>
  </si>
  <si>
    <t>ASFINAG Alpenstraße GmbH Autobahnmeisterei</t>
  </si>
  <si>
    <t>St. Jakob/Arlberg 151</t>
  </si>
  <si>
    <t>St. Anton am Arlberg</t>
  </si>
  <si>
    <t>6580</t>
  </si>
  <si>
    <t>(Aufk) Innsbruck - (Ent) St. Anton am Arlberg - (Ent) St. Anton a. Arlberg - (Ent) St. Anton am Arlberg - (Ent) Imst</t>
  </si>
  <si>
    <t>21531-2</t>
  </si>
  <si>
    <t>ASFINAG Maut Service GmbH Abt. Vertrieb</t>
  </si>
  <si>
    <t>St. Jakob / Arlberg 151</t>
  </si>
  <si>
    <t>St. Anton a. Arlberg</t>
  </si>
  <si>
    <t>21595-2</t>
  </si>
  <si>
    <t>20800-2</t>
  </si>
  <si>
    <t>LRG Tirol, SG Straßenerhalter, Betriebswerkstätte Imst, Bürocontainer, zh.Hr. Mario Falbesoner</t>
  </si>
  <si>
    <t>Industriezone 26</t>
  </si>
  <si>
    <t>Imst</t>
  </si>
  <si>
    <t>6460</t>
  </si>
  <si>
    <t xml:space="preserve">29884 </t>
  </si>
  <si>
    <t>29884</t>
  </si>
  <si>
    <t>SC INNSBRUCK Tour 08.04 Hall - Innsbruck</t>
  </si>
  <si>
    <t>22491-2</t>
  </si>
  <si>
    <t>Gebrüder Weiss Ges.m.b.H Transport und Logistik</t>
  </si>
  <si>
    <t>Löfflerweg 35</t>
  </si>
  <si>
    <t>Hall</t>
  </si>
  <si>
    <t>6060</t>
  </si>
  <si>
    <t>(Aufk) Innsbruck - (Ent) Hall - (Ent) Innsbruck - (Ent) Innsbruck - (Ent) Innsbruck</t>
  </si>
  <si>
    <t>22349-2</t>
  </si>
  <si>
    <t>Fakultät für Soziale und Politische Wissenschaften  zh.Hr.Mag. Dr. Sven Jeschke</t>
  </si>
  <si>
    <t>Universitätsstraße 15</t>
  </si>
  <si>
    <t>20804-2</t>
  </si>
  <si>
    <t>Referat Einkauf</t>
  </si>
  <si>
    <t>Fallmerayerstraße 1/P</t>
  </si>
  <si>
    <t>20799-2</t>
  </si>
  <si>
    <t>Amt der Tiroler LRG, Abt. Liegenschafts- verwaltung, Lager LVerw. LH1 - 5.OG</t>
  </si>
  <si>
    <t>Edaurd Walllnöfer Platz 3</t>
  </si>
  <si>
    <t xml:space="preserve">29923 </t>
  </si>
  <si>
    <t>29923</t>
  </si>
  <si>
    <t>Medizinische Uni Innsbruck 15.04</t>
  </si>
  <si>
    <t>15|707114|00|00</t>
  </si>
  <si>
    <t>21201</t>
  </si>
  <si>
    <t>21201-1</t>
  </si>
  <si>
    <t>15_1_02</t>
  </si>
  <si>
    <t>Medizinische Universität Innsbruck</t>
  </si>
  <si>
    <t>Schöpfstraße 41</t>
  </si>
  <si>
    <t>109011BN-000013435 | 4500061753 | 21010427200101</t>
  </si>
  <si>
    <t xml:space="preserve">Projekt 284 </t>
  </si>
  <si>
    <t>Lift:1/200x79x130/3OG</t>
  </si>
  <si>
    <t>Medizinische Universität Innsbruck|Österreich|6020|Innrain 52</t>
  </si>
  <si>
    <t>75746|2041000|11049185|MQ22TI188            ATR5_x000D_
----------_x000D_
75843|2043600|11192836|MQ22BT088            BTRQ4_x000D_
----------_x000D_
76020|3005900|11066287|MQ22SS1220           STS3_x000D_
----------_x000D_
76029|3005900|11036115|MQ22SS1620           STS6_x000D_
----------_x000D_
76032|3005900|11066267|MQ22SS1630           STS7_x000D_
----------_x000D_
76063|2099300|11053365|MQ22OPF06S           F20TP60_x000D_
----------_x000D_
76173|3033400|12242726|MQ22SR1230           RE16_x000D_
----------_x000D_
76175|3033400|13189403|MQ22SR1630           RE18_x000D_
----------_x000D_
76250|2077100|12137754|MQ22OP1804B          TP2PB180_x000D_
----------_x000D_
79507|30000004|12992337|MQ22RC691_H          RC1</t>
  </si>
  <si>
    <t>75746|2041000|11049185|MQ22TI188            ATR5,79507|30000004|12992337|MQ22RC691_H          RC1,76250|2077100|12137754|MQ22OP1804B          TP2PB180,76063|2099300|11053365|MQ22OPF06S           F20TP60,75843|2043600|11192836|MQ22BT088            BTRQ4,76</t>
  </si>
  <si>
    <t>15|705547|00|00</t>
  </si>
  <si>
    <t>21132</t>
  </si>
  <si>
    <t>21132-1</t>
  </si>
  <si>
    <t>15_2_01|2</t>
  </si>
  <si>
    <t>109011BN-000013369 | 4500061670 | 21010427200101</t>
  </si>
  <si>
    <t xml:space="preserve">267 Möbel </t>
  </si>
  <si>
    <t>Lift:1/200x79x130/1OG</t>
  </si>
  <si>
    <t>100,200,300,400,500,600,700,800,900,1000,1100,1200,1300,1400,1500,1600,1700,1800,1900,2000,2100,2200,2300,2400,2500,2600,2700,2800,2900,3000,3100,3200,3300,3400,3500,3600,3700,3800,3900,4000,4100,4200,4300,4400,4500,4600,4700,4800,4900,5000,5100,5200,5300</t>
  </si>
  <si>
    <t>44932|4090500|13166501|SUPL19               Platte 1,9cm Stärke_x000D_
----------_x000D_
66005|3990001|9912429|MONTAGEPAU           Montage Pauschale_x000D_
----------_x000D_
68700|2301003|13166647|FLUX200P             Flux E plus, E-Hebetisch_x000D_
----------_x000D_
75671|3005900|11217629|MQ22SS1020           STS1_x000D_
----------_x000D_
75671|3005900|11217629|MQ22SS1020           STS1_x000D_
----------_x000D_
75671|3005900|11432352|MQ22SS1020           STS1_x000D_
----------_x000D_
75743|2041000|11049163|MQ22TI128            ATR2_x000D_
----------_x000D_
75745|2041000|11049179|MQ22TI168            ATR4_x000D_
----------_x000D_
75745|2041000|11049179|MQ22TI168            ATR4_x000D_
----------_x000D_
75745|2041000|11049179|MQ22TI168            ATR4_x000D_
----------_x000D_
75745|2041000|11049179|MQ22TI168            ATR4_x000D_
----------_x000D_
75746|2041000|11049185|MQ22TI188            ATR5_x000D_
----------_x000D_
75746|2041000|11049185|MQ22TI188            ATR5_x000D_
----------_x000D_
75746|2041000|11049185|MQ22TI188            ATR5_x000D_
----------_x000D_
75747|2041000|11049198|MQ22TI208            ATR6_x000D_
----------_x000D_
75747|2041000|11049198|MQ22TI208            AT</t>
  </si>
  <si>
    <t>76032|3005900|11066267|MQ22SS1630           STS7,76029|3005900|11198106|MQ22SS1620           STS6,76055|3043005|10696010|MQ22PW1230           PW120,76053|3043005|10698404|MQ22PW0830           PW80,76060|3043401|11231845|MQ22PF08             FPW80,76062|30</t>
  </si>
  <si>
    <t>15|704428|00|00</t>
  </si>
  <si>
    <t>19629</t>
  </si>
  <si>
    <t xml:space="preserve">416/4503613140 | Anlage 24096 - 24103 Kostenstelle 30401 | </t>
  </si>
  <si>
    <t>Raum 6-G0-038 Dreh- und Besuchersessel (HW)</t>
  </si>
  <si>
    <t>Tirol Kliniken GmbH, Ö. Landes-|Österreich|6161|In der Stille 20</t>
  </si>
  <si>
    <t>300,1300,1400</t>
  </si>
  <si>
    <t>70126|9900400|11554990|PC-ZU-SV             Züco SV_x000D_
----------_x000D_
78273|9900400|13151538|PC-ROSC-DTEC-ST115-Q Braun dtec-st115-qsw_x000D_
----------_x000D_
79238|9900400|12550048|PC-ARTI-BESO         Artifort Beso</t>
  </si>
  <si>
    <t>70126|9900400|11554990|PC-ZU-SV             Züco SV,79238|9900400|12550048|PC-ARTI-BESO         Artifort Beso,78273|9900400|13151538|PC-ROSC-DTEC-ST115-Q Braun dtec-st115-qsw</t>
  </si>
  <si>
    <t>15|705574|00|00</t>
  </si>
  <si>
    <t>21231</t>
  </si>
  <si>
    <t>109011BN-000013407 | 4100144530 | 21010427200101</t>
  </si>
  <si>
    <t>1183|3000026|11029806|MOSS1020             Schiebetürschrank 2 OH_x000D_
----------_x000D_
2351|3031012|13166710|MORE1030             Regal 3 OH_x000D_
----------_x000D_
33149|2061502|5295841|MXBT100              MOTION Besprechungstisch rund_x000D_
----------_x000D_
70142|9900400|11554457|PC-ZU-DE             Züco DE_x000D_
----------_x000D_
70828|9900400|11158045|PC-LAPA-T80_BASE     LaPalma T80_Base_x000D_
----------_x000D_
76055|3043005|11046166|MQ22PW1230           PW120_x000D_
----------_x000D_
76385|0|0|MQ22PLS1             PLS1_x000D_
----------_x000D_
79367|3040503|13166716|MOGP618              Motion Garderobenpaneel_x000D_
----------_x000D_
79553|9900400|12624362|PC-LIN-40445         Lintex 40445_x000D_
----------_x000D_
80251|9900400|12773753|PC-LIN-91127S        Lintex 91127S</t>
  </si>
  <si>
    <t>1183|3000026|11029806|MOSS1020             Schiebetürschrank 2 OH,2351|3031012|13166710|MORE1030             Regal 3 OH,33149|2061502|5295841|MXBT100              MOTION Besprechungstisch rund,80251|9900400|12773753|PC-LIN-91127S        Lintex 91127S,7955</t>
  </si>
  <si>
    <t>15|706331|00|00</t>
  </si>
  <si>
    <t>21189</t>
  </si>
  <si>
    <t xml:space="preserve">429/4503635314 | Anlage 24230 - 24232Kostenstelle 30401 | </t>
  </si>
  <si>
    <t xml:space="preserve">Vorzimmer Direktion - Raum 52-G2-245A </t>
  </si>
  <si>
    <t>100,300,500,600,700</t>
  </si>
  <si>
    <t>21032|0|0|LIEFM                LIEFM_x000D_
----------_x000D_
31315|2050112|13175217|MXTI106              MOTION Arbeitstisch_x000D_
----------_x000D_
31512|2070010|13175216|MXOP2404             Tischpinnwand organisierbarGrundplatte 32 mm_x000D_
----------_x000D_
82140|9901104|12970659|N_ATL2.TLRES25       Flux E2 Plus, rechteckigmit T-Fuß, Spanpl.25 mm_x000D_
----------_x000D_
82140|9901104|12970659|N_ATL2.TLRES25       Flux E2 Plus, rechteckigmit T-Fuß, Spanpl.25 mm</t>
  </si>
  <si>
    <t>82140|9901104|12970659|N_ATL2.TLRES25       Flux E2 Plus, rechteckigmit T-Fuß, Spanpl.25 mm,31512|2070010|13175216|MXOP2404             Tischpinnwand organisierbarGrundplatte 32 mm,31315|2050112|13175217|MXTI106              MOTION Arbeitstisch,21032|0|0|</t>
  </si>
  <si>
    <t>15|707348|00|00</t>
  </si>
  <si>
    <t>21414</t>
  </si>
  <si>
    <t>109011BN-000013468 | 720/4503636858 | 21010427200101</t>
  </si>
  <si>
    <t>**BBG Bestellung 109011BN-000013468- SAP 4503636858** Betreff: E-Hebeti.160x80cm für Fr. Michaela Beiler</t>
  </si>
  <si>
    <t>Lift:1/ca.2,5x1,6m/1OG</t>
  </si>
  <si>
    <t>Plan:2|WAB/Ladezone:0/0|Zufahrt:Innere Medizin Geb.2 Nordtrakt Sekret. Fr.Beiler Michaela| |</t>
  </si>
  <si>
    <t>76283|2321000|12398428|MQ22FLUX168P         ET1_x000D_
----------_x000D_
76378|2099204|10717654|MQ22CP-SI-FLUX       CPUH1_x000D_
----------_x000D_
76387|3099000|12115901|MQ22MIME             Mindermengenzuschlag</t>
  </si>
  <si>
    <t>76283|2321000|12398428|MQ22FLUX168P         ET1,76378|2099204|10717654|MQ22CP-SI-FLUX       CPUH1,76387|3099000|12115901|MQ22MIME             Mindermengenzuschlag</t>
  </si>
  <si>
    <t>15|706882|00|00</t>
  </si>
  <si>
    <t>21404</t>
  </si>
  <si>
    <t>109011BN-000013465 | I66/LKF-35-G5-015 | 21010427200101</t>
  </si>
  <si>
    <t>**BBG Bestellung 109011BN-000013465 - I66/LKF-35-G5-015** Betreff: Raum 35-G5-014 - Innrain 66a - 5.OG</t>
  </si>
  <si>
    <t>Plan:2|WAB/Ladezone:0/0|Zufahrt:Hr. Günther Schatz Tel. 050 504 84671| |</t>
  </si>
  <si>
    <t>68569|2098000|4328870|MXZPWWIF             Pinnwandwinkel f. Fremdtisch_x000D_
----------_x000D_
75746|2041000|13092987|MQ22TI188            ATR5_x000D_
----------_x000D_
76249|2077100|12681500|MQ22OP1604B          TP2PB160_x000D_
----------_x000D_
76293|2321000|13184182|MQ22FLUX188P         ET2_x000D_
----------_x000D_
76378|2099204|10717654|MQ22CP-SI-FLUX       CPUH1_x000D_
----------_x000D_
79507|30000004|13063456|MQ22RC691_H          RC1</t>
  </si>
  <si>
    <t>76293|2321000|13184182|MQ22FLUX188P         ET2,76378|2099204|10717654|MQ22CP-SI-FLUX       CPUH1,76249|2077100|12681500|MQ22OP1604B          TP2PB160,68569|2098000|4328870|MXZPWWIF             Pinnwandwinkel f. Fremdtisch,75746|2041000|13092987|MQ22TI188</t>
  </si>
  <si>
    <t>15|707076|00|00</t>
  </si>
  <si>
    <t>21508</t>
  </si>
  <si>
    <t>109011BN-000013471 | 4500061773 | 21010427200101</t>
  </si>
  <si>
    <t xml:space="preserve">225 Möbel </t>
  </si>
  <si>
    <t>100,200,300,400,500,600,700,800,900,1000,1100,1200,1300,1400,1500,1600,1700,1800</t>
  </si>
  <si>
    <t>3568|3081305|11223710|MOZSR05FB            Fachboden f. Standregal_x000D_
----------_x000D_
39351|2075003|13188886|MXEP20               Empfangspult_x000D_
----------_x000D_
75743|2041000|11499996|MQ22TI128            ATR2_x000D_
----------_x000D_
75745|2041000|11049179|MQ22TI168            ATR4_x000D_
----------_x000D_
75974|3081305|10447732|MQ22ZS10FB-T         FBRB10044-3_x000D_
----------_x000D_
75994|2043600|11053277|MQ22BQ088            BTRQHF2_x000D_
----------_x000D_
76003|2041000|11053172|MQ22KT200            BTRE200100_x000D_
----------_x000D_
76017|3005900|11193082|MQ22SS1030           STS2_x000D_
----------_x000D_
76017|3005900|11193082|MQ22SS1030           STS2_x000D_
----------_x000D_
76063|2099300|11053365|MQ22OPF06S           F20TP60_x000D_
----------_x000D_
76063|2099300|11053365|MQ22OPF06S           F20TP60_x000D_
----------_x000D_
76164|3033500|11164907|MQ22SR0830           RE7_x000D_
----------_x000D_
76164|3033500|12272838|MQ22SR0830           RE7_x000D_
----------_x000D_
76167|3033500|13191390|MQ22SR0860           RE9_x000D_
----------_x000D_
76216|3040009|10879482|MQ22GW0650           WG60_x000D_
----------_x000D_
76249|2077100|12247658|MQ22OP1604B          TP2PB</t>
  </si>
  <si>
    <t xml:space="preserve">76216|3040009|10879482|MQ22GW0650           WG60,76167|3033500|13191390|MQ22SR0860           RE9,3568|3081305|11223710|MOZSR05FB            Fachboden f. Standregal,76164|3033500|11164907|MQ22SR0830           RE7,76251|2077100|12116181|MQ22OP2004B         </t>
  </si>
  <si>
    <t>15|703203|00|00</t>
  </si>
  <si>
    <t>21869</t>
  </si>
  <si>
    <t>109011BN-000013511 | 4100144926 | 21010427200101</t>
  </si>
  <si>
    <t>76387|3099000|12115899|MQ22MIME             Mindermengenzuschlag_x000D_
----------_x000D_
79507|30000004|12992337|MQ22RC691_H          RC1</t>
  </si>
  <si>
    <t>79507|30000004|12992337|MQ22RC691_H          RC1,76387|3099000|12115899|MQ22MIME             Mindermengenzuschlag</t>
  </si>
  <si>
    <t>15|708397|00|00</t>
  </si>
  <si>
    <t>21891</t>
  </si>
  <si>
    <t>109011BN-000013524 | 4500304515 | 21010427200101</t>
  </si>
  <si>
    <t xml:space="preserve">OG3 Raum 314 </t>
  </si>
  <si>
    <t>76054|3043005|11031043|MQ22PW1030           PW100_x000D_
----------_x000D_
76061|3043401|6935175|MQ22PF10             FPW100_x000D_
----------_x000D_
76063|2099300|9241622|MQ22OPF06S           F20TP60_x000D_
----------_x000D_
76251|2077100|12687932|MQ22OP2004B          TP2PB200_x000D_
----------_x000D_
79507|30000004|13201050|MQ22RC691_H          RC1</t>
  </si>
  <si>
    <t>76251|2077100|12687932|MQ22OP2004B          TP2PB200,76063|2099300|9241622|MQ22OPF06S           F20TP60,76054|3043005|11031043|MQ22PW1030           PW100,76061|3043401|6935175|MQ22PF10             FPW100,79507|30000004|13201050|MQ22RC691_H          RC1</t>
  </si>
  <si>
    <t>15|708421|00|00</t>
  </si>
  <si>
    <t>21893</t>
  </si>
  <si>
    <t xml:space="preserve">Rollcontainer </t>
  </si>
  <si>
    <t>Pagro Direkt für Großkunden GmbH|Österreich|2353|Industriestraße 7a</t>
  </si>
  <si>
    <t>78971|30000004|12959500|CONT-RC              Rollcont. mit seitl. Eingriff</t>
  </si>
  <si>
    <t>11|709431|00|00</t>
  </si>
  <si>
    <t>22306</t>
  </si>
  <si>
    <t xml:space="preserve">int. Auftrags-Nr.: 2025/0137 | Projekt-Nr.: 24-PRO0116 | </t>
  </si>
  <si>
    <t xml:space="preserve">** Reklamation zu AID 11/705884 - RG 424958 - 18.03.2025 </t>
  </si>
  <si>
    <t>Plan:2|WAB/Ladezone:1/0|Zufahrt:|Generalschlüssel erforderlich |</t>
  </si>
  <si>
    <t>DONAU Versicherung AG p. A.|Österreich|1010|Schottenring 15</t>
  </si>
  <si>
    <t>50,75,87,93</t>
  </si>
  <si>
    <t>15562|1091100|12153667|ZBSCH-SPK            Sperrkern inkl. 2 Schlüssel_x000D_
----------_x000D_
56129|0|0|ZBSCH-DGRR3          Drehgriff sperrbar re DG3 Softrin_x000D_
----------_x000D_
56130|0|0|ZBSCH-DGRL3          Drehgriff sperrbar li DG3 Softrin_x000D_
----------_x000D_
66005|3990001|9996007|MONTAGEPAU           Montage Pauschale</t>
  </si>
  <si>
    <t>56130|0|0|ZBSCH-DGRL3          Drehgriff sperrbar li DG3 Softrin,56129|0|0|ZBSCH-DGRR3          Drehgriff sperrbar re DG3 Softrin,15562|1091100|12153667|ZBSCH-SPK            Sperrkern inkl. 2 Schlüssel,66005|3990001|9996007|MONTAGEPAU           Montage Pa</t>
  </si>
  <si>
    <t>15|709401|00|00</t>
  </si>
  <si>
    <t>22418</t>
  </si>
  <si>
    <t xml:space="preserve">Rekla zu 15/696552, 15/694670, 15/669414 </t>
  </si>
  <si>
    <t>Lift:1/110x140/5OG</t>
  </si>
  <si>
    <t>Plan:2|WAB/Ladezone:0/0|Zufahrt:| Stichsäge mitnehmen|</t>
  </si>
  <si>
    <t>Sauter Meß- und Regeltechnik|Österreich|1220|Niedermoserstr. 11</t>
  </si>
  <si>
    <t>100,200,400,500</t>
  </si>
  <si>
    <t>31529|2070110|12778422|MXPW1804             Tischpinnwand lightGrundplatte 19 mm_x000D_
----------_x000D_
44932|4090500|13003346|SUPL19               Platte 1,9cm Stärke_x000D_
----------_x000D_
66005|3990001|11811906|MONTAGEPAU           Montage Pauschale_x000D_
----------_x000D_
68694|2301003|13226786|FLUX209P             Flux E plus, E-Hebetisch</t>
  </si>
  <si>
    <t>44932|4090500|13003346|SUPL19               Platte 1,9cm Stärke,66005|3990001|11811906|MONTAGEPAU           Montage Pauschale,68694|2301003|13226786|FLUX209P             Flux E plus, E-Hebetisch,31529|2070110|12778422|MXPW1804             Tischpinnwand li</t>
  </si>
  <si>
    <t xml:space="preserve">29965 </t>
  </si>
  <si>
    <t>29965</t>
  </si>
  <si>
    <t>SC INNSBRUCK Tour 14.04</t>
  </si>
  <si>
    <t>22306-2</t>
  </si>
  <si>
    <t>Donau Versicherung AG Landesdirektion Tirol</t>
  </si>
  <si>
    <t>Schlossergasse 1</t>
  </si>
  <si>
    <t>(Aufk) Innsbruck - (Ent) Innsbruck - (Ent) Innsrbuck - (Ent) Innsbruck - (Ent) Innsbruck - (Ent) Innsbruck - (Ent) Innsbruck - (Ent) Innsbruck</t>
  </si>
  <si>
    <t>21231-2</t>
  </si>
  <si>
    <t>Institut für Experimentalphysik</t>
  </si>
  <si>
    <t>Technikerstraße 25</t>
  </si>
  <si>
    <t>Innsrbuck</t>
  </si>
  <si>
    <t>21404-2</t>
  </si>
  <si>
    <t>Tirol Kliniken GmbH, Raum 35-G5-014/014A Stabsstelle LKF</t>
  </si>
  <si>
    <t>Innrain 66a</t>
  </si>
  <si>
    <t>21414-2</t>
  </si>
  <si>
    <t>Tirol Kliniken Ibk, Geb.2 Innere Med. Nordtrakt Raum 2-G1-007,  Sekret. Fr. Michaela Beiler</t>
  </si>
  <si>
    <t>21508-2</t>
  </si>
  <si>
    <t>Schöpfstraße 3</t>
  </si>
  <si>
    <t>21869-2</t>
  </si>
  <si>
    <t>Brenner Archiv</t>
  </si>
  <si>
    <t>Josef-Hirn-Straße 5</t>
  </si>
  <si>
    <t>22418-2</t>
  </si>
  <si>
    <t>Sauter Meß- und Regeltechnik</t>
  </si>
  <si>
    <t>Amraser Straße 8</t>
  </si>
  <si>
    <t xml:space="preserve">29966 </t>
  </si>
  <si>
    <t>29966</t>
  </si>
  <si>
    <t>SC INNSBRUCK Tour 18.04 Hochzirl - Natters - Innsbruck</t>
  </si>
  <si>
    <t>19629-2</t>
  </si>
  <si>
    <t>WY-980AY</t>
  </si>
  <si>
    <t>Tirol Kliniken GmbH Krankenhaus Hochzirl 6-G0-038</t>
  </si>
  <si>
    <t>Hochzirl 1</t>
  </si>
  <si>
    <t>Hochzirl</t>
  </si>
  <si>
    <t>6170</t>
  </si>
  <si>
    <t>(Aufk) Innsbruck - (Ent) Hochzirl - (Ent) Natters - (Ent) Innsbruck - (Ent) Innsbruck</t>
  </si>
  <si>
    <t>21189-2</t>
  </si>
  <si>
    <t>Tirol Kliniken GmbH Krankenhaus Natters Raum 52-G2-245A</t>
  </si>
  <si>
    <t>In der Stille 20</t>
  </si>
  <si>
    <t>Natters</t>
  </si>
  <si>
    <t>6161</t>
  </si>
  <si>
    <t>21891-2</t>
  </si>
  <si>
    <t>Geschäftsbereich Energieservcies 3. OG, Zimmer 314</t>
  </si>
  <si>
    <t>Salurner Straße 11</t>
  </si>
  <si>
    <t>21893-2</t>
  </si>
  <si>
    <t>Techem Messtechnik GmbH</t>
  </si>
  <si>
    <t>St. Bartlmä 2a</t>
  </si>
  <si>
    <t>Österreichische Postbus AG|Österreich|6020|Rossaugasse 10</t>
  </si>
  <si>
    <t xml:space="preserve">30311 </t>
  </si>
  <si>
    <t>30311</t>
  </si>
  <si>
    <t>BVAEB - Versicherung Innsbruck 24.04</t>
  </si>
  <si>
    <t>15|701925|00|00</t>
  </si>
  <si>
    <t>21348</t>
  </si>
  <si>
    <t>21348-1</t>
  </si>
  <si>
    <t>15_4_02</t>
  </si>
  <si>
    <t>BVAEB - Versicherungsanstalt</t>
  </si>
  <si>
    <t>Meinhardstraße 3</t>
  </si>
  <si>
    <t>109011BN-000013434 | 109011BN-000013434 | 21010427200101</t>
  </si>
  <si>
    <t xml:space="preserve">6.OG - Raum 604 </t>
  </si>
  <si>
    <t>Lift:1//6OG</t>
  </si>
  <si>
    <t>BVAEB - Versicherungsanstalt|Österreich|1080|Josefstädter Straße 80</t>
  </si>
  <si>
    <t>100,200,300,400,500,600,700,800,900,1000,1100,1200,1300,1400</t>
  </si>
  <si>
    <t>1285|3031305|11025941|MOSR1215             Standregal 1,5 OH_x000D_
----------_x000D_
15717|3060007|13114796|MOOS1611             Organisationsstellwand_x000D_
----------_x000D_
15718|3060007|13114794|MOOS1811             Organisationsstellwand_x000D_
----------_x000D_
31066|2058001|2861348|MXAX08               MOTION Anbauelement_x000D_
----------_x000D_
31330|2050112|13114790|MXTI148              MOTION Arbeitstisch_x000D_
----------_x000D_
31331|2050112|13107779|MXTI168              MOTION Arbeitstisch_x000D_
----------_x000D_
76003|2041000|12771147|MQ22KT200            BTRE200100_x000D_
----------_x000D_
76020|3005900|10004426|MQ22SS1220           STS3_x000D_
----------_x000D_
76020|3005900|10453637|MQ22SS1220           STS3_x000D_
----------_x000D_
76054|3043005|10681644|MQ22PW1030           PW100_x000D_
----------_x000D_
76067|1102105|2865211|MQ22DUSQ             A4SQTP_x000D_
----------_x000D_
76069|1102105|2865211|MQ22DUUS             USTP_x000D_
----------_x000D_
76071|2073503|4207308|MQ22STL2             SLTP2_x000D_
----------_x000D_
79507|30000003|12990822|MQ22RC691_H          RC1</t>
  </si>
  <si>
    <t>31330|2050112|13114790|MXTI148              MOTION Arbeitstisch,31331|2050112|13107779|MXTI168              MOTION Arbeitstisch,31066|2058001|2861348|MXAX08               MOTION Anbauelement,15718|3060007|13114794|MOOS1811             Organisationsstellwa</t>
  </si>
  <si>
    <t>(Lad) Neudörfl - (Ent) Innsbruck - (Ent) Innsbruck</t>
  </si>
  <si>
    <t>15|701924|00|00</t>
  </si>
  <si>
    <t>21347</t>
  </si>
  <si>
    <t>21347-1</t>
  </si>
  <si>
    <t>Meinhardstraße 1</t>
  </si>
  <si>
    <t xml:space="preserve">5OG - Räume 501 bis 505 </t>
  </si>
  <si>
    <t>31331|2050112|13107779|MXTI168              MOTION Arbeitstisch_x000D_
----------_x000D_
31331|2050112|13107779|MXTI168              MOTION Arbeitstisch_x000D_
----------_x000D_
31331|2050112|13107779|MXTI168              MOTION Arbeitstisch_x000D_
----------_x000D_
31331|2050112|13107779|MXTI168              MOTION Arbeitstisch_x000D_
----------_x000D_
31333|2050112|13114788|MXTI208              MOTION Arbeitstisch_x000D_
----------_x000D_
75999|2041000|10232303|MQ22KT126            BTRE12060_x000D_
----------_x000D_
76001|2041000|11396524|MQ22KT168            BTRE16080_x000D_
----------_x000D_
76017|3005900|10107417|MQ22SS1030           STS2_x000D_
----------_x000D_
76017|3005900|10107417|MQ22SS1030           STS2_x000D_
----------_x000D_
76017|3005900|10107417|MQ22SS1030           STS2_x000D_
----------_x000D_
76017|3005900|10107417|MQ22SS1030           STS2_x000D_
----------_x000D_
76017|3005900|10364113|MQ22SS1030           STS2_x000D_
----------_x000D_
76017|3005900|10364113|MQ22SS1030           STS2_x000D_
----------_x000D_
76017|3005900|10364113|MQ22SS1030           STS2_x000D_
----------_x000D_
76017|3005900|10364113|MQ22SS1030           STS2_x000D_
----------_x000D_
76020|300</t>
  </si>
  <si>
    <t xml:space="preserve">31333|2050112|13114788|MXTI208              MOTION Arbeitstisch,76251|2077100|13196043|MQ22OP2004B          TP2PB200,76071|2073503|4207308|MQ22STL2             SLTP2,76069|1102105|2865211|MQ22DUUS             USTP,76067|1102105|2865211|MQ22DUSQ           </t>
  </si>
  <si>
    <t xml:space="preserve">30313 </t>
  </si>
  <si>
    <t>30313</t>
  </si>
  <si>
    <t>SC INNSBRUCK Tour 24.04 Tiroler Kliniken</t>
  </si>
  <si>
    <t>15|704599|00|00</t>
  </si>
  <si>
    <t>21355</t>
  </si>
  <si>
    <t>21355-2</t>
  </si>
  <si>
    <t>Tirol Kliniken GmbH 2OG - Personalmamagement</t>
  </si>
  <si>
    <t>Kaiser-Josef-Straße 13</t>
  </si>
  <si>
    <t>109011BN-000013441 | 720/4900048679 | 21010427200101</t>
  </si>
  <si>
    <t>Raum 71-G2-002 bis 71-G2-009 Anlage 576447 Projekt: G02013410200 Adapt. Räume K.J. Str.</t>
  </si>
  <si>
    <t>Lift:1/kleiner Lift/2OG</t>
  </si>
  <si>
    <t>Plan:2|WAB/Ladezone:0/0|Zufahrt:|Lieferung mit WAB prinzipell möglich, jedoch kein Sattelzug |</t>
  </si>
  <si>
    <t>100,200,300,400,500,600,700,800,900,1000,1100,1200,1300,1400,1500,1600,1700,1800,1900,2000,2100,2200,2300,2400,2500,2600,2700,2800,2900,3000,3100,3200,3300,3400,3500,3600,3700,3800,3900,4000,4100,4200,4300,4400,4500,4600,4700,4800</t>
  </si>
  <si>
    <t xml:space="preserve">33150|2061502|11613104|MXBT120              MOTION Besprechungstisch rund_x000D_
----------_x000D_
39096|2064003|11003153|MXMT160E             meet:table_x000D_
----------_x000D_
75671|3005900|11580375|MQ22SS1020           STS1_x000D_
----------_x000D_
75671|3005900|11580375|MQ22SS1020           STS1_x000D_
----------_x000D_
75983|3081305|10447757|MQ22ZT06FB-T         FBRB6044-2_x000D_
----------_x000D_
75983|3081305|10447757|MQ22ZT06FB-T         FBRB6044-2_x000D_
----------_x000D_
75983|3081305|10447757|MQ22ZT06FB-T         FBRB6044-2_x000D_
----------_x000D_
75983|3081305|10447757|MQ22ZT06FB-T         FBRB6044-2_x000D_
----------_x000D_
76020|3005900|11195282|MQ22SS1220           STS3_x000D_
----------_x000D_
76054|3043005|10681644|MQ22PW1030           PW100_x000D_
----------_x000D_
76077|3014600|13155035|MQ22TS0650           DS1_x000D_
----------_x000D_
76101|3014600|11684488|MQ22TS0820           DS2_x000D_
----------_x000D_
76101|3014600|11987871|MQ22TS0820           DS2_x000D_
----------_x000D_
76137|3014600|11980460|MQ22GS0650S          GS1_x000D_
----------_x000D_
76137|3014600|11980460|MQ22GS0650S          GS1_x000D_
----------_x000D_
76137|3014600|11980460|MQ22GS0650S         </t>
  </si>
  <si>
    <t xml:space="preserve">76293|2321000|12153186|MQ22FLUX188P         ET2,80412|9900400|12799926|PC-SCHULELK-927_3    Schulte Elektrot. 927_3,76376|2099600|8732084|MQ22EKHV-T           KH2,76378|2099204|10717654|MQ22CP-SI-FLUX       CPUH1,76227|2077000|12729057|MQ22OP1804E        </t>
  </si>
  <si>
    <t>(Aufk) Innsbruck - (Ent) Innsbruck</t>
  </si>
  <si>
    <t>15|707607|00|00</t>
  </si>
  <si>
    <t>21926</t>
  </si>
  <si>
    <t>109011BN-000013485 | 4100144771 | 21010427200101</t>
  </si>
  <si>
    <t xml:space="preserve">ZI 40319 </t>
  </si>
  <si>
    <t>76387|3099000|12115901|MQ22MIME             Mindermengenzuschlag_x000D_
----------_x000D_
77997|2322001|13197133|MQ22TM188            MHT2</t>
  </si>
  <si>
    <t>77997|2322001|13197133|MQ22TM188            MHT2,76387|3099000|12115901|MQ22MIME             Mindermengenzuschlag</t>
  </si>
  <si>
    <t>15|707887|00|00</t>
  </si>
  <si>
    <t>21930</t>
  </si>
  <si>
    <t>Abrufbestellung VL4/445469996 v.10.03.25 - Hr. Hof | 4451469996 | 4600030817</t>
  </si>
  <si>
    <t>*Abrufbestellung VL4/4451469996 v.10.03.25 / Hr.Hofstadler* Betreff: Drehsessel Zimmer 227</t>
  </si>
  <si>
    <t>Lift:1/ca.1x2m/2OG</t>
  </si>
  <si>
    <t>Plan:2|WAB/Ladezone:0/0|Zufahrt:Hr. Bernhard Mairhofer Tel. +43 664 8295639| |</t>
  </si>
  <si>
    <t>ÖBB-Personenverkehr AG|Österreich|1100|Am Hauptbahnhof 2</t>
  </si>
  <si>
    <t>15|707563|00|00</t>
  </si>
  <si>
    <t>21925</t>
  </si>
  <si>
    <t>109011BN-000013514 | 109011BN-000013514 | 21010427200101</t>
  </si>
  <si>
    <t>Arbeitsmarktservice Tirol|Österreich|6020|Amraser Straße 8</t>
  </si>
  <si>
    <t>75996|2043600|9373521|MQ22BQ1010           BTRQHF3mit Zarge 430mm!_x000D_
----------_x000D_
76387|3099000|12115901|MQ22MIME             Mindermengenzuschlag_x000D_
----------_x000D_
9929|0|0|SUKL                 Kleinteile</t>
  </si>
  <si>
    <t>75996|2043600|9373521|MQ22BQ1010           BTRQHF3mit Zarge 430mm!,9929|0|0|SUKL                 Kleinteile,76387|3099000|12115901|MQ22MIME             Mindermengenzuschlag</t>
  </si>
  <si>
    <t>15|706417|00|00</t>
  </si>
  <si>
    <t>21871</t>
  </si>
  <si>
    <t xml:space="preserve">Lineo Schränke + Monitorhalter </t>
  </si>
  <si>
    <t>|3|1|DAP|4|80|95|0</t>
  </si>
  <si>
    <t>Geschäftsstelle Innsbruck Lager|Österreich|6020|Stadionstraße 1a Top 4</t>
  </si>
  <si>
    <t>100,200,300,400,500,600,700,800,900,1000,1100,1200</t>
  </si>
  <si>
    <t>2559|3041004|13194441|MOBL2520             Schrankverblendung_x000D_
----------_x000D_
44931|4090500|13205970|SUPL12               Platte 1,2cm Stärke_x000D_
----------_x000D_
82069|9901202|13121122|N_BKXFS.UBS25_K2     LINEO Drehtürschrank, Unterbau,Plattenmaterial: Spanplat_x000D_
----------_x000D_
82079|9901202|13152217|N_BKXLS.UBS25_K2     LINEO Ladenschrank, Unterbau,Plattenmaterial: Spanplatte_x000D_
----------_x000D_
82085|9901202|13176216|N_BKXOS.UBS25_K2     LINEO Regal, Unterbau,Plattenmaterial: Spanplatte 25 mm_x000D_
----------_x000D_
82091|9901202|13176218|N_BKXQS.UBS25_K2     LINEO Rolloschrank, Unterbau,Plattenmaterial: Spanplatte_x000D_
----------_x000D_
82097|9901202|13176220|N_BKXSS.UBS25_K2     LINEO Schiebetürschrank, UnterbauPlattenmaterial: Spanpl_x000D_
----------_x000D_
82586|9901001|12747835|N_B3AEB.HKR          LINEO Hängeregisterrahmen_x000D_
----------_x000D_
82591|9901001|12747835|N_B3AEB.LT           LINEO Längsteiler_x000D_
----------_x000D_
82592|9901001|12747835|N_B3AEB.MPFACH       LINEO Mappenfach_x000D_
----------_x000D_
82592|9901001|12747835|N_B3AEB.MPFACH       LINEO Mappenfach_x000D_
----</t>
  </si>
  <si>
    <t>82069|9901202|13121122|N_BKXFS.UBS25_K2     LINEO Drehtürschrank, Unterbau,Plattenmaterial: Spanplat,82085|9901202|13176216|N_BKXOS.UBS25_K2     LINEO Regal, Unterbau,Plattenmaterial: Spanplatte 25 mm,82091|9901202|13176218|N_BKXQS.UBS25_K2     LINEO Roll</t>
  </si>
  <si>
    <t>15|708386|00|00</t>
  </si>
  <si>
    <t>21942</t>
  </si>
  <si>
    <t xml:space="preserve">**lt.Bestellung v.11.03.2025 - Hr. Peter Schönache | Betreff: Zusatztische für Fr. Birgit Wesier - BH K | </t>
  </si>
  <si>
    <t>**lt.Bestellung v.11.03.2025 / Hr. Schönache Peter** Betreff: Ergänzungstische f. Fr. Birgit Wesier H201</t>
  </si>
  <si>
    <t>Plan:2|WAB/Ladezone:0/0|Zufahrt:Altbau Raum H201 - Fr. Brigit Weiser|mit AID 706889 (E-Hebetisch) mitliefern |</t>
  </si>
  <si>
    <t>Bezirkshauptmannschaft Kitzbühel|Österreich|6370|Hinterstadt 28</t>
  </si>
  <si>
    <t>31317|2050112|13209773|MXTI146              MOTION Arbeitstisch</t>
  </si>
  <si>
    <t>15|708428|00|00</t>
  </si>
  <si>
    <t>21757</t>
  </si>
  <si>
    <t>66005|3990001|9905817|MONTAGEPAU           Montage Pauschale_x000D_
----------_x000D_
80765|9901001|12747835|NOS_DS4Q.5ABC        Drehstuhl n.you</t>
  </si>
  <si>
    <t>80765|9901001|12747835|NOS_DS4Q.5ABC        Drehstuhl n.you,66005|3990001|9905817|MONTAGEPAU           Montage Pauschale</t>
  </si>
  <si>
    <t>15|707880|00|00</t>
  </si>
  <si>
    <t>21732</t>
  </si>
  <si>
    <t>Abrufbestellung VL4/4451469995 v.10.03.2025 - Hr.  | 4451469995 | 4600031939</t>
  </si>
  <si>
    <t>*Abrufbestellung VL4/4451469995 v.10.03.25/Hr.Hofstadler K.* Betreff: Möbel Zimmer 227</t>
  </si>
  <si>
    <t>Plan:2|WAB/Ladezone:0/0|Zufahrt:Hr. Bernhard Mairhofer Tel. 0664 8295639|AID 707887 (DS) mitliefern |</t>
  </si>
  <si>
    <t>78850|2070010|12461423|XÖBB.OP2004          Tischpinnwand organisierbarGrundplatte 32 mm_x000D_
----------_x000D_
78862|2061108|9185687|XÖBB.KT147           Besprechungstisch fixe PlatteMOTION_x000D_
----------_x000D_
78907|2301003|12869587|XÖBB.FLUX208P        Elektrisch HöhenverstellbarerFLUX E Plus_x000D_
----------_x000D_
79511|30000004|12960190|XÖBB.RC691_H         Rollcontainer</t>
  </si>
  <si>
    <t>78907|2301003|12869587|XÖBB.FLUX208P        Elektrisch HöhenverstellbarerFLUX E Plus,78850|2070010|12461423|XÖBB.OP2004          Tischpinnwand organisierbarGrundplatte 32 mm,78862|2061108|9185687|XÖBB.KT147           Besprechungstisch fixe PlatteMOTION,79</t>
  </si>
  <si>
    <t>15|707295|00|00</t>
  </si>
  <si>
    <t>22016</t>
  </si>
  <si>
    <t>109011BN-000013535 | SAP4503643096 - Hr. DI Gerald Prock - Raum 7-G3-00 | 21010427200101</t>
  </si>
  <si>
    <t>**BBG Bestellung 109011BN-000013535 -SAP4503643096** Betreff: E-Hebetisch Hr. DI Gerald Prock</t>
  </si>
  <si>
    <t>Lift:1/ca.1,5x2m/3OG</t>
  </si>
  <si>
    <t>Plan:2|WAB/Ladezone:0/0|Zufahrt:ZVG 3.OG Raum 7-G3-009 Hr. DI Gerald Prock| |</t>
  </si>
  <si>
    <t>76251|2077100|12157547|MQ22OP2004B          TP2PB200_x000D_
----------_x000D_
76295|2321000|12220547|MQ22FLUX209P         ET4_x000D_
----------_x000D_
76387|3099000|12115901|MQ22MIME             Mindermengenzuschlag</t>
  </si>
  <si>
    <t>76295|2321000|12220547|MQ22FLUX209P         ET4,76251|2077100|12157547|MQ22OP2004B          TP2PB200,76387|3099000|12115901|MQ22MIME             Mindermengenzuschlag</t>
  </si>
  <si>
    <t>15|706027|00|00</t>
  </si>
  <si>
    <t>20475</t>
  </si>
  <si>
    <t xml:space="preserve">416/4503625608 | Anl./Proj.: 0024143 0000, Kostenstelle 30401 | </t>
  </si>
  <si>
    <t>416/4503625608 Raum 6-G0-005 - Handelsware</t>
  </si>
  <si>
    <t>500,600,900,1200,1300</t>
  </si>
  <si>
    <t>34754|9900000|13173561|KK-SOSO              Accessoires HW_x000D_
----------_x000D_
72204|9900400|11459029|PC-PR-MF2AA          Preform MF2AA_x000D_
----------_x000D_
72204|9900400|11459029|PC-PR-MF2AA          Preform MF2AA_x000D_
----------_x000D_
74713|9900400|11970906|PC-BUZZISPACE-BUZZIF Buzzispace BuzziFalls_x000D_
----------_x000D_
81461|9900400|13171829|PC-ROSC-DTEC-SC15-W  Braun dtec-sc15-w</t>
  </si>
  <si>
    <t>74713|9900400|11970906|PC-BUZZISPACE-BUZZIF Buzzispace BuzziFalls,72204|9900400|11459029|PC-PR-MF2AA          Preform MF2AA,81461|9900400|13171829|PC-ROSC-DTEC-SC15-W  Braun dtec-sc15-w,34754|9900000|13173561|KK-SOSO              Accessoires HW</t>
  </si>
  <si>
    <t>15|706889|00|00</t>
  </si>
  <si>
    <t>21920</t>
  </si>
  <si>
    <t xml:space="preserve">**lt.Bestellung v.07.03.2025 - Fr. Bianca Permoser | Betreff: E-Hebetisch für Fr. Birgit Wesier - BH Ki | </t>
  </si>
  <si>
    <t>**lt.Bestellung v.07.03.2025 / Fr. Permoser Bianca** Betreff: E-Hebetisch f. Fr. Birgit Wesier - BH Kitzbühel</t>
  </si>
  <si>
    <t>Amt d. Tiroler Landesregierung|Österreich|6020|Herrengasse 1-3</t>
  </si>
  <si>
    <t>68687|2301003|13117603|FLUX188P             Flux E plus, E-Hebetisch</t>
  </si>
  <si>
    <t>15|706207|00|00</t>
  </si>
  <si>
    <t>21718</t>
  </si>
  <si>
    <t xml:space="preserve">**Bestellung v.07.03.2025 / Fr. Permoser Bianca** | Betreff: Sekretariat EG TFBS f. Tourismus - Fr. Na | </t>
  </si>
  <si>
    <t>**lt.Bestellung v.07.03.2025 / Fr. Permoser B.** *Betreff: E-Hebetisch f.Fr.Nadja Felder - TFBS Absam Sekret.</t>
  </si>
  <si>
    <t>Lift:1/ca.100x140cm/4OG</t>
  </si>
  <si>
    <t>Plan:2|WAB/Ladezone:0/0|Zufahrt:Raum 421 - Hr.Robert Aigner Tel.0512 508 4327| |</t>
  </si>
  <si>
    <t>44933|4090500|5642532|SUPL25               Platte 2,5cm Stärke_x000D_
----------_x000D_
68688|2301003|13012910|FLUX208P             Flux E plus, E-Hebetisch_x000D_
----------_x000D_
69137|2099204|10717654|FLUX-P-CPU           Flux CPU-Halterung</t>
  </si>
  <si>
    <t>68688|2301003|13012910|FLUX208P             Flux E plus, E-Hebetisch,69137|2099204|10717654|FLUX-P-CPU           Flux CPU-Halterung,44933|4090500|5642532|SUPL25               Platte 2,5cm Stärke</t>
  </si>
  <si>
    <t>15|708185|00|00</t>
  </si>
  <si>
    <t>21841</t>
  </si>
  <si>
    <t xml:space="preserve">*Bestellung 4100179365 v.10.03.2025 / Kostenstelle | Nachbestellung von 2.Stk E-Hebetsichen 200x80cm | </t>
  </si>
  <si>
    <t>*lt. Bestellung 4100179365 v.10.03.2025 - Hr. Linsboth H.* Betreff: Nachbestellung von 2.Stk E-Hebetischen 200x80cm</t>
  </si>
  <si>
    <t>Gebrüder Weiss Gesellschaft m.b.H.|Österreich|6923|Bundesstrasse 110</t>
  </si>
  <si>
    <t>15|708158|00|00</t>
  </si>
  <si>
    <t>22328</t>
  </si>
  <si>
    <t xml:space="preserve">**lt.Bestellung v.07.03.2025 / Fr. Permoser Bianca | Betreff: Raum A359 -Abt. Landesrechnungshof - Fr.  | </t>
  </si>
  <si>
    <t>**lt.Bestellung v.07.03.2025 / Fr. Permoser B.** **Betreff: E-Hebetisch für Fr.DI Katarina Stransky**</t>
  </si>
  <si>
    <t>Lift:1/ca.200x150cm/3OG</t>
  </si>
  <si>
    <t>Plan:2|WAB/Ladezone:0/0|Zufahrt:Raum A359 Fr.DI. Katarina Stransky Tel. 0512 508 3038| |</t>
  </si>
  <si>
    <t>33363|2071500|3020691|MXAP20               MOTION Organisationspaneel_x000D_
----------_x000D_
68700|2301003|13031503|FLUX200P             Flux E plus, E-Hebetisch_x000D_
----------_x000D_
9931|0|0|SUSO                 Manufaktur</t>
  </si>
  <si>
    <t>68700|2301003|13031503|FLUX200P             Flux E plus, E-Hebetisch,33363|2071500|3020691|MXAP20               MOTION Organisationspaneel,9931|0|0|SUSO                 Manufaktur</t>
  </si>
  <si>
    <t>15|709433|00|00</t>
  </si>
  <si>
    <t>22346</t>
  </si>
  <si>
    <t xml:space="preserve">30325 </t>
  </si>
  <si>
    <t>30325</t>
  </si>
  <si>
    <t>SC INNSBRUCK Tour 28.04 aus KW17</t>
  </si>
  <si>
    <t>22016-2</t>
  </si>
  <si>
    <t>Tirol Kliniken Ibk, Gebäude 7 ZVG 3.OG Raum 7-G3-009, Hr. DI Gerald Prock</t>
  </si>
  <si>
    <t>(Aufk) Innsbruck - (Ent) Innsbruck - (Ent) Innsbruck - (Ent) Innsbruck - (Ent) Innsbruck - (Ent) Innsbruck - (Ent) Innsbruck - (Ent) Innsbruck - (Ent) Innsbruck - (Ent) Innsbruck</t>
  </si>
  <si>
    <t>21732-2</t>
  </si>
  <si>
    <t>ÖBB Personenverkehr AG, Vertrieb &amp; Neue Service, Zi.227, 2.OG, zh.Hr.Mairhofer Bernhard</t>
  </si>
  <si>
    <t>Südtirolerplatz 5-7</t>
  </si>
  <si>
    <t>21757-2</t>
  </si>
  <si>
    <t>CHG Czernich Haidlen Gast</t>
  </si>
  <si>
    <t>Bozner Platz 4</t>
  </si>
  <si>
    <t>21871-2</t>
  </si>
  <si>
    <t>Geschäftsstelle Innsbruck Lager</t>
  </si>
  <si>
    <t>Stadionstraße 1a Top 4</t>
  </si>
  <si>
    <t>21925-2</t>
  </si>
  <si>
    <t>Arbeistmarktservice Tirol</t>
  </si>
  <si>
    <t>21930-2</t>
  </si>
  <si>
    <t>21926-2</t>
  </si>
  <si>
    <t>Institut für Anglistik</t>
  </si>
  <si>
    <t>Innrain 52d</t>
  </si>
  <si>
    <t>22328-2</t>
  </si>
  <si>
    <t>Amt d.Tiroler LRG, Abt.Landesrechnungshof LH1, 3.OG, Raum A359, Fr. Katarina Stransky</t>
  </si>
  <si>
    <t>Eduard Wallnöfer Platz 3</t>
  </si>
  <si>
    <t>22346-2</t>
  </si>
  <si>
    <t xml:space="preserve">30393 </t>
  </si>
  <si>
    <t>30393</t>
  </si>
  <si>
    <t>SC INNSBRUCK Tour 25.04 Absam - Hall - Hochzirl</t>
  </si>
  <si>
    <t>21718-2</t>
  </si>
  <si>
    <t>Amt der Tiroler LRG, TFBS für Tourismus EG, Sekreatariat, Fr. Nadja Felder</t>
  </si>
  <si>
    <t>Eichatstraße 18</t>
  </si>
  <si>
    <t>Absam</t>
  </si>
  <si>
    <t>6067</t>
  </si>
  <si>
    <t>(Aufk) Innsbruck - (Ent) Absam - (Ent) Hall in Tirol - (Ent) Hochzirl</t>
  </si>
  <si>
    <t>21841-2</t>
  </si>
  <si>
    <t>Gebrüder Weiss GmbH zh.Hr. Harald Linsboth</t>
  </si>
  <si>
    <t>Hall in Tirol</t>
  </si>
  <si>
    <t>20475-2</t>
  </si>
  <si>
    <t>Tirol Kliniken GmbH Krankenhaus Hochzirl 6-G0-005</t>
  </si>
  <si>
    <t xml:space="preserve">30404 </t>
  </si>
  <si>
    <t>30404</t>
  </si>
  <si>
    <t>SC INNSBRUCK PLANT SC LEITER KW 18 1 Kunde Reutte</t>
  </si>
  <si>
    <t>202518</t>
  </si>
  <si>
    <t>15|707139|00|00</t>
  </si>
  <si>
    <t>22051</t>
  </si>
  <si>
    <t>22051-2</t>
  </si>
  <si>
    <t>Österreichische Postbus AG, Reutte zh.Hr. Michael Schmid</t>
  </si>
  <si>
    <t>Bahnhofstraße 21</t>
  </si>
  <si>
    <t>Reutte</t>
  </si>
  <si>
    <t>6600</t>
  </si>
  <si>
    <t>X60/4451470394 Abrufbestellung v.17.03.2025 | 4451470394 | 4600031939</t>
  </si>
  <si>
    <t>**lt.Abrufbestellung X60/4451470394 v.17.03.2025** Betreff: RV Möbel für Postbus Reutte / Wolfurt</t>
  </si>
  <si>
    <t>Plan:2|WAB/Ladezone:0/0|Zufahrt:Hr. Michael Schmid Tel. 0664 6243638| |</t>
  </si>
  <si>
    <t>300,400,500,600,700</t>
  </si>
  <si>
    <t>78825|3040009|10869035|XÖBB.GW0650          Garderobepaneel_x000D_
----------_x000D_
78905|2301003|13000771|XÖBB.FLUX209P        Elektrisch HöhenverstellbarerFLUX E Plus_x000D_
----------_x000D_
78916|3000026|13189875|XÖBB.SS1220          Schiebetürschrank 2 OH_x000D_
----------_x000D_
78927|3000026|12619616|XÖBB.SS1230          Schiebetürschrank 3 OH_x000D_
----------_x000D_
79511|30000004|12960191|XÖBB.RC691_H         Rollcontainer</t>
  </si>
  <si>
    <t>78905|2301003|13000771|XÖBB.FLUX209P        Elektrisch HöhenverstellbarerFLUX E Plus,78927|3000026|12619616|XÖBB.SS1230          Schiebetürschrank 3 OH,78916|3000026|13189875|XÖBB.SS1220          Schiebetürschrank 2 OH,79511|30000004|12960191|XÖBB.RC691_H</t>
  </si>
  <si>
    <t>(Aufk) Innsbruck - (Ent) Reutte</t>
  </si>
  <si>
    <t xml:space="preserve">30414 </t>
  </si>
  <si>
    <t>30414</t>
  </si>
  <si>
    <t>SC INNSBRUCK Tour 29.04 Imst - Innsbruck</t>
  </si>
  <si>
    <t>15|709742|00|00</t>
  </si>
  <si>
    <t>22514</t>
  </si>
  <si>
    <t>22514-2</t>
  </si>
  <si>
    <t>Dr. Stecher/Dr. Zangerle Kern</t>
  </si>
  <si>
    <t>Dr. Paffenbergerstraße 24</t>
  </si>
  <si>
    <t>Reklamation zu Erstauftrag 15/702407 2 Rücken sind beschädigt</t>
  </si>
  <si>
    <t>Plan:1|WAB/Ladezone:0/0|Zufahrt:| |Mo-Fr 8:00-12:00 &amp; Mo 16:00-19:00 und Do 14:00-16:00</t>
  </si>
  <si>
    <t>Dr. Stecher Thomas|Österreich|6460|Dr.-Carl-Pfeiffenberger-Straße 24</t>
  </si>
  <si>
    <t>66005|3990001|9960583|MONTAGEPAU           Montage Pauschale_x000D_
----------_x000D_
77726|9900500|12270150|PC-HAG-1200-S        HAG 1200-S</t>
  </si>
  <si>
    <t>77726|9900500|12270150|PC-HAG-1200-S        HAG 1200-S,66005|3990001|9960583|MONTAGEPAU           Montage Pauschale</t>
  </si>
  <si>
    <t>(Aufk) Innsbruck - (Ent) Imst - (Ent) Imst - (Ent) Imst - (Ent) Imst - (Ent) Innsbruck - (Ent) Innsbruck - (Ent) Innsbruck - (Ent) Innsbruck - (Ent) Innsbruck - (Ent) Innsbruck - (Ent) Innsbruck - (Ent) Innsbruck - (Ent) INnsbruck - (Ent) Innsbruck - (Ent) Innsbruck</t>
  </si>
  <si>
    <t>15|708387|00|00</t>
  </si>
  <si>
    <t>22023</t>
  </si>
  <si>
    <t>22023-2</t>
  </si>
  <si>
    <t>Amt der Tiroler LRG, BH-Imst, Abt. Verkehrs- strafen, Zimmer 103, Fr. Selina Rott</t>
  </si>
  <si>
    <t>Stadtplatz 1</t>
  </si>
  <si>
    <t xml:space="preserve">**Bestellung v.13.03.2025 / Fr. Permoser Bianca** | Betreff: Zimmer 103 - BH Imst  - Fr. Selina Rott - | </t>
  </si>
  <si>
    <t>**lt.Bestellung v.13.03.2025 / Fr. Permoser B.** **Betreff: E-Hebetisch für Fr. Selina Rott - BH Imst**</t>
  </si>
  <si>
    <t>Lift:1/ca.200x150cm/1OG</t>
  </si>
  <si>
    <t>Plan:2|WAB/Ladezone:0/0|Zufahrt:Zimmer 103 - Verkehrsstrafen Fr. Selina Rott| |</t>
  </si>
  <si>
    <t>33361|2071500|3020693|MXAP24               MOTION Organisationspaneel_x000D_
----------_x000D_
68688|2301003|13027142|FLUX208P             Flux E plus, E-Hebetisch_x000D_
----------_x000D_
9931|0|0|SUSO                 Manufaktur</t>
  </si>
  <si>
    <t>68688|2301003|13027142|FLUX208P             Flux E plus, E-Hebetisch,33361|2071500|3020693|MXAP24               MOTION Organisationspaneel,9931|0|0|SUSO                 Manufaktur</t>
  </si>
  <si>
    <t>15|708632|00|00</t>
  </si>
  <si>
    <t>22033</t>
  </si>
  <si>
    <t>22033-2</t>
  </si>
  <si>
    <t>Amt d.Tiroler LRG, BBA Imst -Abt.Hochbau 1.OG, Raum 114, Hr. Engelbert Schöpf</t>
  </si>
  <si>
    <t>Eichenweg 40</t>
  </si>
  <si>
    <t xml:space="preserve">**lt.Preisanfrage v.05.03.2025 / Fr. Permoser Bian | Betreff: Zimmer 114 - BBA Imst - Abt. Hochabu - Hr | </t>
  </si>
  <si>
    <t>**lt.Bestellung v.13.03.2025 / Fr. Permoser B.** **Betreff: E-Hebetisch für Hr. Engelbert Schöpf - BBA Imst</t>
  </si>
  <si>
    <t>Plan:2|WAB/Ladezone:0/0|Zufahrt:Zimmer 114 Hr.Engelbert Schöpf - Tel.0676 885084747| |</t>
  </si>
  <si>
    <t>68700|2301003|13218079|FLUX200P             Flux E plus, E-Hebetisch</t>
  </si>
  <si>
    <t>15|705271|00|00</t>
  </si>
  <si>
    <t>22322</t>
  </si>
  <si>
    <t>22322-2</t>
  </si>
  <si>
    <t>Amt der Tiroler LRG, BH-Imst, Abt. Jagd- Fischerei-Tierschutz, Raum 29, Hr. Raffl G.</t>
  </si>
  <si>
    <t xml:space="preserve">**Bestellung v.07.03.2025 / Fr. Permoser Bianca** | Betreff: Raum 29 - BH Imst  - Hr. Gabriel Raffl -  | </t>
  </si>
  <si>
    <t>**lt.Bestellung v.07.03.2025 / Fr. Permoser B.** **Betreff: E-Hebetisch für Hr. Gabriel Raffl - BH Imst**</t>
  </si>
  <si>
    <t>Lift:1/ca.200x150cm/---</t>
  </si>
  <si>
    <t>Plan:2|WAB/Ladezone:0/0|Zufahrt:Raum 29 Abt. Jagd-Ficherei-Tierschutz Hr. Gabriel Raffl| |</t>
  </si>
  <si>
    <t>33363|2071500|3020691|MXAP20               MOTION Organisationspaneel_x000D_
----------_x000D_
68700|2301003|13164423|FLUX200P             Flux E plus, E-Hebetisch_x000D_
----------_x000D_
69137|2099204|10717654|FLUX-P-CPU           Flux CPU-Halterung_x000D_
----------_x000D_
9931|0|0|SUSO                 Manufaktur</t>
  </si>
  <si>
    <t>68700|2301003|13164423|FLUX200P             Flux E plus, E-Hebetisch,69137|2099204|10717654|FLUX-P-CPU           Flux CPU-Halterung,33363|2071500|3020691|MXAP20               MOTION Organisationspaneel,9931|0|0|SUSO                 Manufaktur</t>
  </si>
  <si>
    <t>15|708043|00|00</t>
  </si>
  <si>
    <t>22018</t>
  </si>
  <si>
    <t>22018-2</t>
  </si>
  <si>
    <t>Abwasserreinigung</t>
  </si>
  <si>
    <t>Josef Mayr Nusser Weg 30</t>
  </si>
  <si>
    <t>109011BN-000013515 | 4500304415 | 21010427200101</t>
  </si>
  <si>
    <t>76295|2321000|13205100|MQ22FLUX209P         ET4_x000D_
----------_x000D_
76387|3099000|12115901|MQ22MIME             Mindermengenzuschlag</t>
  </si>
  <si>
    <t>76295|2321000|13205100|MQ22FLUX209P         ET4,76387|3099000|12115901|MQ22MIME             Mindermengenzuschlag</t>
  </si>
  <si>
    <t>15|708631|00|00</t>
  </si>
  <si>
    <t>22032</t>
  </si>
  <si>
    <t>22032-2</t>
  </si>
  <si>
    <t>Amt d.Tiroler LRG, Vorzimmer LH Mattle LH1, 1.OG, Raum B110, Fr. Witsch Marlies</t>
  </si>
  <si>
    <t xml:space="preserve">**lt.Bestellung v.13.03.2025 / Fr. Permoser Bianca | Betreff: Raum B110 -Vorzim.LH Mattle - Fr. Marlies | </t>
  </si>
  <si>
    <t>**lt.Bestellung v.13.03.2025 / Fr. Permoser B.** **Betreff: E-Hebetisch für Fr. Marlies Witsch **</t>
  </si>
  <si>
    <t>Plan:2|WAB/Ladezone:0/0|Zufahrt:Raum B110 Vorzim.LH Mattle-Fr.Witsch M.- Tel. 0512 508 2002| |</t>
  </si>
  <si>
    <t>68700|2301003|13031503|FLUX200P             Flux E plus, E-Hebetisch</t>
  </si>
  <si>
    <t>15|708730|00|00</t>
  </si>
  <si>
    <t>22042</t>
  </si>
  <si>
    <t>22042-2</t>
  </si>
  <si>
    <t>Amt. d.Tiroler LRG, Landesverwaltungsgericht Raum 128, 1.OG, Hr.Mag. Hannes Piccolroaz</t>
  </si>
  <si>
    <t>Michael Gaismair Straße 1</t>
  </si>
  <si>
    <t xml:space="preserve">**lt.Bestellung v.13.03.2025 - Fr. Permoser B.** | Betreff: E-Hebetisch für Hr.Mag. Hannes Piccolroaz | </t>
  </si>
  <si>
    <t>**lt.Bestellung v.13.03.25 - Fr. Permoser B.** Betreff: E-Hebetische f. Hr.Mag.Hannes Piccolroaz</t>
  </si>
  <si>
    <t>Lift:1/ca.120x140cm/1OG</t>
  </si>
  <si>
    <t>Plan:2|WAB/Ladezone:0/0|Zufahrt:Hr. Mag. Hannes Piccolroaz Tel.+43 512 9017 1761| |</t>
  </si>
  <si>
    <t>43811|2098200|7522504|MXZSFRP              RP-Rundrohrstützfuß Projekt_x000D_
----------_x000D_
68700|2301003|13214978|FLUX200P             Flux E plus, E-Hebetisch_x000D_
----------_x000D_
69137|2099204|10717654|FLUX-P-CPU           Flux CPU-Halterung</t>
  </si>
  <si>
    <t>68700|2301003|13214978|FLUX200P             Flux E plus, E-Hebetisch,69137|2099204|10717654|FLUX-P-CPU           Flux CPU-Halterung,43811|2098200|7522504|MXZSFRP              RP-Rundrohrstützfuß Projekt</t>
  </si>
  <si>
    <t>15|708147|00|00</t>
  </si>
  <si>
    <t>22063</t>
  </si>
  <si>
    <t>22063-2</t>
  </si>
  <si>
    <t>Tirol Kliniken Ibk, Gebäude KHZ 1.OG Raum 5-G1-316 - Arztzim.Dr. Florian Schett</t>
  </si>
  <si>
    <t>109011BN-000013570 | SAP4503645849 | 21010427200101</t>
  </si>
  <si>
    <t>*BBG 109011BN-000013570 -SAP4503645849 v.17.03.25** Betreff: Raum 5-G1-316 - KHZ Arztzimmer Dr. Florian Schett</t>
  </si>
  <si>
    <t>Plan:2|WAB/Ladezone:0/0|Zufahrt:KHZ Raum 5-G1-316 Hr. Dr. Florian Schett| |</t>
  </si>
  <si>
    <t>15|708721|00|00</t>
  </si>
  <si>
    <t>22122</t>
  </si>
  <si>
    <t>22122-2</t>
  </si>
  <si>
    <t>68699|2301003|13218669|FLUX180P             Flux E plus, E-Hebetisch</t>
  </si>
  <si>
    <t>15|705253|00|00</t>
  </si>
  <si>
    <t>22007</t>
  </si>
  <si>
    <t>22007-2</t>
  </si>
  <si>
    <t>Psychosoziale Intervention und Kommunikationsforschung</t>
  </si>
  <si>
    <t>Innrain 52a</t>
  </si>
  <si>
    <t>109011BN-000013537 | 4100135950 | 21010427200101</t>
  </si>
  <si>
    <t xml:space="preserve">Büro 07F010 </t>
  </si>
  <si>
    <t>Lift:1/Lift nur ins 4.OG/7OG</t>
  </si>
  <si>
    <t>76294|2321000|12385821|MQ22FLUX208P         ET3_x000D_
----------_x000D_
76387|3099000|12115901|MQ22MIME             Mindermengenzuschlag</t>
  </si>
  <si>
    <t>76294|2321000|12385821|MQ22FLUX208P         ET3,76387|3099000|12115901|MQ22MIME             Mindermengenzuschlag</t>
  </si>
  <si>
    <t>15|703307|00|00</t>
  </si>
  <si>
    <t>22002</t>
  </si>
  <si>
    <t>22002-2</t>
  </si>
  <si>
    <t>Universitäts- und Landesbibliothek Info-Schalter 1/Mag. M. Schneider-Jakob</t>
  </si>
  <si>
    <t>Innrain 52f</t>
  </si>
  <si>
    <t>109011BN-000013503 | 4500034212 | 21010427200101</t>
  </si>
  <si>
    <t xml:space="preserve">Info-Schalter 1/Mag. M. Schneider-Jakob </t>
  </si>
  <si>
    <t>Plan:2|WAB/Ladezone:0/0|Zufahrt:|Zusammenarbeit mit Uni bei Umbau von Alarmknopf Zusammenarbeit mit Uni bei Umbau von Alarmknopf|</t>
  </si>
  <si>
    <t>66005|3990001|11838937|MONTAGEPAU           Montage Pauschale_x000D_
----------_x000D_
68686|2301003|13143927|FLUX148P             Flux E plus, E-Hebetisch_x000D_
----------_x000D_
76376|2099600|8732084|MQ22EKHV-T           KH2_x000D_
----------_x000D_
76381|2099204|10717645|MQ22CP-SW-FLUX       CPUH2</t>
  </si>
  <si>
    <t>68686|2301003|13143927|FLUX148P             Flux E plus, E-Hebetisch,76381|2099204|10717645|MQ22CP-SW-FLUX       CPUH2,76376|2099600|8732084|MQ22EKHV-T           KH2,66005|3990001|11838937|MONTAGEPAU           Montage Pauschale</t>
  </si>
  <si>
    <t>15|708592|00|00</t>
  </si>
  <si>
    <t>22029</t>
  </si>
  <si>
    <t>22029-2</t>
  </si>
  <si>
    <t>ÖBB Infrastruktur AG, BL - Innsbruck 1x ÖBB DS, zh.Hr. Mario Spörr</t>
  </si>
  <si>
    <t>SI4/4551178512 Abrufbestellung v.12.03.2025 | 4551178512 | 4600030817</t>
  </si>
  <si>
    <t>**Abrufbestellung SI4/4551178512 v. 12.03.2025** Betrifft: 1.Stk ÖBB Drehsessel mit Polsterrücken</t>
  </si>
  <si>
    <t>15|709062|00|00</t>
  </si>
  <si>
    <t>22127</t>
  </si>
  <si>
    <t>22127-2</t>
  </si>
  <si>
    <t>ÖBB Infra.AG, Innsbruck, BFZ, 2.OG Zi.10, Abladestelle: Fr. Michaela Steiner</t>
  </si>
  <si>
    <t>Sterzinger Straße 3</t>
  </si>
  <si>
    <t>INnsbruck</t>
  </si>
  <si>
    <t>AO3/4900706925 Abrufsbestellung v.18.03.2025 | 4900706925 | 4600031939</t>
  </si>
  <si>
    <t>**Abrufbestellung AO3/4900706925 v.18.03.2025** Betreff: E-Hebetsich für Fr. Michaela Steiner BFZ Zi.10</t>
  </si>
  <si>
    <t>Plan:2|WAB/Ladezone:0/0|Zufahrt:BFZ Ibk Zi.10 - Abladestelle Fr. Michaela Steiner| |</t>
  </si>
  <si>
    <t>78902|2301003|12883014|XÖBB.FLUX188P        Elektrisch HöhenverstellbarerFLUX E Plus</t>
  </si>
  <si>
    <t>15|707852|00|00</t>
  </si>
  <si>
    <t>22140</t>
  </si>
  <si>
    <t>22140-2</t>
  </si>
  <si>
    <t>Olympia Sport- und Veranstaltungs- zentrum Innsbruck GmbH</t>
  </si>
  <si>
    <t>Olympiastr. 10</t>
  </si>
  <si>
    <t xml:space="preserve">BESTELLUNG NR. BE05982 |  | </t>
  </si>
  <si>
    <t>Olympia Sport- und Veranstaltungs-|Österreich|6020|Olympiastr. 10</t>
  </si>
  <si>
    <t>21032|0|0|LIEFM                LIEFM_x000D_
----------_x000D_
82097|9901202|13201346|N_BKXSS.UBS25_K2     LINEO Schiebetürschrank, UnterbauPlattenmaterial: Spanpl</t>
  </si>
  <si>
    <t>82097|9901202|13201346|N_BKXSS.UBS25_K2     LINEO Schiebetürschrank, UnterbauPlattenmaterial: Spanpl,21032|0|0|LIEFM                LIEFM</t>
  </si>
  <si>
    <t>15|708453|00|00</t>
  </si>
  <si>
    <t>22237</t>
  </si>
  <si>
    <t>22237-2</t>
  </si>
  <si>
    <t>109011BN-000013579 | 4500061924 | 21010427200101</t>
  </si>
  <si>
    <t xml:space="preserve">Projekt 287 </t>
  </si>
  <si>
    <t>Lift:1/210x160x210/3OG</t>
  </si>
  <si>
    <t>75671|3005900|11217629|MQ22SS1020           STS1_x000D_
----------_x000D_
76003|2041000|11053172|MQ22KT200            BTRE200100_x000D_
----------_x000D_
76020|3005900|11066287|MQ22SS1220           STS3_x000D_
----------_x000D_
76029|3005900|11036115|MQ22SS1620           STS6_x000D_
----------_x000D_
76175|3033400|13189403|MQ22SR1630           RE18_x000D_
----------_x000D_
76249|2077100|13210879|MQ22OP1604B          TP2PB160_x000D_
----------_x000D_
76296|2321000|12309952|MQ22FLUX200P         ET5_x000D_
----------_x000D_
76378|2099204|10717654|MQ22CP-SI-FLUX       CPUH1</t>
  </si>
  <si>
    <t>76296|2321000|12309952|MQ22FLUX200P         ET5,76249|2077100|13210879|MQ22OP1604B          TP2PB160,76378|2099204|10717654|MQ22CP-SI-FLUX       CPUH1,76003|2041000|11053172|MQ22KT200            BTRE200100,76020|3005900|11066287|MQ22SS1220           STS3,</t>
  </si>
  <si>
    <t xml:space="preserve">30461 </t>
  </si>
  <si>
    <t>30461</t>
  </si>
  <si>
    <t>SC INNSBRUCK PLANT SC LEITER KW17 2 Kunden Kitzbühl</t>
  </si>
  <si>
    <t>21942-2</t>
  </si>
  <si>
    <t>BH Kitzbühel Raum H201 (Altbau) Abt. Wohnbauförderung, zh.Fr. Brigit Weiser</t>
  </si>
  <si>
    <t>Hinterstadt 28</t>
  </si>
  <si>
    <t>Kitzbühel</t>
  </si>
  <si>
    <t>6370</t>
  </si>
  <si>
    <t>(Aufk) Innsbruck - (Ent) Kitzbühel</t>
  </si>
  <si>
    <t>21920-2</t>
  </si>
  <si>
    <t>Amt d.Tiroler LRG, BH Kitzbühel Raum H201 Abt. Wohnbauföederung, zh.Fr. Brigit Weiser</t>
  </si>
  <si>
    <t xml:space="preserve">30623 </t>
  </si>
  <si>
    <t>30623</t>
  </si>
  <si>
    <t>SC INNSBRUCK Tour 30.04 Kufstein - Innsbruck</t>
  </si>
  <si>
    <t>15|709099|00|00</t>
  </si>
  <si>
    <t>22129</t>
  </si>
  <si>
    <t>22129-2</t>
  </si>
  <si>
    <t>Fachhochschule Kufstein/ Tirol Bildungs GmbH</t>
  </si>
  <si>
    <t>Andreas Hofer Straße 7</t>
  </si>
  <si>
    <t>109011BN-000013577 | 109011BN-000013577 | 21010427200201</t>
  </si>
  <si>
    <t>**BBG Bestellung 109011BN-000013577 v.18.03.2025** Betreff: 2.Stk BBG E-Hebetische 180x80cm ET2</t>
  </si>
  <si>
    <t>Plan:2|WAB/Ladezone:0/0|Zufahrt:|Aufstellung lt. Anweisung von Hr. Eidherr Bernhard |</t>
  </si>
  <si>
    <t>Fachhochschule Kufstein/ Tirol|Österreich|6330|Andreas Hofer Straße 7</t>
  </si>
  <si>
    <t>76293|2321000|12165267|MQ22FLUX188P         ET2</t>
  </si>
  <si>
    <t>(Aufk) Innsbruck - (Ent) Kufstein - (Ent) Kundl - (Ent) Kramsach - (Ent) Schwaz - (Ent) Natters - (Ent) Innsbruck - (Ent) Innsbruck</t>
  </si>
  <si>
    <t>15|705352|00|00</t>
  </si>
  <si>
    <t>20238</t>
  </si>
  <si>
    <t>20238-2</t>
  </si>
  <si>
    <t>Marktgemeinde Kundl</t>
  </si>
  <si>
    <t>Dorfstraße 11</t>
  </si>
  <si>
    <t>Kundl</t>
  </si>
  <si>
    <t>6250</t>
  </si>
  <si>
    <t>109011BN-000013259 | 109011BN-000013259 | 21010427200101</t>
  </si>
  <si>
    <t>Besprechungssaal Groß Artifort</t>
  </si>
  <si>
    <t>Plan:2|WAB/Ladezone:0/0|Zufahrt:|9 Stufen beim Eingang |</t>
  </si>
  <si>
    <t>Marktgemeinde Kundl|Österreich|6250|Dorfstraße 11</t>
  </si>
  <si>
    <t>12683|9900000|13151540|HWHW                 Handelsware_x000D_
----------_x000D_
79308|9900400|12577199|PC-ARTI-JIMA         Artifort Jima</t>
  </si>
  <si>
    <t>79308|9900400|12577199|PC-ARTI-JIMA         Artifort Jima,12683|9900000|13151540|HWHW                 Handelsware</t>
  </si>
  <si>
    <t>13|707215|00|00</t>
  </si>
  <si>
    <t>22015</t>
  </si>
  <si>
    <t>22015-2</t>
  </si>
  <si>
    <t>Österreichische Bundesforste AG</t>
  </si>
  <si>
    <t>Hagau 79</t>
  </si>
  <si>
    <t>Kramsach</t>
  </si>
  <si>
    <t>6233</t>
  </si>
  <si>
    <t xml:space="preserve">WST Kramsach </t>
  </si>
  <si>
    <t>Österreichische Bundesforste AG|Österreich|4802|Steinkogelstraße 25</t>
  </si>
  <si>
    <t>32010|2052007|13215045|MXTL208              MOTION Anbauelement_x000D_
----------_x000D_
75747|2041000|10103345|MQ22TI208            ATR6_x000D_
----------_x000D_
76385|0|0|MQ22PLS1             PLS1_x000D_
----------_x000D_
76387|3099000|12115901|MQ22MIME             Mindermengenzuschlag</t>
  </si>
  <si>
    <t>75747|2041000|10103345|MQ22TI208            ATR6,32010|2052007|13215045|MXTL208              MOTION Anbauelement,76385|0|0|MQ22PLS1             PLS1,76387|3099000|12115901|MQ22MIME             Mindermengenzuschlag</t>
  </si>
  <si>
    <t>Berger</t>
  </si>
  <si>
    <t>+43 732 662696 414</t>
  </si>
  <si>
    <t>verena.berger@neudoerfler.com</t>
  </si>
  <si>
    <t>15|708891|00|00</t>
  </si>
  <si>
    <t>22338</t>
  </si>
  <si>
    <t>22338-2</t>
  </si>
  <si>
    <t>TOURISMUSVERBAND Schwaz Silberregion Karwendel</t>
  </si>
  <si>
    <t>Münchnerstraße 11</t>
  </si>
  <si>
    <t xml:space="preserve">Tische auf 74cm Oberkante einstellen </t>
  </si>
  <si>
    <t>Plan:2|WAB/Ladezone:0/0|Zufahrt:|breite Treppe |</t>
  </si>
  <si>
    <t>Kindl Bürosysteme e.U.|Österreich|6130|Ludwig-Penz-Straße 1</t>
  </si>
  <si>
    <t>21032|0|0|LIEFM                LIEFM_x000D_
----------_x000D_
44933|4090500|13218009|SUPL25               Platte 2,5cm Stärke_x000D_
----------_x000D_
60011|0|0|ZBWIN-AL23           Anschraublasche (inkl.Schrauben)_x000D_
----------_x000D_
60014|0|0|ZBWIN-AN23           Anschraubwinkel_x000D_
----------_x000D_
82084|9901203|13218006|N_BKXOS.UBS25        LINEO Regal, Unterbau,Plattenmaterial: Spanplatte 25 mm_x000D_
----------_x000D_
9929|0|0|SUKL                 Kleinteile</t>
  </si>
  <si>
    <t xml:space="preserve">82084|9901203|13218006|N_BKXOS.UBS25        LINEO Regal, Unterbau,Plattenmaterial: Spanplatte 25 mm,44933|4090500|13218009|SUPL25               Platte 2,5cm Stärke,60011|0|0|ZBWIN-AL23           Anschraublasche (inkl.Schrauben),60014|0|0|ZBWIN-AN23       </t>
  </si>
  <si>
    <t>15|708993|00|00</t>
  </si>
  <si>
    <t>22124</t>
  </si>
  <si>
    <t>22124-2</t>
  </si>
  <si>
    <t>Tirol Kliniken GmbH, Krankenhaus Natters Raum 52-G0-E46, zh.Hr. Walter Reinalter</t>
  </si>
  <si>
    <t xml:space="preserve">Bestellung 429/4503646129 v.18.03.2025 | Anl./Proj.: 0024241 0000, Kostenst.: 30401, Raum 5 | </t>
  </si>
  <si>
    <t>**Bestellung 429/4503646129 v.18.03.25** Betreff: E-Hebetisch 200x90cm für Raum 52-G01-E46</t>
  </si>
  <si>
    <t>Plan:2|WAB/Ladezone:0/0|Zufahrt:Raum 52-G0-E46|lt.Anweisung von Hr. Walter Reinalter Tel. 050 504 48249 |</t>
  </si>
  <si>
    <t>21032|0|0|LIEFM                LIEFM_x000D_
----------_x000D_
68694|2301003|13218942|FLUX209P             Flux E plus, E-Hebetisch</t>
  </si>
  <si>
    <t>68694|2301003|13218942|FLUX209P             Flux E plus, E-Hebetisch,21032|0|0|LIEFM                LIEFM</t>
  </si>
  <si>
    <t>15|708360|00|00</t>
  </si>
  <si>
    <t>22375</t>
  </si>
  <si>
    <t>22375-2</t>
  </si>
  <si>
    <t>Innsbrucker Immobilien GmbH &amp; Co KG</t>
  </si>
  <si>
    <t>Rossaugasse 4</t>
  </si>
  <si>
    <t>109011BN-000013532 | 109011BN-000013532 | 21010427200101</t>
  </si>
  <si>
    <t>Innsbrucker Immobilien GmbH &amp; Co|Österreich|6020|Rossaugasse 4</t>
  </si>
  <si>
    <t>75744|2041000|10488853|MQ22TI147            ATR3_x000D_
----------_x000D_
76054|3043005|10687984|MQ22PW1030           PW100_x000D_
----------_x000D_
76252|2077100|13210593|MQ22OP2404B          TP2PB240_x000D_
----------_x000D_
82117|9901104|13173285|N_ATL2.CLRES25       Flux E2 Plus, rechteckigmit C-Fuß, Spanpl.25 mm</t>
  </si>
  <si>
    <t>82117|9901104|13173285|N_ATL2.CLRES25       Flux E2 Plus, rechteckigmit C-Fuß, Spanpl.25 mm,76252|2077100|13210593|MQ22OP2404B          TP2PB240,75744|2041000|10488853|MQ22TI147            ATR3,76054|3043005|10687984|MQ22PW1030           PW100</t>
  </si>
  <si>
    <t>15|709110|00|00</t>
  </si>
  <si>
    <t>22466</t>
  </si>
  <si>
    <t>22466-2</t>
  </si>
  <si>
    <t>Österreichische Gesundheitskasse Tirol</t>
  </si>
  <si>
    <t>Klara Pölt Weg 2</t>
  </si>
  <si>
    <t>109011BN-000013581 | 109011BN-000013581 | 21010427200101</t>
  </si>
  <si>
    <t>*BBG Bestellung 109011BN-000013581 v.18.03.2025* Betreff: Bestellung März 25</t>
  </si>
  <si>
    <t>Österreichische Gesundheitskasse|Österreich|6020|Klara Pölt Weg 2</t>
  </si>
  <si>
    <t>75747|2041000|8724261|MQ22TI208            ATR6_x000D_
----------_x000D_
76232|2077000|13220105|MQ22OP2006E          TP1PE200_x000D_
----------_x000D_
79507|30000004|12990822|MQ22RC691_H          RC1</t>
  </si>
  <si>
    <t>75747|2041000|8724261|MQ22TI208            ATR6,76232|2077000|13220105|MQ22OP2006E          TP1PE200,79507|30000004|12990822|MQ22RC691_H          RC1</t>
  </si>
  <si>
    <t>15|706992|00|00, 15|706982|00|00, 15|706987|00|00, 15|706049|00|00, 15|704496|00|00, 15|706042|00|00, 15|706044|00|00, 15|707138|00|00, 15|709634|00|00, 15|709689|00|00, 15|709747|00|00, 15|709750|00|00, 15|709746|00|00, 15|709744|00|00</t>
  </si>
  <si>
    <t xml:space="preserve">Stop 1:_x000D_
• 100 | 78743 | 3043005 | 10689892 | XÖBB.PW1230 - Wandpinnwand_x000D_
• 200 | 78915 | 3099000 | 9237925 | XÖBB.MIME - Logistikzuschlag_x000D_
_x000D_
Stop 2:_x000D_
• 100 | 74001 | 9023401 | 12148625 | VI-616.1020N-ÖBB - F1 Drehstuhl, Polsterrücken_x000D_
_x000D_
Stop 3:_x000D_
• 100 | 77040 | 9023500 | 12148647 | VI-616.1020N-ÖBB_1 - F1 Drehstuhl, Polsterrücken_x000D_
_x000D_
Stop 4:_x000D_
• 100 | 75671 | 3005900 | 11407574 | MQ22SS1020 - STS1_x000D_
• 200 | 76020 | 3005900 | 11407572 | MQ22SS1220 - STS3_x000D_
• 300 | 76020 | 3005900 | 13155058 | MQ22SS1220 - STS3_x000D_
• 400 | 76023 | 3005900 | 12750082 | MQ22SS1230 - STS4_x000D_
• 500 | 76054 | 3043005 | 11031043 | MQ22PW1030 - PW100_x000D_
• 600 | 76055 | 3043005 | 10726010 | MQ22PW1230 - PW120_x000D_
• 700 | 76061 | 3043401 | 6935175 | MQ22PF10 - FPW100_x000D_
• 800 | 76062 | 3043401 | 7137583 | MQ22PF12 - FPW120_x000D_
• 900 | 76138 | 3014600 | 13155052 | MQ22GS0650T - GS5_x000D_
• 1000 | 76138 | 3014600 | 13155056 | MQ22GS0650T - GS5_x000D_
• 1100 | 76228 | 2077000 | 12093480 | MQ22OP2004E - TP2PE200_x000D_
• 1200 | 76294 | 2321000 | 12571352 | MQ22FLUX208P - ET3_x000D_
• 1300 | 79507 | 30000004 | 12989466 | MQ22RC691_H - RC1_x000D_
_x000D_
Stop 5:_x000D_
• 100 | 76003 | 2041000 | 11502100 | MQ22KT200 - BTRE200100_x000D_
• 200 | 76029 | 3005900 | 12366965 | MQ22SS1620 - STS6_x000D_
• 300 | 76053 | 3043005 | 10831350 | MQ22PW0830 - PW80_x000D_
• 400 | 76060 | 3043401 | 9052352 | MQ22PF08 - FPW80_x000D_
• 500 | 76138 | 3014600 | 13155052 | MQ22GS0650T - GS5_x000D_
• 600 | 76138 | 3014600 | 13155056 | MQ22GS0650T - GS5_x000D_
• 700 | 76216 | 3040009 | 10722496 | MQ22GW0650 - WG60_x000D_
• 800 | 76228 | 2077000 | 12093480 | MQ22OP2004E - TP2PE200_x000D_
• 900 | 76294 | 2321000 | 12571352 | MQ22FLUX208P - ET3_x000D_
• 1000 | 79507 | 30000004 | 12989466 | MQ22RC691_H - RC1_x000D_
_x000D_
Stop 6:_x000D_
• 100 | 74472 | 9900400 | 11949102 | PC-VT-650.1500 - Viasit 650.1500_x000D_
• 200 | 76020 | 3005900 | 11407572 | MQ22SS1220 - STS3_x000D_
• 300 | 76020 | 3005900 | 13155058 | MQ22SS1220 - STS3_x000D_
• 400 | 76023 | 3005900 | 12750082 | MQ22SS1230 - STS4_x000D_
• 500 | 76055 | 3043005 | 10726010 | MQ22PW1230 - PW120_x000D_
• 600 | 76062 | 3043401 | 7137583 | MQ22PF12 - FPW120_x000D_
• 700 | 76138 | 3014600 | 13155052 | MQ22GS0650T - GS5_x000D_
• 800 | 76138 | 3014600 | 13155056 | MQ22GS0650T - GS5_x000D_
• 900 | 76228 | 2077000 | 12093480 | MQ22OP2004E - TP2PE200_x000D_
• 1000 | 76294 | 2321000 | 12571352 | MQ22FLUX208P - ET3_x000D_
• 1100 | 79507 | 30000004 | 12989466 | MQ22RC691_H - RC1_x000D_
_x000D_
Stop 7:_x000D_
• 100 | 39246 | 2064003 | 5420297 | MXMT242K - meet:table_x000D_
• 200 | 70054 | 9900400 | 11410233 | PC-VT-84.8500 - Viasit 84.8500_x000D_
• 300 | 79378 | 9900400 | 12592971 | PC-LIN-27829AIR - Lintex 27829AIR_x000D_
_x000D_
Stop 8:_x000D_
• 300 | 31331 | 2050112 | 13199255 | MXTI168 - MOTION Arbeitstisch_x000D_
• 400 | 76387 | 3099000 | 12115899 | MQ22MIME - Mindermengenzuschlag_x000D_
_x000D_
Stop 9:_x000D_
• 100 | 44932 | 4090500 | 12946758 | SUPL19 - Platte 1,9cm Stärke_x000D_
• 200 | 66005 | 3990001 | 9912412 | MONTAGEPAU - Montage Pauschale_x000D_
_x000D_
Stop 10:_x000D_
• 100 | 66005 | 3990001 | 9960583 | MONTAGEPAU - Montage Pauschale_x000D_
• 200 | 76283 | 2321000 | 12153182 | MQ22FLUX168P - ET1_x000D_
_x000D_
Stop 11:_x000D_
• 100 | 73532 | 0 | 0 | FLUXZ_BT-PRO - Bedienelement ProLED Leiste + 2 Speicherpos._x000D_
_x000D_
Stop 12:_x000D_
• 100 | 73533 | 0 | 0 | FLUXZ_BT-PREM - Bedienelement PremiumDisplay + 4 Speicherpos._x000D_
_x000D_
Stop 13:_x000D_
• 100 | 73533 | 0 | 0 | FLUXZ_BT-PREM - Bedienelement PremiumDisplay + 4 Speicherpos._x000D_
_x000D_
Stop 14:_x000D_
• 100 | 73533 | 0 | 0 | FLUXZ_BT-PREM - Bedienelement PremiumDisplay + 4 Speicherpos._x000D_
_x000D_
</t>
  </si>
  <si>
    <t xml:space="preserve">Stop 0:_x000D_
• 100 | 1183 | 3000026 | 11610064 | MOSS1020 - Schiebetürschrank 2 OH_x000D_
• 200 | 1183 | 3000026 | 13194055 | MOSS1020 - Schiebetürschrank 2 OH_x000D_
• 300 | 1184 | 3000026 | 11678638 | MOSS1030 - Schiebetürschrank 3 OH_x000D_
• 400 | 1184 | 3000026 | 12698682 | MOSS1030 - Schiebetürschrank 3 OH_x000D_
• 900 | 1191 | 3000026 | 11610503 | MOSS1230 - Schiebetürschrank 3 OH_x000D_
• 1000 | 1192 | 3000026 | 10854445 | MOSS1240 - Schiebetürschrank  4 OH_x000D_
• 1100 | 1198 | 3000026 | 11440131 | MOSS1620 - Schiebetürschrank 2 OH_x000D_
• 1200 | 1200 | 3000026 | 11110917 | MOSS1640 - Schiebetürschrank  4 OH_x000D_
• 1300 | 31332 | 2050112 | 12871873 | MXTI188 - MOTION Arbeitstisch_x000D_
• 1400 | 44933 | 4090500 | 13194050 | SUPL25 - Platte 2,5cm Stärke_x000D_
• 1500 | 583 | 3000026 | 11858729 | MOSS1220 - Schiebetürschrank 2 OH_x000D_
• 1600 | 66005 | 3990001 | 9912429 | MONTAGEPAU - Montage Pauschale_x000D_
• 1700 | 78971 | 30000004 | 13009056 | CONT-RC - Rollcont. mit seitl. Eingriff_x000D_
_x000D_
</t>
  </si>
  <si>
    <t>INNSBRUCK Tour 08.04 St.</t>
  </si>
  <si>
    <t>Anton</t>
  </si>
  <si>
    <t>15|707539|00|00, 15|704871|00|00, 15|708137|00|00, 15|705676|00|00</t>
  </si>
  <si>
    <t xml:space="preserve">Stop 1:_x000D_
• 100 | 31318 | 2050112 | 13195358 | MXTI166 - MOTION Arbeitstisch_x000D_
• 200 | 44932 | 4090500 | 13010067 | SUPL19 - Platte 1,9cm Stärke_x000D_
• 300 | 44932 | 4090500 | 13195366 | SUPL19 - Platte 1,9cm Stärke_x000D_
• 400 | 68688 | 2301003 | 13195346 | FLUX208P - Flux E plus, E-Hebetisch_x000D_
• 500 | 68688 | 2301003 | 13195352 | FLUX208P - Flux E plus, E-Hebetisch_x000D_
• 600 | 76000 | 2041000 | 11964689 | MQ22KT147 - BTRE14070_x000D_
• 700 | 77775 | 2306000 | 13195348 | FLUX166P_AT - Flux E plus Anbautisch_x000D_
• 800 | 77775 | 2306000 | 13195354 | FLUX166P_AT - Flux E plus Anbautisch_x000D_
_x000D_
Stop 2:_x000D_
• 100 | 76217 | 3040009 | 10720245 | MQ22GW0850 - WG80_x000D_
• 200 | 76228 | 2077000 | 13158579 | MQ22OP2004E - TP2PE200_x000D_
• 300 | 76387 | 3099000 | 12115899 | MQ22MIME - Mindermengenzuschlag_x000D_
• 400 | 79507 | 30000004 | 13082909 | MQ22RC691_H - RC1_x000D_
_x000D_
Stop 3:_x000D_
• 100 | 66041 | 3990001 | 9981157 | MONTAGEREG - Montage Regie_x000D_
_x000D_
Stop 4:_x000D_
• 100 | 2554 | 3040202 | 29944 | MOGWGS - Garderobeständer_x000D_
• 200 | 31333 | 2050112 | 12897630 | MXTI208 - MOTION Arbeitstisch_x000D_
• 300 | 51842 | 0 | 0 | MONTM - Montagepauschale_x000D_
• 550 | 69203 | 3327000 | 10812755 | XLR.TS1020 - Drehtürschrank 2 OH_x000D_
• 800 | 80469 | 30000201 | 12817291 | LHRC691_H - Rollcont. mit seitl. Eingriff_x000D_
_x000D_
</t>
  </si>
  <si>
    <t>INNSBRUCK Tour 08.04 Hall -</t>
  </si>
  <si>
    <t>15|708518|00|00, 15|709503|00|00, 15|706298|00|00, 15|705248|00|00</t>
  </si>
  <si>
    <t xml:space="preserve">Stop 1:_x000D_
• 200 | 79847 | 9901104 | 12924632 | NOS_ATE2.TLRES25 - FLUX E2, rechteckig, mit T-Fuß,Spanplatte 25 mm_x000D_
_x000D_
Stop 2:_x000D_
• 100 | 66005 | 3990001 | 9907791 | MONTAGEPAU - Montage Pauschale_x000D_
• 200 | 73533 | 0 | 0 | FLUXZ_BT-PREM - Bedienelement PremiumDisplay + 4 Speicherpos._x000D_
_x000D_
Stop 3:_x000D_
• 100 | 35284 | 0 | 0 | MXEPHE - Motion Empfangspult High End_x000D_
• 200 | 75841 | 2043500 | 2885907 | MQ22BT080 - BTRQ2_x000D_
• 300 | 76048 | 2091700 | 4518193 | MQ22CADDY - C1_x000D_
• 400 | 76053 | 3043005 | 10679864 | MQ22PW0830 - PW80_x000D_
• 500 | 76060 | 3043401 | 134135 | MQ22PF08 - FPW80_x000D_
• 600 | 76216 | 3040009 | 10703367 | MQ22GW0650 - WG60_x000D_
• 700 | 76216 | 3040009 | 10703367 | MQ22GW0650 - WG60_x000D_
• 800 | 76250 | 2077100 | 12119693 | MQ22OP1804B - TP2PB180_x000D_
• 900 | 76293 | 2321000 | 12176484 | MQ22FLUX188P - ET2_x000D_
• 1000 | 76296 | 2321000 | 12192782 | MQ22FLUX200P - ET5_x000D_
• 1100 | 9929 | 0 | 0 | SUKL - Kleinteile_x000D_
_x000D_
Stop 4:_x000D_
• 100 | 33363 | 2071500 | 3020691 | MXAP20 - MOTION Organisationspaneel_x000D_
• 200 | 51842 | 0 | 0 | MONTM - Montagepauschale_x000D_
• 300 | 69197 | 3327000 | 10803767 | XLR.SS2020 - Schiebetürschrank 2 OH_x000D_
• 400 | 69203 | 3327000 | 10812755 | XLR.TS1020 - Drehtürschrank 2 OH_x000D_
• 500 | 80469 | 30000201 | 12817290 | LHRC691_H - Rollcont. mit seitl. Eingriff_x000D_
_x000D_
</t>
  </si>
  <si>
    <t>Medizinische Uni Innsbruck</t>
  </si>
  <si>
    <t>15|707114|00|00, 15|705547|00|00</t>
  </si>
  <si>
    <t xml:space="preserve">Stop 1:_x000D_
• 100 | 75746 | 2041000 | 11049185 | MQ22TI188 - ATR5_x000D_
• 200 | 75843 | 2043600 | 11192836 | MQ22BT088 - BTRQ4_x000D_
• 300 | 76020 | 3005900 | 11066287 | MQ22SS1220 - STS3_x000D_
• 400 | 76029 | 3005900 | 11036115 | MQ22SS1620 - STS6_x000D_
• 500 | 76032 | 3005900 | 11066267 | MQ22SS1630 - STS7_x000D_
• 600 | 76063 | 2099300 | 11053365 | MQ22OPF06S - F20TP60_x000D_
• 700 | 76173 | 3033400 | 12242726 | MQ22SR1230 - RE16_x000D_
• 800 | 76175 | 3033400 | 13189403 | MQ22SR1630 - RE18_x000D_
• 900 | 76250 | 2077100 | 12137754 | MQ22OP1804B - TP2PB180_x000D_
• 1000 | 79507 | 30000004 | 12992337 | MQ22RC691_H - RC1_x000D_
_x000D_
Stop 2:_x000D_
• 100 | 44932 | 4090500 | 13166501 | SUPL19 - Platte 1,9cm Stärke_x000D_
• 200 | 66005 | 3990001 | 9912429 | MONTAGEPAU - Montage Pauschale_x000D_
• 300 | 68700 | 2301003 | 13166647 | FLUX200P - Flux E plus, E-Hebetisch_x000D_
• 400 | 75671 | 3005900 | 11217629 | MQ22SS1020 - STS1_x000D_
• 500 | 75671 | 3005900 | 11217629 | MQ22SS1020 - STS1_x000D_
• 600 | 75671 | 3005900 | 11432352 | MQ22SS1020 - STS1_x000D_
• 700 | 75743 | 2041000 | 11049163 | MQ22TI128 - ATR2_x000D_
• 800 | 75745 | 2041000 | 11049179 | MQ22TI168 - ATR4_x000D_
• 900 | 75745 | 2041000 | 11049179 | MQ22TI168 - ATR4_x000D_
• 1000 | 75745 | 2041000 | 11049179 | MQ22TI168 - ATR4_x000D_
• 1100 | 75745 | 2041000 | 11049179 | MQ22TI168 - ATR4_x000D_
• 1200 | 75746 | 2041000 | 11049185 | MQ22TI188 - ATR5_x000D_
• 1300 | 75746 | 2041000 | 11049185 | MQ22TI188 - ATR5_x000D_
• 1400 | 75746 | 2041000 | 11049185 | MQ22TI188 - ATR5_x000D_
• 1500 | 75747 | 2041000 | 11049198 | MQ22TI208 - ATR6_x000D_
• 1600 | 75747 | 2041000 | 11049198 | MQ22TI208 - AT_x000D_
_x000D_
</t>
  </si>
  <si>
    <t>11|709431|00|00, 15|705574|00|00, 15|706882|00|00, 15|707348|00|00, 15|707076|00|00, 15|703203|00|00, 15|709401|00|00</t>
  </si>
  <si>
    <t xml:space="preserve">Stop 1:_x000D_
• 50 | 15562 | 1091100 | 12153667 | ZBSCH-SPK - Sperrkern inkl. 2 Schlüssel_x000D_
• 75 | 56129 | 0 | 0 | ZBSCH-DGRR3 - Drehgriff sperrbar re DG3 Softrin_x000D_
• 87 | 56130 | 0 | 0 | ZBSCH-DGRL3 - Drehgriff sperrbar li DG3 Softrin_x000D_
• 93 | 66005 | 3990001 | 9996007 | MONTAGEPAU - Montage Pauschale_x000D_
_x000D_
Stop 2:_x000D_
• 100 | 1183 | 3000026 | 11029806 | MOSS1020 - Schiebetürschrank 2 OH_x000D_
• 200 | 2351 | 3031012 | 13166710 | MORE1030 - Regal 3 OH_x000D_
• 300 | 33149 | 2061502 | 5295841 | MXBT100 - MOTION Besprechungstisch rund_x000D_
• 400 | 70142 | 9900400 | 11554457 | PC-ZU-DE - Züco DE_x000D_
• 500 | 70828 | 9900400 | 11158045 | PC-LAPA-T80_BASE - LaPalma T80_Base_x000D_
• 600 | 76055 | 3043005 | 11046166 | MQ22PW1230 - PW120_x000D_
• 700 | 76385 | 0 | 0 | MQ22PLS1 - PLS1_x000D_
• 800 | 79367 | 3040503 | 13166716 | MOGP618 - Motion Garderobenpaneel_x000D_
• 900 | 79553 | 9900400 | 12624362 | PC-LIN-40445 - Lintex 40445_x000D_
• 1000 | 80251 | 9900400 | 12773753 | PC-LIN-91127S - Lintex 91127S_x000D_
_x000D_
Stop 3:_x000D_
• 100 | 68569 | 2098000 | 4328870 | MXZPWWIF - Pinnwandwinkel f. Fremdtisch_x000D_
• 200 | 75746 | 2041000 | 13092987 | MQ22TI188 - ATR5_x000D_
• 300 | 76249 | 2077100 | 12681500 | MQ22OP1604B - TP2PB160_x000D_
• 400 | 76293 | 2321000 | 13184182 | MQ22FLUX188P - ET2_x000D_
• 500 | 76378 | 2099204 | 10717654 | MQ22CP-SI-FLUX - CPUH1_x000D_
• 600 | 79507 | 30000004 | 13063456 | MQ22RC691_H - RC1_x000D_
_x000D_
Stop 4:_x000D_
• 100 | 76283 | 2321000 | 12398428 | MQ22FLUX168P - ET1_x000D_
• 200 | 76378 | 2099204 | 10717654 | MQ22CP-SI-FLUX - CPUH1_x000D_
• 300 | 76387 | 3099000 | 12115901 | MQ22MIME - Mindermengenzuschlag_x000D_
_x000D_
Stop 5:_x000D_
• 100 | 3568 | 3081305 | 11223710 | MOZSR05FB - Fachboden f. Standregal_x000D_
• 200 | 39351 | 2075003 | 13188886 | MXEP20 - Empfangspult_x000D_
• 300 | 75743 | 2041000 | 11499996 | MQ22TI128 - ATR2_x000D_
• 400 | 75745 | 2041000 | 11049179 | MQ22TI168 - ATR4_x000D_
• 500 | 75974 | 3081305 | 10447732 | MQ22ZS10FB-T - FBRB10044-3_x000D_
• 600 | 75994 | 2043600 | 11053277 | MQ22BQ088 - BTRQHF2_x000D_
• 700 | 76003 | 2041000 | 11053172 | MQ22KT200 - BTRE200100_x000D_
• 800 | 76017 | 3005900 | 11193082 | MQ22SS1030 - STS2_x000D_
• 900 | 76017 | 3005900 | 11193082 | MQ22SS1030 - STS2_x000D_
• 1000 | 76063 | 2099300 | 11053365 | MQ22OPF06S - F20TP60_x000D_
• 1100 | 76063 | 2099300 | 11053365 | MQ22OPF06S - F20TP60_x000D_
• 1200 | 76164 | 3033500 | 11164907 | MQ22SR0830 - RE7_x000D_
• 1300 | 76164 | 3033500 | 12272838 | MQ22SR0830 - RE7_x000D_
• 1400 | 76167 | 3033500 | 13191390 | MQ22SR0860 - RE9_x000D_
• 1500 | 76216 | 3040009 | 10879482 | MQ22GW0650 - WG60_x000D_
• 1600 | 76249 | 2077100 | 12247658 | MQ22OP1604B - TP2PB_x000D_
_x000D_
Stop 6:_x000D_
• 100 | 76387 | 3099000 | 12115899 | MQ22MIME - Mindermengenzuschlag_x000D_
• 200 | 79507 | 30000004 | 12992337 | MQ22RC691_H - RC1_x000D_
_x000D_
Stop 7:_x000D_
• 100 | 31529 | 2070110 | 12778422 | MXPW1804 - Tischpinnwand lightGrundplatte 19 mm_x000D_
• 200 | 44932 | 4090500 | 13003346 | SUPL19 - Platte 1,9cm Stärke_x000D_
• 400 | 66005 | 3990001 | 11811906 | MONTAGEPAU - Montage Pauschale_x000D_
• 500 | 68694 | 2301003 | 13226786 | FLUX209P - Flux E plus, E-Hebetisch_x000D_
_x000D_
</t>
  </si>
  <si>
    <t>INNSBRUCK Tour 18.04 Hochzirl - Natters -</t>
  </si>
  <si>
    <t>15|704428|00|00, 15|706331|00|00, 15|708397|00|00, 15|708421|00|00</t>
  </si>
  <si>
    <t xml:space="preserve">Stop 1:_x000D_
• 300 | 70126 | 9900400 | 11554990 | PC-ZU-SV - Züco SV_x000D_
• 1300 | 78273 | 9900400 | 13151538 | PC-ROSC-DTEC-ST115-Q - Braun dtec-st115-qsw_x000D_
• 1400 | 79238 | 9900400 | 12550048 | PC-ARTI-BESO - Artifort Beso_x000D_
_x000D_
Stop 2:_x000D_
• 100 | 21032 | 0 | 0 | LIEFM - LIEFM_x000D_
• 300 | 31315 | 2050112 | 13175217 | MXTI106 - MOTION Arbeitstisch_x000D_
• 500 | 31512 | 2070010 | 13175216 | MXOP2404 - Tischpinnwand organisierbarGrundplatte 32 mm_x000D_
• 600 | 82140 | 9901104 | 12970659 | N_ATL2.TLRES25 - Flux E2 Plus, rechteckigmit T-Fuß, Spanpl.25 mm_x000D_
• 700 | 82140 | 9901104 | 12970659 | N_ATL2.TLRES25 - Flux E2 Plus, rechteckigmit T-Fuß, Spanpl.25 mm_x000D_
_x000D_
Stop 3:_x000D_
• 100 | 76054 | 3043005 | 11031043 | MQ22PW1030 - PW100_x000D_
• 200 | 76061 | 3043401 | 6935175 | MQ22PF10 - FPW100_x000D_
• 300 | 76063 | 2099300 | 9241622 | MQ22OPF06S - F20TP60_x000D_
• 400 | 76251 | 2077100 | 12687932 | MQ22OP2004B - TP2PB200_x000D_
• 500 | 79507 | 30000004 | 13201050 | MQ22RC691_H - RC1_x000D_
_x000D_
Stop 4:_x000D_
• 100 | 78971 | 30000004 | 12959500 | CONT-RC - Rollcont. mit seitl. Eingriff_x000D_
_x000D_
</t>
  </si>
  <si>
    <t>BVAEB</t>
  </si>
  <si>
    <t>Versicherung Innsbruck 24.04</t>
  </si>
  <si>
    <t>15|701925|00|00, 15|701924|00|00</t>
  </si>
  <si>
    <t xml:space="preserve">Stop 1:_x000D_
• 100 | 1285 | 3031305 | 11025941 | MOSR1215 - Standregal 1,5 OH_x000D_
• 200 | 15717 | 3060007 | 13114796 | MOOS1611 - Organisationsstellwand_x000D_
• 300 | 15718 | 3060007 | 13114794 | MOOS1811 - Organisationsstellwand_x000D_
• 400 | 31066 | 2058001 | 2861348 | MXAX08 - MOTION Anbauelement_x000D_
• 500 | 31330 | 2050112 | 13114790 | MXTI148 - MOTION Arbeitstisch_x000D_
• 600 | 31331 | 2050112 | 13107779 | MXTI168 - MOTION Arbeitstisch_x000D_
• 700 | 76003 | 2041000 | 12771147 | MQ22KT200 - BTRE200100_x000D_
• 800 | 76020 | 3005900 | 10004426 | MQ22SS1220 - STS3_x000D_
• 900 | 76020 | 3005900 | 10453637 | MQ22SS1220 - STS3_x000D_
• 1000 | 76054 | 3043005 | 10681644 | MQ22PW1030 - PW100_x000D_
• 1100 | 76067 | 1102105 | 2865211 | MQ22DUSQ - A4SQTP_x000D_
• 1200 | 76069 | 1102105 | 2865211 | MQ22DUUS - USTP_x000D_
• 1300 | 76071 | 2073503 | 4207308 | MQ22STL2 - SLTP2_x000D_
• 1400 | 79507 | 30000003 | 12990822 | MQ22RC691_H - RC1_x000D_
_x000D_
Stop 2:_x000D_
• 100 | 31331 | 2050112 | 13107779 | MXTI168 - MOTION Arbeitstisch_x000D_
• 200 | 31331 | 2050112 | 13107779 | MXTI168 - MOTION Arbeitstisch_x000D_
• 300 | 31331 | 2050112 | 13107779 | MXTI168 - MOTION Arbeitstisch_x000D_
• 400 | 31331 | 2050112 | 13107779 | MXTI168 - MOTION Arbeitstisch_x000D_
• 500 | 31333 | 2050112 | 13114788 | MXTI208 - MOTION Arbeitstisch_x000D_
• 600 | 75999 | 2041000 | 10232303 | MQ22KT126 - BTRE12060_x000D_
• 700 | 76001 | 2041000 | 11396524 | MQ22KT168 - BTRE16080_x000D_
• 800 | 76017 | 3005900 | 10107417 | MQ22SS1030 - STS2_x000D_
• 900 | 76017 | 3005900 | 10107417 | MQ22SS1030 - STS2_x000D_
• 1000 | 76017 | 3005900 | 10107417 | MQ22SS1030 - STS2_x000D_
• 1100 | 76017 | 3005900 | 10107417 | MQ22SS1030 - STS2_x000D_
• 1200 | 76017 | 3005900 | 10364113 | MQ22SS1030 - STS2_x000D_
• 1300 | 76017 | 3005900 | 10364113 | MQ22SS1030 - STS2_x000D_
• 1400 | 76017 | 3005900 | 10364113 | MQ22SS1030 - STS2_x000D_
• 1500 | 76017 | 3005900 | 10364113 | MQ22SS1030 - STS2_x000D_
• 76020|300_x000D_
_x000D_
</t>
  </si>
  <si>
    <t>INNSBRUCK Tour 24.04 Tiroler</t>
  </si>
  <si>
    <t>Kliniken</t>
  </si>
  <si>
    <t xml:space="preserve">Stop 0:_x000D_
• 100 | 33150 | 2061502 | 11613104 | MXBT120 - MOTION Besprechungstisch rund_x000D_
• 200 | 39096 | 2064003 | 11003153 | MXMT160E - meet:table_x000D_
• 300 | 75671 | 3005900 | 11580375 | MQ22SS1020 - STS1_x000D_
• 400 | 75671 | 3005900 | 11580375 | MQ22SS1020 - STS1_x000D_
• 500 | 75983 | 3081305 | 10447757 | MQ22ZT06FB-T - FBRB6044-2_x000D_
• 600 | 75983 | 3081305 | 10447757 | MQ22ZT06FB-T - FBRB6044-2_x000D_
• 700 | 75983 | 3081305 | 10447757 | MQ22ZT06FB-T - FBRB6044-2_x000D_
• 800 | 75983 | 3081305 | 10447757 | MQ22ZT06FB-T - FBRB6044-2_x000D_
• 900 | 76020 | 3005900 | 11195282 | MQ22SS1220 - STS3_x000D_
• 1000 | 76054 | 3043005 | 10681644 | MQ22PW1030 - PW100_x000D_
• 1100 | 76077 | 3014600 | 13155035 | MQ22TS0650 - DS1_x000D_
• 1200 | 76101 | 3014600 | 11684488 | MQ22TS0820 - DS2_x000D_
• 1300 | 76101 | 3014600 | 11987871 | MQ22TS0820 - DS2_x000D_
• 1400 | 76137 | 3014600 | 11980460 | MQ22GS0650S - GS1_x000D_
• 1500 | 76137 | 3014600 | 11980460 | MQ22GS0650S - GS1_x000D_
• 1600 | 76137 | 3014600 | 11980460 | MQ22GS0650S - _x000D_
_x000D_
</t>
  </si>
  <si>
    <t>INNSBRUCK Tour 28.04 aus</t>
  </si>
  <si>
    <t>KW17</t>
  </si>
  <si>
    <t>15|707295|00|00, 15|707880|00|00, 15|708428|00|00, 15|706417|00|00, 15|707563|00|00, 15|707887|00|00, 15|707607|00|00, 15|708158|00|00, 15|709433|00|00</t>
  </si>
  <si>
    <t xml:space="preserve">Stop 1:_x000D_
• 100 | 76251 | 2077100 | 12157547 | MQ22OP2004B - TP2PB200_x000D_
• 200 | 76295 | 2321000 | 12220547 | MQ22FLUX209P - ET4_x000D_
• 300 | 76387 | 3099000 | 12115901 | MQ22MIME - Mindermengenzuschlag_x000D_
_x000D_
Stop 2:_x000D_
• 100 | 78850 | 2070010 | 12461423 | XÖBB.OP2004 - Tischpinnwand organisierbarGrundplatte 32 mm_x000D_
• 200 | 78862 | 2061108 | 9185687 | XÖBB.KT147 - Besprechungstisch fixe PlatteMOTION_x000D_
• 300 | 78907 | 2301003 | 12869587 | XÖBB.FLUX208P - Elektrisch HöhenverstellbarerFLUX E Plus_x000D_
• 400 | 79511 | 30000004 | 12960190 | XÖBB.RC691_H - Rollcontainer_x000D_
_x000D_
Stop 3:_x000D_
• 100 | 66005 | 3990001 | 9905817 | MONTAGEPAU - Montage Pauschale_x000D_
• 200 | 80765 | 9901001 | 12747835 | NOS_DS4Q.5ABC - Drehstuhl n.you_x000D_
_x000D_
Stop 4:_x000D_
• 100 | 2559 | 3041004 | 13194441 | MOBL2520 - Schrankverblendung_x000D_
• 200 | 44931 | 4090500 | 13205970 | SUPL12 - Platte 1,2cm Stärke_x000D_
• 300 | 82069 | 9901202 | 13121122 | N_BKXFS.UBS25_K2 - LINEO Drehtürschrank, Unterbau,Plattenmaterial: Spanplat_x000D_
• 400 | 82079 | 9901202 | 13152217 | N_BKXLS.UBS25_K2 - LINEO Ladenschrank, Unterbau,Plattenmaterial: Spanplatte_x000D_
• 500 | 82085 | 9901202 | 13176216 | N_BKXOS.UBS25_K2 - LINEO Regal, Unterbau,Plattenmaterial: Spanplatte 25 mm_x000D_
• 600 | 82091 | 9901202 | 13176218 | N_BKXQS.UBS25_K2 - LINEO Rolloschrank, Unterbau,Plattenmaterial: Spanplatte_x000D_
• 700 | 82097 | 9901202 | 13176220 | N_BKXSS.UBS25_K2 - LINEO Schiebetürschrank, UnterbauPlattenmaterial: Spanpl_x000D_
• 800 | 82586 | 9901001 | 12747835 | N_B3AEB.HKR - LINEO Hängeregisterrahmen_x000D_
• 900 | 82591 | 9901001 | 12747835 | N_B3AEB.LT - LINEO Längsteiler_x000D_
• 1000 | 82592 | 9901001 | 12747835 | N_B3AEB.MPFACH - LINEO Mappenfach_x000D_
• 1100 | 82592 | 9901001 | 12747835 | N_B3AEB.MPFACH - LINEO Mappenfach----_x000D_
_x000D_
Stop 5:_x000D_
• 100 | 75996 | 2043600 | 9373521 | MQ22BQ1010 - BTRQHF3mit Zarge 430mm!_x000D_
• 200 | 76387 | 3099000 | 12115901 | MQ22MIME - Mindermengenzuschlag_x000D_
• 300 | 9929 | 0 | 0 | SUKL - Kleinteile_x000D_
_x000D_
Stop 6:_x000D_
• 100 | 74002 | 9023500 | 11891960 | VI-617.1020N-ÖBB - F1 Drehstuhl, Netzrücken_x000D_
_x000D_
Stop 7:_x000D_
• 100 | 76387 | 3099000 | 12115901 | MQ22MIME - Mindermengenzuschlag_x000D_
• 200 | 77997 | 2322001 | 13197133 | MQ22TM188 - MHT2_x000D_
_x000D_
Stop 8:_x000D_
• 100 | 33363 | 2071500 | 3020691 | MXAP20 - MOTION Organisationspaneel_x000D_
• 200 | 68700 | 2301003 | 13031503 | FLUX200P - Flux E plus, E-Hebetisch_x000D_
• 300 | 9931 | 0 | 0 | SUSO - Manufaktur_x000D_
_x000D_
Stop 9:_x000D_
• 100 | 78971 | 30000004 | 12959500 | CONT-RC - Rollcont. mit seitl. Eingriff_x000D_
_x000D_
</t>
  </si>
  <si>
    <t>INNSBRUCK Tour 25.04 Absam - Hall -</t>
  </si>
  <si>
    <t>15|706207|00|00, 15|708185|00|00, 15|706027|00|00</t>
  </si>
  <si>
    <t xml:space="preserve">Stop 1:_x000D_
• 100 | 44933 | 4090500 | 5642532 | SUPL25 - Platte 2,5cm Stärke_x000D_
• 200 | 68688 | 2301003 | 13012910 | FLUX208P - Flux E plus, E-Hebetisch_x000D_
• 300 | 69137 | 2099204 | 10717654 | FLUX-P-CPU - Flux CPU-Halterung_x000D_
_x000D_
Stop 2:_x000D_
• 100 | 79847 | 9901104 | 12924632 | NOS_ATE2.TLRES25 - FLUX E2, rechteckig, mit T-Fuß,Spanplatte 25 mm_x000D_
_x000D_
Stop 3:_x000D_
• 500 | 34754 | 9900000 | 13173561 | KK-SOSO - Accessoires HW_x000D_
• 600 | 72204 | 9900400 | 11459029 | PC-PR-MF2AA - Preform MF2AA_x000D_
• 900 | 72204 | 9900400 | 11459029 | PC-PR-MF2AA - Preform MF2AA_x000D_
• 1200 | 74713 | 9900400 | 11970906 | PC-BUZZISPACE-BUZZIF - Buzzispace BuzziFalls_x000D_
• 1300 | 81461 | 9900400 | 13171829 | PC-ROSC-DTEC-SC15-W - Braun dtec-sc15-w_x000D_
_x000D_
</t>
  </si>
  <si>
    <t>INNSBRUCK PLANT SC LEITER KW 18 1 Kunde</t>
  </si>
  <si>
    <t xml:space="preserve">Stop 0:_x000D_
• 300 | 78825 | 3040009 | 10869035 | XÖBB.GW0650 - Garderobepaneel_x000D_
• 400 | 78905 | 2301003 | 13000771 | XÖBB.FLUX209P - Elektrisch HöhenverstellbarerFLUX E Plus_x000D_
• 500 | 78916 | 3000026 | 13189875 | XÖBB.SS1220 - Schiebetürschrank 2 OH_x000D_
• 600 | 78927 | 3000026 | 12619616 | XÖBB.SS1230 - Schiebetürschrank 3 OH_x000D_
• 700 | 79511 | 30000004 | 12960191 | XÖBB.RC691_H - Rollcontainer_x000D_
_x000D_
</t>
  </si>
  <si>
    <t>INNSBRUCK Tour 29.04 Imst -</t>
  </si>
  <si>
    <t>15|709742|00|00, 15|708387|00|00, 15|708632|00|00, 15|705271|00|00, 15|708043|00|00, 15|708631|00|00, 15|708730|00|00, 15|708147|00|00, 15|708721|00|00, 15|705253|00|00, 15|703307|00|00, 15|708592|00|00, 15|709062|00|00, 15|707852|00|00, 15|708453|00|00</t>
  </si>
  <si>
    <t xml:space="preserve">Stop 1:_x000D_
• 100 | 66005 | 3990001 | 9960583 | MONTAGEPAU - Montage Pauschale_x000D_
• 200 | 77726 | 9900500 | 12270150 | PC-HAG-1200-S - HAG 1200-S_x000D_
_x000D_
Stop 2:_x000D_
• 100 | 33361 | 2071500 | 3020693 | MXAP24 - MOTION Organisationspaneel_x000D_
• 200 | 68688 | 2301003 | 13027142 | FLUX208P - Flux E plus, E-Hebetisch_x000D_
• 300 | 9931 | 0 | 0 | SUSO - Manufaktur_x000D_
_x000D_
Stop 3:_x000D_
• 100 | 68700 | 2301003 | 13218079 | FLUX200P - Flux E plus, E-Hebetisch_x000D_
_x000D_
Stop 4:_x000D_
• 100 | 33363 | 2071500 | 3020691 | MXAP20 - MOTION Organisationspaneel_x000D_
• 200 | 68700 | 2301003 | 13164423 | FLUX200P - Flux E plus, E-Hebetisch_x000D_
• 300 | 69137 | 2099204 | 10717654 | FLUX-P-CPU - Flux CPU-Halterung_x000D_
• 400 | 9931 | 0 | 0 | SUSO - Manufaktur_x000D_
_x000D_
Stop 5:_x000D_
• 100 | 76295 | 2321000 | 13205100 | MQ22FLUX209P - ET4_x000D_
• 200 | 76387 | 3099000 | 12115901 | MQ22MIME - Mindermengenzuschlag_x000D_
_x000D_
Stop 6:_x000D_
• 100 | 68700 | 2301003 | 13031503 | FLUX200P - Flux E plus, E-Hebetisch_x000D_
_x000D_
Stop 7:_x000D_
• 100 | 43811 | 2098200 | 7522504 | MXZSFRP - RP-Rundrohrstützfuß Projekt_x000D_
• 200 | 68700 | 2301003 | 13214978 | FLUX200P - Flux E plus, E-Hebetisch_x000D_
• 300 | 69137 | 2099204 | 10717654 | FLUX-P-CPU - Flux CPU-Halterung_x000D_
_x000D_
Stop 8:_x000D_
• 100 | 76283 | 2321000 | 12398428 | MQ22FLUX168P - ET1_x000D_
• 200 | 76378 | 2099204 | 10717654 | MQ22CP-SI-FLUX - CPUH1_x000D_
• 300 | 76387 | 3099000 | 12115901 | MQ22MIME - Mindermengenzuschlag_x000D_
_x000D_
Stop 9:_x000D_
• 100 | 68699 | 2301003 | 13218669 | FLUX180P - Flux E plus, E-Hebetisch_x000D_
_x000D_
Stop 10:_x000D_
• 100 | 76294 | 2321000 | 12385821 | MQ22FLUX208P - ET3_x000D_
• 200 | 76387 | 3099000 | 12115901 | MQ22MIME - Mindermengenzuschlag_x000D_
_x000D_
Stop 11:_x000D_
• 100 | 66005 | 3990001 | 11838937 | MONTAGEPAU - Montage Pauschale_x000D_
• 200 | 68686 | 2301003 | 13143927 | FLUX148P - Flux E plus, E-Hebetisch_x000D_
• 300 | 76376 | 2099600 | 8732084 | MQ22EKHV-T - KH2_x000D_
• 400 | 76381 | 2099204 | 10717645 | MQ22CP-SW-FLUX - CPUH2_x000D_
_x000D_
Stop 12:_x000D_
• 100 | 74001 | 9023401 | 12148625 | VI-616.1020N-ÖBB - F1 Drehstuhl, Polsterrücken_x000D_
_x000D_
Stop 13:_x000D_
• 100 | 78902 | 2301003 | 12883014 | XÖBB.FLUX188P - Elektrisch HöhenverstellbarerFLUX E Plus_x000D_
_x000D_
Stop 14:_x000D_
• 100 | 21032 | 0 | 0 | LIEFM - LIEFM_x000D_
• 200 | 82097 | 9901202 | 13201346 | N_BKXSS.UBS25_K2 - LINEO Schiebetürschrank, UnterbauPlattenmaterial: Spanpl_x000D_
_x000D_
Stop 15:_x000D_
• 100 | 75671 | 3005900 | 11217629 | MQ22SS1020 - STS1_x000D_
• 200 | 76003 | 2041000 | 11053172 | MQ22KT200 - BTRE200100_x000D_
• 300 | 76020 | 3005900 | 11066287 | MQ22SS1220 - STS3_x000D_
• 400 | 76029 | 3005900 | 11036115 | MQ22SS1620 - STS6_x000D_
• 500 | 76175 | 3033400 | 13189403 | MQ22SR1630 - RE18_x000D_
• 600 | 76249 | 2077100 | 13210879 | MQ22OP1604B - TP2PB160_x000D_
• 700 | 76296 | 2321000 | 12309952 | MQ22FLUX200P - ET5_x000D_
• 800 | 76378 | 2099204 | 10717654 | MQ22CP-SI-FLUX - CPUH1_x000D_
_x000D_
</t>
  </si>
  <si>
    <t>INNSBRUCK PLANT SC LEITER KW17 2 Kunden</t>
  </si>
  <si>
    <t>Kitzbühl</t>
  </si>
  <si>
    <t>15|708386|00|00, 15|706889|00|00</t>
  </si>
  <si>
    <t xml:space="preserve">Stop 1:_x000D_
• 200 | 31317 | 2050112 | 13209773 | MXTI146 - MOTION Arbeitstisch_x000D_
_x000D_
Stop 2:_x000D_
• 100 | 68687 | 2301003 | 13117603 | FLUX188P - Flux E plus, E-Hebetisch_x000D_
_x000D_
</t>
  </si>
  <si>
    <t>INNSBRUCK Tour 30.04 Kufstein -</t>
  </si>
  <si>
    <t>15|709099|00|00, 15|705352|00|00, 13|707215|00|00, 15|708891|00|00, 15|708993|00|00, 15|708360|00|00, 15|709110|00|00</t>
  </si>
  <si>
    <t xml:space="preserve">Stop 1:_x000D_
• 100 | 76293 | 2321000 | 12165267 | MQ22FLUX188P - ET2_x000D_
_x000D_
Stop 2:_x000D_
• 300 | 12683 | 9900000 | 13151540 | HWHW - Handelsware_x000D_
• 400 | 79308 | 9900400 | 12577199 | PC-ARTI-JIMA - Artifort Jima_x000D_
_x000D_
Stop 3:_x000D_
• 100 | 32010 | 2052007 | 13215045 | MXTL208 - MOTION Anbauelement_x000D_
• 200 | 75747 | 2041000 | 10103345 | MQ22TI208 - ATR6_x000D_
• 300 | 76385 | 0 | 0 | MQ22PLS1 - PLS1_x000D_
• 400 | 76387 | 3099000 | 12115901 | MQ22MIME - Mindermengenzuschlag_x000D_
_x000D_
Stop 4:_x000D_
• 100 | 21032 | 0 | 0 | LIEFM - LIEFM_x000D_
• 200 | 44933 | 4090500 | 13218009 | SUPL25 - Platte 2,5cm Stärke_x000D_
• 300 | 60011 | 0 | 0 | ZBWIN-AL23 - Anschraublasche (inkl.Schrauben)_x000D_
• 400 | 60014 | 0 | 0 | ZBWIN-AN23 - Anschraubwinkel_x000D_
• 500 | 82084 | 9901203 | 13218006 | N_BKXOS.UBS25 - LINEO Regal, Unterbau,Plattenmaterial: Spanplatte 25 mm_x000D_
• 600 | 9929 | 0 | 0 | SUKL - Kleinteile_x000D_
_x000D_
Stop 5:_x000D_
• 100 | 21032 | 0 | 0 | LIEFM - LIEFM_x000D_
• 200 | 68694 | 2301003 | 13218942 | FLUX209P - Flux E plus, E-Hebetisch_x000D_
_x000D_
Stop 6:_x000D_
• 100 | 75744 | 2041000 | 10488853 | MQ22TI147 - ATR3_x000D_
• 200 | 76054 | 3043005 | 10687984 | MQ22PW1030 - PW100_x000D_
• 300 | 76252 | 2077100 | 13210593 | MQ22OP2404B - TP2PB240_x000D_
• 400 | 82117 | 9901104 | 13173285 | N_ATL2.CLRES25 - Flux E2 Plus, rechteckigmit C-Fuß, Spanpl.25 mm_x000D_
_x000D_
Stop 7:_x000D_
• 100 | 75747 | 2041000 | 8724261 | MQ22TI208 - ATR6_x000D_
• 200 | 76232 | 2077000 | 13220105 | MQ22OP2006E - TP1PE200_x000D_
• 300 | 79507 | 30000004 | 12990822 | MQ22RC691_H - RC1_x000D_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</si>
</sst>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"/>
    <numFmt numFmtId="165" formatCode="dd\.mm\.yyyy\ hh:mm"/>
    <numFmt numFmtId="166" formatCode="dd\.mm\.yyyy"/>
    <numFmt numFmtId="167" formatCode="00000"/>
  </numFmts>
  <fonts count="1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scheme val="minor"/>
    </font>
    <font>
      <sz val="11"/>
      <color rgb="FF000000"/>
      <name val="Calibri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0" fillId="0" borderId="1" xfId="0" applyBorder="1" applyAlignment="1">
      <alignment vertical="center"/>
    </xf>
    <xf numFmtId="1" fontId="0" fillId="0" borderId="1" xfId="0" applyNumberFormat="1" applyBorder="1" applyAlignment="1">
      <alignment vertical="center"/>
    </xf>
    <xf numFmtId="4" fontId="0" fillId="0" borderId="1" xfId="0" applyNumberFormat="1" applyBorder="1" applyAlignment="1">
      <alignment vertical="center"/>
    </xf>
    <xf numFmtId="164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2" fillId="0" borderId="1" xfId="0" applyFont="1" applyBorder="1"/>
    <xf numFmtId="0" fontId="1" fillId="2" borderId="1" xfId="0" applyFont="1" applyFill="1" applyBorder="1" applyAlignment="1">
      <alignment vertical="center"/>
    </xf>
    <xf numFmtId="1" fontId="1" fillId="2" borderId="1" xfId="0" applyNumberFormat="1" applyFont="1" applyFill="1" applyBorder="1" applyAlignment="1">
      <alignment vertical="center"/>
    </xf>
    <xf numFmtId="4" fontId="1" fillId="2" borderId="1" xfId="0" applyNumberFormat="1" applyFont="1" applyFill="1" applyBorder="1" applyAlignment="1">
      <alignment vertical="center"/>
    </xf>
    <xf numFmtId="164" fontId="1" fillId="2" borderId="1" xfId="0" applyNumberFormat="1" applyFont="1" applyFill="1" applyBorder="1" applyAlignment="1">
      <alignment vertical="center"/>
    </xf>
    <xf numFmtId="0" fontId="0" fillId="2" borderId="0" xfId="0" applyFill="1"/>
    <xf numFmtId="0" fontId="1" fillId="2" borderId="2" xfId="0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vertical="center"/>
    </xf>
    <xf numFmtId="4" fontId="1" fillId="2" borderId="2" xfId="0" applyNumberFormat="1" applyFont="1" applyFill="1" applyBorder="1" applyAlignment="1">
      <alignment vertical="center"/>
    </xf>
    <xf numFmtId="164" fontId="1" fillId="2" borderId="2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3" fillId="3" borderId="6" xfId="0" applyFont="1" applyFill="1" applyBorder="1"/>
    <xf numFmtId="0" fontId="0" fillId="0" borderId="6" xfId="0" applyBorder="1"/>
    <xf numFmtId="4" fontId="0" fillId="0" borderId="6" xfId="0" applyNumberFormat="1" applyBorder="1"/>
    <xf numFmtId="0" fontId="2" fillId="0" borderId="1" xfId="0" applyFont="1" applyBorder="1" applyAlignment="1">
      <alignment horizontal="center" vertical="center"/>
    </xf>
    <xf numFmtId="4" fontId="0" fillId="2" borderId="1" xfId="0" applyNumberFormat="1" applyFill="1" applyBorder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1" fillId="0" borderId="1" xfId="0" applyFont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1" fontId="1" fillId="4" borderId="1" xfId="0" applyNumberFormat="1" applyFont="1" applyFill="1" applyBorder="1" applyAlignment="1">
      <alignment vertical="center"/>
    </xf>
    <xf numFmtId="4" fontId="1" fillId="4" borderId="1" xfId="0" applyNumberFormat="1" applyFont="1" applyFill="1" applyBorder="1" applyAlignment="1">
      <alignment vertical="center"/>
    </xf>
    <xf numFmtId="164" fontId="1" fillId="4" borderId="1" xfId="0" applyNumberFormat="1" applyFont="1" applyFill="1" applyBorder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1" fontId="0" fillId="4" borderId="1" xfId="0" applyNumberFormat="1" applyFill="1" applyBorder="1" applyAlignment="1">
      <alignment vertical="center"/>
    </xf>
    <xf numFmtId="4" fontId="0" fillId="4" borderId="1" xfId="0" applyNumberFormat="1" applyFill="1" applyBorder="1" applyAlignment="1">
      <alignment vertical="center"/>
    </xf>
    <xf numFmtId="164" fontId="0" fillId="4" borderId="1" xfId="0" applyNumberFormat="1" applyFill="1" applyBorder="1" applyAlignment="1">
      <alignment vertical="center"/>
    </xf>
    <xf numFmtId="0" fontId="2" fillId="4" borderId="1" xfId="0" applyFont="1" applyFill="1" applyBorder="1"/>
    <xf numFmtId="165" fontId="0" fillId="4" borderId="1" xfId="0" applyNumberFormat="1" applyFill="1" applyBorder="1" applyAlignment="1">
      <alignment vertical="center"/>
    </xf>
    <xf numFmtId="166" fontId="0" fillId="4" borderId="1" xfId="0" applyNumberFormat="1" applyFill="1" applyBorder="1" applyAlignment="1">
      <alignment vertical="center"/>
    </xf>
    <xf numFmtId="165" fontId="0" fillId="4" borderId="1" xfId="0" applyNumberForma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1" fontId="1" fillId="5" borderId="1" xfId="0" applyNumberFormat="1" applyFont="1" applyFill="1" applyBorder="1" applyAlignment="1">
      <alignment vertical="center"/>
    </xf>
    <xf numFmtId="4" fontId="1" fillId="5" borderId="1" xfId="0" applyNumberFormat="1" applyFont="1" applyFill="1" applyBorder="1" applyAlignment="1">
      <alignment vertical="center"/>
    </xf>
    <xf numFmtId="164" fontId="1" fillId="5" borderId="1" xfId="0" applyNumberFormat="1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1" fontId="0" fillId="5" borderId="1" xfId="0" applyNumberFormat="1" applyFill="1" applyBorder="1" applyAlignment="1">
      <alignment vertical="center"/>
    </xf>
    <xf numFmtId="4" fontId="0" fillId="5" borderId="1" xfId="0" applyNumberFormat="1" applyFill="1" applyBorder="1" applyAlignment="1">
      <alignment vertical="center"/>
    </xf>
    <xf numFmtId="164" fontId="0" fillId="5" borderId="1" xfId="0" applyNumberFormat="1" applyFill="1" applyBorder="1" applyAlignment="1">
      <alignment vertical="center"/>
    </xf>
    <xf numFmtId="0" fontId="2" fillId="5" borderId="1" xfId="0" applyFont="1" applyFill="1" applyBorder="1"/>
    <xf numFmtId="165" fontId="0" fillId="5" borderId="1" xfId="0" applyNumberFormat="1" applyFill="1" applyBorder="1" applyAlignment="1">
      <alignment vertical="center"/>
    </xf>
    <xf numFmtId="166" fontId="0" fillId="5" borderId="1" xfId="0" applyNumberFormat="1" applyFill="1" applyBorder="1" applyAlignment="1">
      <alignment vertical="center"/>
    </xf>
    <xf numFmtId="165" fontId="0" fillId="5" borderId="1" xfId="0" applyNumberFormat="1" applyFill="1" applyBorder="1" applyAlignment="1">
      <alignment horizontal="center" vertical="center"/>
    </xf>
    <xf numFmtId="0" fontId="1" fillId="6" borderId="1" xfId="0" applyFont="1" applyFill="1" applyBorder="1" applyAlignment="1">
      <alignment vertical="center"/>
    </xf>
    <xf numFmtId="1" fontId="1" fillId="6" borderId="1" xfId="0" applyNumberFormat="1" applyFont="1" applyFill="1" applyBorder="1" applyAlignment="1">
      <alignment vertical="center"/>
    </xf>
    <xf numFmtId="4" fontId="1" fillId="6" borderId="1" xfId="0" applyNumberFormat="1" applyFont="1" applyFill="1" applyBorder="1" applyAlignment="1">
      <alignment vertical="center"/>
    </xf>
    <xf numFmtId="164" fontId="1" fillId="6" borderId="1" xfId="0" applyNumberFormat="1" applyFon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" fontId="0" fillId="6" borderId="1" xfId="0" applyNumberFormat="1" applyFill="1" applyBorder="1" applyAlignment="1">
      <alignment vertical="center"/>
    </xf>
    <xf numFmtId="4" fontId="0" fillId="6" borderId="1" xfId="0" applyNumberFormat="1" applyFill="1" applyBorder="1" applyAlignment="1">
      <alignment vertical="center"/>
    </xf>
    <xf numFmtId="164" fontId="0" fillId="6" borderId="1" xfId="0" applyNumberFormat="1" applyFill="1" applyBorder="1" applyAlignment="1">
      <alignment vertical="center"/>
    </xf>
    <xf numFmtId="0" fontId="2" fillId="6" borderId="1" xfId="0" applyFont="1" applyFill="1" applyBorder="1"/>
    <xf numFmtId="165" fontId="0" fillId="6" borderId="1" xfId="0" applyNumberFormat="1" applyFill="1" applyBorder="1" applyAlignment="1">
      <alignment vertical="center"/>
    </xf>
    <xf numFmtId="166" fontId="0" fillId="6" borderId="1" xfId="0" applyNumberFormat="1" applyFill="1" applyBorder="1" applyAlignment="1">
      <alignment vertical="center"/>
    </xf>
    <xf numFmtId="165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0" fillId="0" borderId="6" xfId="0" applyBorder="1" applyAlignment="1">
      <alignment horizont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7" fillId="0" borderId="0" xfId="0" applyFont="1"/>
    <xf numFmtId="0" fontId="11" fillId="0" borderId="9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7" xfId="0" applyBorder="1"/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3" fillId="0" borderId="1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167" fontId="0" fillId="0" borderId="6" xfId="0" applyNumberFormat="1" applyBorder="1" applyAlignment="1">
      <alignment horizontal="center"/>
    </xf>
    <xf numFmtId="0" fontId="7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top" wrapText="1"/>
    </xf>
    <xf numFmtId="0" fontId="6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0" fontId="6" fillId="0" borderId="6" xfId="0" applyFont="1" applyBorder="1" applyAlignment="1">
      <alignment horizontal="center"/>
    </xf>
    <xf numFmtId="0" fontId="3" fillId="0" borderId="7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14" fillId="0" borderId="1" xfId="0" applyFont="1" applyBorder="1" applyAlignment="1">
      <alignment vertical="center"/>
    </xf>
    <xf numFmtId="1" fontId="14" fillId="0" borderId="1" xfId="0" applyNumberFormat="1" applyFont="1" applyBorder="1" applyAlignment="1">
      <alignment vertical="center"/>
    </xf>
    <xf numFmtId="4" fontId="14" fillId="0" borderId="1" xfId="0" applyNumberFormat="1" applyFont="1" applyBorder="1" applyAlignment="1">
      <alignment vertical="center"/>
    </xf>
    <xf numFmtId="164" fontId="14" fillId="0" borderId="1" xfId="0" applyNumberFormat="1" applyFont="1" applyBorder="1" applyAlignment="1">
      <alignment vertical="center"/>
    </xf>
    <xf numFmtId="0" fontId="15" fillId="0" borderId="1" xfId="0" applyFont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Relationship Id="rId22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/>
  </sheetPr>
  <dimension ref="G1:AD80"/>
  <sheetViews>
    <sheetView workbookViewId="0"/>
  </sheetViews>
  <sheetFormatPr baseColWidth="10" defaultRowHeight="15" x14ac:dyDescent="0.25"/>
  <sheetData>
    <row r="1" spans="7:30" x14ac:dyDescent="0.25">
      <c r="G1" t="s">
        <v>378</v>
      </c>
      <c r="J1" t="s">
        <v>63</v>
      </c>
      <c r="K1" t="s">
        <v>96</v>
      </c>
      <c r="Y1" t="s">
        <v>379</v>
      </c>
      <c r="AA1" t="s">
        <v>380</v>
      </c>
      <c r="AC1" t="s">
        <v>381</v>
      </c>
      <c r="AD1" t="s">
        <v>381</v>
      </c>
    </row>
    <row r="2" spans="7:30" x14ac:dyDescent="0.25">
      <c r="G2" t="s">
        <v>382</v>
      </c>
      <c r="J2" t="s">
        <v>95</v>
      </c>
      <c r="K2" t="s">
        <v>83</v>
      </c>
      <c r="Y2" t="s">
        <v>383</v>
      </c>
      <c r="AA2" t="s">
        <v>384</v>
      </c>
      <c r="AC2" t="s">
        <v>385</v>
      </c>
      <c r="AD2" t="s">
        <v>385</v>
      </c>
    </row>
    <row r="3" spans="7:30" x14ac:dyDescent="0.25">
      <c r="G3" t="s">
        <v>386</v>
      </c>
      <c r="J3" t="s">
        <v>82</v>
      </c>
      <c r="K3" t="s">
        <v>64</v>
      </c>
      <c r="Y3" t="s">
        <v>387</v>
      </c>
      <c r="AA3" t="s">
        <v>388</v>
      </c>
      <c r="AC3" t="s">
        <v>113</v>
      </c>
      <c r="AD3" t="s">
        <v>113</v>
      </c>
    </row>
    <row r="4" spans="7:30" x14ac:dyDescent="0.25">
      <c r="G4" t="s">
        <v>389</v>
      </c>
      <c r="J4" t="s">
        <v>390</v>
      </c>
      <c r="K4" t="s">
        <v>122</v>
      </c>
      <c r="Y4" t="s">
        <v>391</v>
      </c>
      <c r="AA4" t="s">
        <v>392</v>
      </c>
      <c r="AC4" t="s">
        <v>393</v>
      </c>
      <c r="AD4" t="s">
        <v>393</v>
      </c>
    </row>
    <row r="5" spans="7:30" x14ac:dyDescent="0.25">
      <c r="G5" t="s">
        <v>394</v>
      </c>
      <c r="J5" t="s">
        <v>395</v>
      </c>
      <c r="K5" t="s">
        <v>377</v>
      </c>
      <c r="Y5" t="s">
        <v>396</v>
      </c>
      <c r="AA5" t="s">
        <v>397</v>
      </c>
      <c r="AC5" t="s">
        <v>398</v>
      </c>
      <c r="AD5" t="s">
        <v>398</v>
      </c>
    </row>
    <row r="6" spans="7:30" x14ac:dyDescent="0.25">
      <c r="G6" t="s">
        <v>61</v>
      </c>
      <c r="J6" t="s">
        <v>131</v>
      </c>
      <c r="K6" t="s">
        <v>399</v>
      </c>
      <c r="Y6" t="s">
        <v>400</v>
      </c>
      <c r="AC6" t="s">
        <v>401</v>
      </c>
      <c r="AD6" t="s">
        <v>401</v>
      </c>
    </row>
    <row r="7" spans="7:30" x14ac:dyDescent="0.25">
      <c r="G7" t="s">
        <v>375</v>
      </c>
      <c r="J7" t="s">
        <v>96</v>
      </c>
      <c r="Y7" t="s">
        <v>402</v>
      </c>
      <c r="AC7" t="s">
        <v>403</v>
      </c>
      <c r="AD7" t="s">
        <v>403</v>
      </c>
    </row>
    <row r="8" spans="7:30" x14ac:dyDescent="0.25">
      <c r="G8" t="s">
        <v>125</v>
      </c>
      <c r="Y8" t="s">
        <v>404</v>
      </c>
      <c r="AC8" t="s">
        <v>405</v>
      </c>
      <c r="AD8" t="s">
        <v>405</v>
      </c>
    </row>
    <row r="9" spans="7:30" x14ac:dyDescent="0.25">
      <c r="G9" t="s">
        <v>406</v>
      </c>
      <c r="Y9" t="s">
        <v>407</v>
      </c>
      <c r="AC9" t="s">
        <v>408</v>
      </c>
      <c r="AD9" t="s">
        <v>408</v>
      </c>
    </row>
    <row r="10" spans="7:30" x14ac:dyDescent="0.25">
      <c r="G10" t="s">
        <v>409</v>
      </c>
      <c r="Y10" t="s">
        <v>410</v>
      </c>
      <c r="AC10" t="s">
        <v>411</v>
      </c>
      <c r="AD10" t="s">
        <v>411</v>
      </c>
    </row>
    <row r="11" spans="7:30" x14ac:dyDescent="0.25">
      <c r="G11" t="s">
        <v>412</v>
      </c>
      <c r="Y11" t="s">
        <v>413</v>
      </c>
      <c r="AC11" t="s">
        <v>414</v>
      </c>
      <c r="AD11" t="s">
        <v>414</v>
      </c>
    </row>
    <row r="12" spans="7:30" x14ac:dyDescent="0.25">
      <c r="G12" t="s">
        <v>415</v>
      </c>
      <c r="Y12" t="s">
        <v>416</v>
      </c>
      <c r="AC12" t="s">
        <v>417</v>
      </c>
      <c r="AD12" t="s">
        <v>417</v>
      </c>
    </row>
    <row r="13" spans="7:30" x14ac:dyDescent="0.25">
      <c r="G13" t="s">
        <v>418</v>
      </c>
      <c r="Y13" t="s">
        <v>419</v>
      </c>
    </row>
    <row r="14" spans="7:30" x14ac:dyDescent="0.25">
      <c r="G14" t="s">
        <v>420</v>
      </c>
      <c r="Y14" t="s">
        <v>421</v>
      </c>
    </row>
    <row r="15" spans="7:30" x14ac:dyDescent="0.25">
      <c r="G15" t="s">
        <v>422</v>
      </c>
      <c r="Y15" t="s">
        <v>423</v>
      </c>
    </row>
    <row r="16" spans="7:30" x14ac:dyDescent="0.25">
      <c r="Y16" t="s">
        <v>424</v>
      </c>
    </row>
    <row r="17" spans="25:25" x14ac:dyDescent="0.25">
      <c r="Y17" t="s">
        <v>425</v>
      </c>
    </row>
    <row r="18" spans="25:25" x14ac:dyDescent="0.25">
      <c r="Y18" t="s">
        <v>426</v>
      </c>
    </row>
    <row r="19" spans="25:25" x14ac:dyDescent="0.25">
      <c r="Y19" t="s">
        <v>427</v>
      </c>
    </row>
    <row r="20" spans="25:25" x14ac:dyDescent="0.25">
      <c r="Y20" t="s">
        <v>428</v>
      </c>
    </row>
    <row r="21" spans="25:25" x14ac:dyDescent="0.25">
      <c r="Y21" t="s">
        <v>429</v>
      </c>
    </row>
    <row r="22" spans="25:25" x14ac:dyDescent="0.25">
      <c r="Y22" t="s">
        <v>430</v>
      </c>
    </row>
    <row r="23" spans="25:25" x14ac:dyDescent="0.25">
      <c r="Y23" t="s">
        <v>431</v>
      </c>
    </row>
    <row r="24" spans="25:25" x14ac:dyDescent="0.25">
      <c r="Y24" t="s">
        <v>432</v>
      </c>
    </row>
    <row r="25" spans="25:25" x14ac:dyDescent="0.25">
      <c r="Y25" t="s">
        <v>119</v>
      </c>
    </row>
    <row r="26" spans="25:25" x14ac:dyDescent="0.25">
      <c r="Y26" t="s">
        <v>433</v>
      </c>
    </row>
    <row r="27" spans="25:25" x14ac:dyDescent="0.25">
      <c r="Y27" t="s">
        <v>434</v>
      </c>
    </row>
    <row r="28" spans="25:25" x14ac:dyDescent="0.25">
      <c r="Y28" t="s">
        <v>435</v>
      </c>
    </row>
    <row r="29" spans="25:25" x14ac:dyDescent="0.25">
      <c r="Y29" t="s">
        <v>436</v>
      </c>
    </row>
    <row r="30" spans="25:25" x14ac:dyDescent="0.25">
      <c r="Y30" t="s">
        <v>437</v>
      </c>
    </row>
    <row r="31" spans="25:25" x14ac:dyDescent="0.25">
      <c r="Y31" t="s">
        <v>438</v>
      </c>
    </row>
    <row r="32" spans="25:25" x14ac:dyDescent="0.25">
      <c r="Y32" t="s">
        <v>439</v>
      </c>
    </row>
    <row r="33" spans="25:25" x14ac:dyDescent="0.25">
      <c r="Y33" t="s">
        <v>440</v>
      </c>
    </row>
    <row r="34" spans="25:25" x14ac:dyDescent="0.25">
      <c r="Y34" t="s">
        <v>441</v>
      </c>
    </row>
    <row r="35" spans="25:25" x14ac:dyDescent="0.25">
      <c r="Y35" t="s">
        <v>442</v>
      </c>
    </row>
    <row r="36" spans="25:25" x14ac:dyDescent="0.25">
      <c r="Y36" t="s">
        <v>443</v>
      </c>
    </row>
    <row r="37" spans="25:25" x14ac:dyDescent="0.25">
      <c r="Y37" t="s">
        <v>374</v>
      </c>
    </row>
    <row r="38" spans="25:25" x14ac:dyDescent="0.25">
      <c r="Y38" t="s">
        <v>126</v>
      </c>
    </row>
    <row r="39" spans="25:25" x14ac:dyDescent="0.25">
      <c r="Y39" t="s">
        <v>444</v>
      </c>
    </row>
    <row r="40" spans="25:25" x14ac:dyDescent="0.25">
      <c r="Y40" t="s">
        <v>85</v>
      </c>
    </row>
    <row r="41" spans="25:25" x14ac:dyDescent="0.25">
      <c r="Y41" t="s">
        <v>373</v>
      </c>
    </row>
    <row r="42" spans="25:25" x14ac:dyDescent="0.25">
      <c r="Y42" t="s">
        <v>112</v>
      </c>
    </row>
    <row r="43" spans="25:25" x14ac:dyDescent="0.25">
      <c r="Y43" t="s">
        <v>445</v>
      </c>
    </row>
    <row r="44" spans="25:25" x14ac:dyDescent="0.25">
      <c r="Y44" t="s">
        <v>446</v>
      </c>
    </row>
    <row r="45" spans="25:25" x14ac:dyDescent="0.25">
      <c r="Y45" t="s">
        <v>447</v>
      </c>
    </row>
    <row r="46" spans="25:25" x14ac:dyDescent="0.25">
      <c r="Y46" t="s">
        <v>448</v>
      </c>
    </row>
    <row r="47" spans="25:25" x14ac:dyDescent="0.25">
      <c r="Y47" t="s">
        <v>449</v>
      </c>
    </row>
    <row r="48" spans="25:25" x14ac:dyDescent="0.25">
      <c r="Y48" t="s">
        <v>450</v>
      </c>
    </row>
    <row r="49" spans="25:25" x14ac:dyDescent="0.25">
      <c r="Y49" t="s">
        <v>451</v>
      </c>
    </row>
    <row r="50" spans="25:25" x14ac:dyDescent="0.25">
      <c r="Y50" t="s">
        <v>452</v>
      </c>
    </row>
    <row r="51" spans="25:25" x14ac:dyDescent="0.25">
      <c r="Y51" t="s">
        <v>453</v>
      </c>
    </row>
    <row r="52" spans="25:25" x14ac:dyDescent="0.25">
      <c r="Y52" t="s">
        <v>454</v>
      </c>
    </row>
    <row r="53" spans="25:25" x14ac:dyDescent="0.25">
      <c r="Y53" t="s">
        <v>455</v>
      </c>
    </row>
    <row r="54" spans="25:25" x14ac:dyDescent="0.25">
      <c r="Y54" t="s">
        <v>456</v>
      </c>
    </row>
    <row r="55" spans="25:25" x14ac:dyDescent="0.25">
      <c r="Y55" t="s">
        <v>457</v>
      </c>
    </row>
    <row r="56" spans="25:25" x14ac:dyDescent="0.25">
      <c r="Y56" t="s">
        <v>458</v>
      </c>
    </row>
    <row r="57" spans="25:25" x14ac:dyDescent="0.25">
      <c r="Y57" t="s">
        <v>459</v>
      </c>
    </row>
    <row r="58" spans="25:25" x14ac:dyDescent="0.25">
      <c r="Y58" t="s">
        <v>460</v>
      </c>
    </row>
    <row r="59" spans="25:25" x14ac:dyDescent="0.25">
      <c r="Y59" t="s">
        <v>461</v>
      </c>
    </row>
    <row r="60" spans="25:25" x14ac:dyDescent="0.25">
      <c r="Y60" t="s">
        <v>462</v>
      </c>
    </row>
    <row r="61" spans="25:25" x14ac:dyDescent="0.25">
      <c r="Y61" t="s">
        <v>463</v>
      </c>
    </row>
    <row r="62" spans="25:25" x14ac:dyDescent="0.25">
      <c r="Y62" t="s">
        <v>464</v>
      </c>
    </row>
    <row r="63" spans="25:25" x14ac:dyDescent="0.25">
      <c r="Y63" t="s">
        <v>465</v>
      </c>
    </row>
    <row r="64" spans="25:25" x14ac:dyDescent="0.25">
      <c r="Y64" t="s">
        <v>466</v>
      </c>
    </row>
    <row r="65" spans="25:25" x14ac:dyDescent="0.25">
      <c r="Y65" t="s">
        <v>467</v>
      </c>
    </row>
    <row r="66" spans="25:25" x14ac:dyDescent="0.25">
      <c r="Y66" t="s">
        <v>468</v>
      </c>
    </row>
    <row r="67" spans="25:25" x14ac:dyDescent="0.25">
      <c r="Y67" t="s">
        <v>376</v>
      </c>
    </row>
    <row r="68" spans="25:25" x14ac:dyDescent="0.25">
      <c r="Y68" t="s">
        <v>97</v>
      </c>
    </row>
    <row r="69" spans="25:25" x14ac:dyDescent="0.25">
      <c r="Y69" t="s">
        <v>469</v>
      </c>
    </row>
    <row r="70" spans="25:25" x14ac:dyDescent="0.25">
      <c r="Y70" t="s">
        <v>470</v>
      </c>
    </row>
    <row r="71" spans="25:25" x14ac:dyDescent="0.25">
      <c r="Y71" t="s">
        <v>471</v>
      </c>
    </row>
    <row r="72" spans="25:25" x14ac:dyDescent="0.25">
      <c r="Y72" t="s">
        <v>472</v>
      </c>
    </row>
    <row r="73" spans="25:25" x14ac:dyDescent="0.25">
      <c r="Y73" t="s">
        <v>109</v>
      </c>
    </row>
    <row r="74" spans="25:25" x14ac:dyDescent="0.25">
      <c r="Y74" t="s">
        <v>473</v>
      </c>
    </row>
    <row r="75" spans="25:25" x14ac:dyDescent="0.25">
      <c r="Y75" t="s">
        <v>474</v>
      </c>
    </row>
    <row r="76" spans="25:25" x14ac:dyDescent="0.25">
      <c r="Y76" t="s">
        <v>475</v>
      </c>
    </row>
    <row r="77" spans="25:25" x14ac:dyDescent="0.25">
      <c r="Y77" t="s">
        <v>72</v>
      </c>
    </row>
    <row r="78" spans="25:25" x14ac:dyDescent="0.25">
      <c r="Y78" t="s">
        <v>107</v>
      </c>
    </row>
    <row r="79" spans="25:25" x14ac:dyDescent="0.25">
      <c r="Y79" t="s">
        <v>476</v>
      </c>
    </row>
    <row r="80" spans="25:25" x14ac:dyDescent="0.25">
      <c r="Y80" t="s">
        <v>477</v>
      </c>
    </row>
  </sheetData>
  <pageMargins left="0.7" right="0.7" top="0.78740157499999996" bottom="0.78740157499999996" header="0.3" footer="0.3"/>
  <ignoredErrors>
    <ignoredError sqref="G1:AD8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1153-74A5-43E3-8C7B-98AA021D2607}">
  <sheetPr codeName="Tabelle8">
    <outlinePr summaryBelow="0" summaryRight="0"/>
  </sheetPr>
  <dimension ref="A1:BM101"/>
  <sheetViews>
    <sheetView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" sqref="A2"/>
    </sheetView>
  </sheetViews>
  <sheetFormatPr baseColWidth="10" defaultRowHeight="15" outlineLevelRow="1" x14ac:dyDescent="0.25"/>
  <cols>
    <col min="1" max="1" width="47.140625" style="1" customWidth="1"/>
    <col min="2" max="2" width="49.5703125" style="1" customWidth="1"/>
    <col min="3" max="3" width="16.5703125" style="2" customWidth="1"/>
    <col min="4" max="4" width="10.7109375" style="3" customWidth="1"/>
    <col min="5" max="5" width="12" style="4" customWidth="1"/>
    <col min="6" max="6" width="11.140625" style="1" customWidth="1"/>
    <col min="7" max="7" width="10.7109375" style="2" customWidth="1"/>
    <col min="8" max="9" width="10.7109375" style="1" customWidth="1"/>
    <col min="10" max="10" width="14.5703125" style="2" customWidth="1"/>
    <col min="11" max="11" width="14.7109375" style="2" customWidth="1"/>
    <col min="12" max="12" width="15.28515625" style="1" customWidth="1"/>
    <col min="13" max="14" width="10.7109375" style="1" customWidth="1"/>
    <col min="15" max="15" width="8.140625" style="1" customWidth="1"/>
    <col min="16" max="16" width="18" style="5" customWidth="1"/>
    <col min="17" max="17" width="13" style="6" customWidth="1"/>
    <col min="18" max="18" width="15.5703125" style="5" customWidth="1"/>
    <col min="19" max="19" width="29.42578125" style="1" customWidth="1"/>
    <col min="20" max="20" width="32.140625" style="1" customWidth="1"/>
    <col min="21" max="24" width="10.7109375" style="1" customWidth="1"/>
    <col min="25" max="25" width="17.5703125" style="2" customWidth="1"/>
    <col min="26" max="26" width="19.28515625" style="1" customWidth="1"/>
    <col min="27" max="27" width="18.85546875" style="2" customWidth="1"/>
    <col min="28" max="28" width="10.7109375" style="1" customWidth="1"/>
    <col min="29" max="29" width="14" style="2" customWidth="1"/>
    <col min="30" max="30" width="16.140625" style="2" customWidth="1"/>
    <col min="31" max="31" width="10.7109375" style="2" customWidth="1"/>
    <col min="32" max="32" width="15.42578125" style="5" customWidth="1"/>
    <col min="33" max="33" width="16.85546875" style="5" customWidth="1"/>
    <col min="34" max="34" width="10.7109375" style="1" customWidth="1"/>
    <col min="35" max="35" width="14" style="3" customWidth="1"/>
    <col min="36" max="36" width="69.85546875" style="1" customWidth="1"/>
    <col min="37" max="37" width="25.7109375" style="1" customWidth="1"/>
    <col min="38" max="38" width="20.42578125" style="1" customWidth="1"/>
    <col min="39" max="40" width="10.7109375" style="1" customWidth="1"/>
    <col min="41" max="41" width="85.85546875" style="1" customWidth="1"/>
    <col min="42" max="42" width="89.28515625" style="1" customWidth="1"/>
    <col min="43" max="43" width="29.85546875" style="1" customWidth="1"/>
    <col min="44" max="44" width="26.7109375" style="1" customWidth="1"/>
    <col min="45" max="45" width="119.5703125" style="1" customWidth="1"/>
    <col min="46" max="46" width="64.5703125" style="1" customWidth="1"/>
    <col min="47" max="47" width="207.85546875" style="1" customWidth="1"/>
    <col min="48" max="48" width="62.42578125" style="1" customWidth="1"/>
    <col min="49" max="49" width="58.85546875" style="1" customWidth="1"/>
    <col min="50" max="50" width="10.7109375" style="1" customWidth="1"/>
    <col min="51" max="51" width="10.7109375" style="2" customWidth="1"/>
    <col min="52" max="52" width="84.42578125" style="1" customWidth="1"/>
    <col min="53" max="53" width="25.140625" style="3" customWidth="1"/>
    <col min="54" max="54" width="12" style="3" customWidth="1"/>
    <col min="55" max="55" width="12.5703125" style="3" customWidth="1"/>
    <col min="56" max="57" width="10.7109375" style="3" customWidth="1"/>
    <col min="58" max="58" width="17.42578125" style="1" customWidth="1"/>
    <col min="59" max="59" width="20.140625" style="1" customWidth="1"/>
    <col min="60" max="60" width="23.5703125" style="1" customWidth="1"/>
    <col min="61" max="61" width="24.5703125" style="1" customWidth="1"/>
    <col min="62" max="62" width="19.7109375" style="1" customWidth="1"/>
    <col min="63" max="63" width="19.85546875" style="1" customWidth="1"/>
    <col min="64" max="64" width="20.5703125" style="1" customWidth="1"/>
    <col min="65" max="65" width="30.7109375" style="1" customWidth="1"/>
  </cols>
  <sheetData>
    <row r="1" spans="1:6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610</v>
      </c>
      <c r="BG1" s="1" t="s">
        <v>611</v>
      </c>
      <c r="BH1" s="1" t="s">
        <v>612</v>
      </c>
      <c r="BI1" s="1" t="s">
        <v>613</v>
      </c>
      <c r="BJ1" s="1" t="s">
        <v>614</v>
      </c>
      <c r="BK1" s="1" t="s">
        <v>57</v>
      </c>
      <c r="BL1" s="1" t="s">
        <v>58</v>
      </c>
      <c r="BM1" s="1" t="s">
        <v>59</v>
      </c>
    </row>
    <row r="2" spans="1:65" x14ac:dyDescent="0.25">
      <c r="A2" s="142" t="s">
        <v>622</v>
      </c>
      <c r="C2" s="143" t="str">
        <f>CONCATENATE("Max=",TEXT(SUBTOTAL(4,C3), "0"),"")</f>
        <v>Max=0</v>
      </c>
      <c r="D2" s="144" t="str">
        <f>CONCATENATE("∑=",IF(SUBTOTAL(9,D3)=TRUNC(SUBTOTAL(9,D3)),TEXT(SUBTOTAL(9,D3), "0"),TEXT(SUBTOTAL(9,D3), "#,##")),"")</f>
        <v>∑=6881,98</v>
      </c>
      <c r="E2" s="145" t="str">
        <f>CONCATENATE("∑=",IF(SUBTOTAL(9,E3)=TRUNC(SUBTOTAL(9,E3)),TEXT(SUBTOTAL(9,E3), "0"),TEXT(SUBTOTAL(9,E3), "#,##")),"")</f>
        <v>∑=39,4</v>
      </c>
    </row>
    <row r="3" spans="1:65" outlineLevel="1" x14ac:dyDescent="0.25">
      <c r="A3" s="1" t="s">
        <v>623</v>
      </c>
      <c r="B3" s="1" t="s">
        <v>624</v>
      </c>
      <c r="C3" s="2">
        <v>0</v>
      </c>
      <c r="D3" s="3">
        <v>6881.98</v>
      </c>
      <c r="E3" s="4">
        <v>39.396000000000001</v>
      </c>
      <c r="F3" s="1" t="s">
        <v>625</v>
      </c>
      <c r="G3" s="2" t="s">
        <v>420</v>
      </c>
      <c r="H3" s="1" t="s">
        <v>626</v>
      </c>
      <c r="I3" s="1" t="s">
        <v>81</v>
      </c>
      <c r="J3" s="2" t="s">
        <v>390</v>
      </c>
      <c r="K3" s="2" t="s">
        <v>83</v>
      </c>
      <c r="L3" s="1" t="s">
        <v>627</v>
      </c>
      <c r="M3" s="1" t="s">
        <v>628</v>
      </c>
      <c r="N3" s="1" t="s">
        <v>629</v>
      </c>
      <c r="O3" s="146" t="s">
        <v>84</v>
      </c>
      <c r="P3" s="5">
        <v>45769.333333333328</v>
      </c>
      <c r="Q3" s="6">
        <v>45769</v>
      </c>
      <c r="R3" s="5">
        <v>45769.333368055552</v>
      </c>
      <c r="S3" s="1" t="s">
        <v>66</v>
      </c>
      <c r="T3" s="1" t="s">
        <v>67</v>
      </c>
      <c r="U3" s="1" t="s">
        <v>68</v>
      </c>
      <c r="V3" s="1" t="s">
        <v>69</v>
      </c>
      <c r="W3" s="1" t="s">
        <v>70</v>
      </c>
      <c r="X3" s="1" t="s">
        <v>71</v>
      </c>
      <c r="Y3" s="2" t="s">
        <v>73</v>
      </c>
      <c r="Z3" s="1" t="s">
        <v>73</v>
      </c>
      <c r="AA3" s="2" t="s">
        <v>380</v>
      </c>
      <c r="AB3" s="1" t="s">
        <v>630</v>
      </c>
      <c r="AC3" s="2" t="s">
        <v>417</v>
      </c>
      <c r="AD3" s="2" t="s">
        <v>398</v>
      </c>
      <c r="AE3" s="2" t="s">
        <v>73</v>
      </c>
      <c r="AF3" s="5">
        <v>45769.333333333328</v>
      </c>
      <c r="AG3" s="5">
        <v>45769.333333333328</v>
      </c>
      <c r="AH3" s="146" t="s">
        <v>65</v>
      </c>
      <c r="AI3" s="3">
        <v>235</v>
      </c>
      <c r="AJ3" s="1" t="s">
        <v>631</v>
      </c>
      <c r="AK3" s="1" t="s">
        <v>615</v>
      </c>
      <c r="AL3" s="1" t="s">
        <v>616</v>
      </c>
      <c r="AM3" s="1" t="s">
        <v>617</v>
      </c>
      <c r="AN3" s="1" t="s">
        <v>71</v>
      </c>
      <c r="AO3" s="1" t="s">
        <v>632</v>
      </c>
      <c r="AP3" s="1" t="s">
        <v>73</v>
      </c>
      <c r="AQ3" s="1" t="s">
        <v>195</v>
      </c>
      <c r="AR3" s="1" t="s">
        <v>633</v>
      </c>
      <c r="AS3" s="1" t="s">
        <v>634</v>
      </c>
      <c r="AT3" s="1" t="s">
        <v>635</v>
      </c>
      <c r="AU3" s="1" t="s">
        <v>636</v>
      </c>
      <c r="AV3" s="1" t="s">
        <v>637</v>
      </c>
      <c r="AW3" s="1" t="s">
        <v>638</v>
      </c>
      <c r="AX3" s="146" t="s">
        <v>65</v>
      </c>
      <c r="AY3" s="2">
        <v>4</v>
      </c>
      <c r="AZ3" s="1" t="s">
        <v>618</v>
      </c>
      <c r="BA3" s="3">
        <v>532.33000000000004</v>
      </c>
      <c r="BB3" s="3">
        <v>20.75833325</v>
      </c>
      <c r="BC3" s="3">
        <v>60.25</v>
      </c>
      <c r="BD3" s="3">
        <v>22.783332999999999</v>
      </c>
      <c r="BE3" s="3">
        <v>83.033333333333303</v>
      </c>
      <c r="BF3" s="1" t="s">
        <v>73</v>
      </c>
      <c r="BG3" s="1" t="s">
        <v>73</v>
      </c>
      <c r="BH3" s="1" t="s">
        <v>73</v>
      </c>
      <c r="BI3" s="1" t="s">
        <v>73</v>
      </c>
      <c r="BJ3" s="1" t="s">
        <v>73</v>
      </c>
      <c r="BK3" s="1" t="s">
        <v>619</v>
      </c>
      <c r="BL3" s="1" t="s">
        <v>620</v>
      </c>
      <c r="BM3" s="1" t="s">
        <v>621</v>
      </c>
    </row>
    <row r="4" spans="1:65" x14ac:dyDescent="0.25">
      <c r="A4" s="142" t="s">
        <v>639</v>
      </c>
      <c r="B4" s="142"/>
      <c r="C4" s="143" t="str">
        <f>CONCATENATE("Max=",TEXT(SUBTOTAL(4,C5), "0"),"")</f>
        <v>Max=0</v>
      </c>
      <c r="D4" s="144" t="str">
        <f>CONCATENATE("∑=",IF(SUBTOTAL(9,D5)=TRUNC(SUBTOTAL(9,D5)),TEXT(SUBTOTAL(9,D5), "0"),TEXT(SUBTOTAL(9,D5), "#,##")),"")</f>
        <v>∑=4671,71</v>
      </c>
      <c r="E4" s="145" t="str">
        <f>CONCATENATE("∑=",IF(SUBTOTAL(9,E5)=TRUNC(SUBTOTAL(9,E5)),TEXT(SUBTOTAL(9,E5), "0"),TEXT(SUBTOTAL(9,E5), "#,##")),"")</f>
        <v>∑=31,19</v>
      </c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AQ4" s="142"/>
      <c r="AR4" s="142"/>
      <c r="AS4" s="142"/>
      <c r="AT4" s="142"/>
      <c r="AU4" s="142"/>
      <c r="AV4" s="142"/>
      <c r="AW4" s="142"/>
      <c r="AX4" s="142"/>
      <c r="AY4" s="142"/>
      <c r="AZ4" s="142"/>
      <c r="BA4" s="142"/>
      <c r="BB4" s="142"/>
      <c r="BC4" s="142"/>
      <c r="BD4" s="142"/>
      <c r="BE4" s="142"/>
      <c r="BF4" s="142"/>
      <c r="BG4" s="142"/>
      <c r="BH4" s="142"/>
      <c r="BI4" s="142"/>
      <c r="BJ4" s="142"/>
      <c r="BK4" s="142"/>
      <c r="BL4" s="142"/>
      <c r="BM4" s="142"/>
    </row>
    <row r="5" spans="1:65" outlineLevel="1" x14ac:dyDescent="0.25">
      <c r="A5" s="1" t="s">
        <v>640</v>
      </c>
      <c r="B5" s="1" t="s">
        <v>641</v>
      </c>
      <c r="C5" s="2">
        <v>0</v>
      </c>
      <c r="D5" s="3">
        <v>4671.71</v>
      </c>
      <c r="E5" s="4">
        <v>31.190999999999999</v>
      </c>
      <c r="F5" s="1" t="s">
        <v>625</v>
      </c>
      <c r="G5" s="2" t="s">
        <v>420</v>
      </c>
      <c r="H5" s="1" t="s">
        <v>642</v>
      </c>
      <c r="I5" s="1" t="s">
        <v>81</v>
      </c>
      <c r="J5" s="2" t="s">
        <v>82</v>
      </c>
      <c r="K5" s="2" t="s">
        <v>83</v>
      </c>
      <c r="L5" s="1" t="s">
        <v>643</v>
      </c>
      <c r="M5" s="1" t="s">
        <v>644</v>
      </c>
      <c r="N5" s="1" t="s">
        <v>645</v>
      </c>
      <c r="O5" s="146" t="s">
        <v>65</v>
      </c>
      <c r="P5" s="5">
        <v>45762.333333333328</v>
      </c>
      <c r="Q5" s="6">
        <v>45764</v>
      </c>
      <c r="R5" s="5">
        <v>45764.333368055552</v>
      </c>
      <c r="S5" s="1" t="s">
        <v>66</v>
      </c>
      <c r="T5" s="1" t="s">
        <v>67</v>
      </c>
      <c r="U5" s="1" t="s">
        <v>68</v>
      </c>
      <c r="V5" s="1" t="s">
        <v>69</v>
      </c>
      <c r="W5" s="1" t="s">
        <v>70</v>
      </c>
      <c r="X5" s="1" t="s">
        <v>71</v>
      </c>
      <c r="Y5" s="2" t="s">
        <v>73</v>
      </c>
      <c r="Z5" s="1" t="s">
        <v>73</v>
      </c>
      <c r="AA5" s="2" t="s">
        <v>380</v>
      </c>
      <c r="AB5" s="1" t="s">
        <v>646</v>
      </c>
      <c r="AC5" s="2" t="s">
        <v>417</v>
      </c>
      <c r="AD5" s="2" t="s">
        <v>398</v>
      </c>
      <c r="AE5" s="2" t="s">
        <v>73</v>
      </c>
      <c r="AF5" s="5">
        <v>45764.333333333328</v>
      </c>
      <c r="AG5" s="5">
        <v>45764.333333333328</v>
      </c>
      <c r="AH5" s="146" t="s">
        <v>84</v>
      </c>
      <c r="AI5" s="3">
        <v>98</v>
      </c>
      <c r="AJ5" s="1" t="s">
        <v>647</v>
      </c>
      <c r="AK5" s="1" t="s">
        <v>648</v>
      </c>
      <c r="AL5" s="1" t="s">
        <v>616</v>
      </c>
      <c r="AM5" s="1" t="s">
        <v>617</v>
      </c>
      <c r="AN5" s="1" t="s">
        <v>71</v>
      </c>
      <c r="AO5" s="1" t="s">
        <v>649</v>
      </c>
      <c r="AP5" s="1" t="s">
        <v>650</v>
      </c>
      <c r="AQ5" s="1" t="s">
        <v>651</v>
      </c>
      <c r="AR5" s="1" t="s">
        <v>652</v>
      </c>
      <c r="AS5" s="1" t="s">
        <v>653</v>
      </c>
      <c r="AT5" s="1" t="s">
        <v>654</v>
      </c>
      <c r="AU5" s="1" t="s">
        <v>655</v>
      </c>
      <c r="AV5" s="1" t="s">
        <v>656</v>
      </c>
      <c r="AW5" s="1" t="s">
        <v>657</v>
      </c>
      <c r="AX5" s="146" t="s">
        <v>65</v>
      </c>
      <c r="AY5" s="2">
        <v>4</v>
      </c>
      <c r="AZ5" s="1" t="s">
        <v>618</v>
      </c>
      <c r="BA5" s="3">
        <v>532.16999999999996</v>
      </c>
      <c r="BB5" s="3">
        <v>4.7666667499999997</v>
      </c>
      <c r="BC5" s="3">
        <v>9.6999999999999993</v>
      </c>
      <c r="BD5" s="3">
        <v>9.3666669999999996</v>
      </c>
      <c r="BE5" s="3">
        <v>19.066666666666698</v>
      </c>
      <c r="BF5" s="1" t="s">
        <v>73</v>
      </c>
      <c r="BG5" s="1" t="s">
        <v>73</v>
      </c>
      <c r="BH5" s="1" t="s">
        <v>73</v>
      </c>
      <c r="BI5" s="1" t="s">
        <v>73</v>
      </c>
      <c r="BJ5" s="1" t="s">
        <v>73</v>
      </c>
      <c r="BK5" s="1" t="s">
        <v>658</v>
      </c>
      <c r="BL5" s="1" t="s">
        <v>659</v>
      </c>
      <c r="BM5" s="1" t="s">
        <v>660</v>
      </c>
    </row>
    <row r="6" spans="1:65" x14ac:dyDescent="0.25">
      <c r="A6" s="142" t="s">
        <v>661</v>
      </c>
      <c r="B6" s="142"/>
      <c r="C6" s="143" t="str">
        <f>CONCATENATE("Max=",TEXT(SUBTOTAL(4,C7:C20), "0"),"")</f>
        <v>Max=14</v>
      </c>
      <c r="D6" s="144" t="str">
        <f>CONCATENATE("∑=",IF(SUBTOTAL(9,D7:D20)=TRUNC(SUBTOTAL(9,D7:D20)),TEXT(SUBTOTAL(9,D7:D20), "0"),TEXT(SUBTOTAL(9,D7:D20), "#,##")),"")</f>
        <v>∑=2527,69</v>
      </c>
      <c r="E6" s="145" t="str">
        <f>CONCATENATE("∑=",IF(SUBTOTAL(9,E7:E20)=TRUNC(SUBTOTAL(9,E7:E20)),TEXT(SUBTOTAL(9,E7:E20), "0"),TEXT(SUBTOTAL(9,E7:E20), "#,##")),"")</f>
        <v>∑=17,96</v>
      </c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2"/>
      <c r="AT6" s="142"/>
      <c r="AU6" s="142"/>
      <c r="AV6" s="142"/>
      <c r="AW6" s="142"/>
      <c r="AX6" s="142"/>
      <c r="AY6" s="142"/>
      <c r="AZ6" s="142"/>
      <c r="BA6" s="142"/>
      <c r="BB6" s="142"/>
      <c r="BC6" s="142"/>
      <c r="BD6" s="142"/>
      <c r="BE6" s="142"/>
      <c r="BF6" s="142"/>
      <c r="BG6" s="142"/>
      <c r="BH6" s="142"/>
      <c r="BI6" s="142"/>
      <c r="BJ6" s="142"/>
      <c r="BK6" s="142"/>
      <c r="BL6" s="142"/>
      <c r="BM6" s="142"/>
    </row>
    <row r="7" spans="1:65" outlineLevel="1" x14ac:dyDescent="0.25">
      <c r="A7" s="1" t="s">
        <v>662</v>
      </c>
      <c r="B7" s="1" t="s">
        <v>663</v>
      </c>
      <c r="C7" s="2">
        <v>1</v>
      </c>
      <c r="D7" s="3">
        <v>36.46</v>
      </c>
      <c r="E7" s="4">
        <v>6.8000000000000005E-2</v>
      </c>
      <c r="F7" s="1" t="s">
        <v>60</v>
      </c>
      <c r="G7" s="2" t="s">
        <v>420</v>
      </c>
      <c r="H7" s="1" t="s">
        <v>62</v>
      </c>
      <c r="I7" s="1" t="s">
        <v>81</v>
      </c>
      <c r="J7" s="2" t="s">
        <v>82</v>
      </c>
      <c r="K7" s="2" t="s">
        <v>399</v>
      </c>
      <c r="L7" s="1" t="s">
        <v>664</v>
      </c>
      <c r="M7" s="1" t="s">
        <v>665</v>
      </c>
      <c r="N7" s="1" t="s">
        <v>666</v>
      </c>
      <c r="O7" s="146" t="s">
        <v>65</v>
      </c>
      <c r="P7" s="5">
        <v>45754.333333333328</v>
      </c>
      <c r="Q7" s="6">
        <v>45756</v>
      </c>
      <c r="R7" s="5">
        <v>45756.333368055552</v>
      </c>
      <c r="S7" s="1" t="s">
        <v>667</v>
      </c>
      <c r="T7" s="1" t="s">
        <v>668</v>
      </c>
      <c r="U7" s="1" t="s">
        <v>617</v>
      </c>
      <c r="V7" s="1" t="s">
        <v>616</v>
      </c>
      <c r="W7" s="1" t="s">
        <v>70</v>
      </c>
      <c r="X7" s="1" t="s">
        <v>71</v>
      </c>
      <c r="Y7" s="2" t="s">
        <v>473</v>
      </c>
      <c r="Z7" s="1" t="s">
        <v>473</v>
      </c>
      <c r="AA7" s="2" t="s">
        <v>73</v>
      </c>
      <c r="AB7" s="1" t="s">
        <v>811</v>
      </c>
      <c r="AC7" s="2" t="s">
        <v>398</v>
      </c>
      <c r="AD7" s="2" t="s">
        <v>73</v>
      </c>
      <c r="AE7" s="2" t="s">
        <v>73</v>
      </c>
      <c r="AF7" s="5">
        <v>45756.333333333328</v>
      </c>
      <c r="AG7" s="5">
        <v>45756.333333333328</v>
      </c>
      <c r="AH7" s="146" t="s">
        <v>84</v>
      </c>
      <c r="AI7" s="3">
        <v>3</v>
      </c>
      <c r="AJ7" s="1" t="s">
        <v>670</v>
      </c>
      <c r="AK7" s="1" t="s">
        <v>671</v>
      </c>
      <c r="AL7" s="1" t="s">
        <v>616</v>
      </c>
      <c r="AM7" s="1" t="s">
        <v>617</v>
      </c>
      <c r="AN7" s="1" t="s">
        <v>71</v>
      </c>
      <c r="AO7" s="1" t="s">
        <v>672</v>
      </c>
      <c r="AP7" s="1" t="s">
        <v>673</v>
      </c>
      <c r="AQ7" s="1" t="s">
        <v>674</v>
      </c>
      <c r="AR7" s="1" t="s">
        <v>114</v>
      </c>
      <c r="AS7" s="1" t="s">
        <v>675</v>
      </c>
      <c r="AT7" s="1" t="s">
        <v>182</v>
      </c>
      <c r="AU7" s="1" t="s">
        <v>127</v>
      </c>
      <c r="AV7" s="1" t="s">
        <v>812</v>
      </c>
      <c r="AW7" s="1" t="s">
        <v>676</v>
      </c>
      <c r="AX7" s="146" t="s">
        <v>65</v>
      </c>
      <c r="AY7" s="2">
        <v>2</v>
      </c>
      <c r="AZ7" s="1" t="s">
        <v>813</v>
      </c>
      <c r="BA7" s="3">
        <v>3.32</v>
      </c>
      <c r="BB7" s="3">
        <v>0.59166649999999998</v>
      </c>
      <c r="BC7" s="3">
        <v>1</v>
      </c>
      <c r="BD7" s="3">
        <v>0.183333</v>
      </c>
      <c r="BE7" s="3">
        <v>1.18333333333333</v>
      </c>
      <c r="BF7" s="1" t="s">
        <v>73</v>
      </c>
      <c r="BG7" s="1" t="s">
        <v>73</v>
      </c>
      <c r="BH7" s="1" t="s">
        <v>73</v>
      </c>
      <c r="BI7" s="1" t="s">
        <v>73</v>
      </c>
      <c r="BJ7" s="1" t="s">
        <v>73</v>
      </c>
      <c r="BK7" s="1" t="s">
        <v>658</v>
      </c>
      <c r="BL7" s="1" t="s">
        <v>659</v>
      </c>
      <c r="BM7" s="1" t="s">
        <v>660</v>
      </c>
    </row>
    <row r="8" spans="1:65" outlineLevel="1" x14ac:dyDescent="0.25">
      <c r="A8" s="1" t="s">
        <v>662</v>
      </c>
      <c r="B8" s="1" t="s">
        <v>663</v>
      </c>
      <c r="C8" s="2">
        <v>2</v>
      </c>
      <c r="D8" s="3">
        <v>288</v>
      </c>
      <c r="E8" s="4">
        <v>3.87</v>
      </c>
      <c r="F8" s="1" t="s">
        <v>60</v>
      </c>
      <c r="G8" s="2" t="s">
        <v>420</v>
      </c>
      <c r="H8" s="1" t="s">
        <v>62</v>
      </c>
      <c r="I8" s="1" t="s">
        <v>81</v>
      </c>
      <c r="J8" s="2" t="s">
        <v>82</v>
      </c>
      <c r="K8" s="2" t="s">
        <v>399</v>
      </c>
      <c r="L8" s="1" t="s">
        <v>678</v>
      </c>
      <c r="M8" s="1" t="s">
        <v>679</v>
      </c>
      <c r="N8" s="1" t="s">
        <v>680</v>
      </c>
      <c r="O8" s="146" t="s">
        <v>65</v>
      </c>
      <c r="P8" s="5">
        <v>45754.333333333328</v>
      </c>
      <c r="Q8" s="6">
        <v>45756</v>
      </c>
      <c r="R8" s="5">
        <v>45756.364456018513</v>
      </c>
      <c r="S8" s="1" t="s">
        <v>667</v>
      </c>
      <c r="T8" s="1" t="s">
        <v>668</v>
      </c>
      <c r="U8" s="1" t="s">
        <v>617</v>
      </c>
      <c r="V8" s="1" t="s">
        <v>616</v>
      </c>
      <c r="W8" s="1" t="s">
        <v>70</v>
      </c>
      <c r="X8" s="1" t="s">
        <v>71</v>
      </c>
      <c r="Y8" s="2" t="s">
        <v>473</v>
      </c>
      <c r="Z8" s="1" t="s">
        <v>473</v>
      </c>
      <c r="AA8" s="2" t="s">
        <v>73</v>
      </c>
      <c r="AB8" s="1" t="s">
        <v>811</v>
      </c>
      <c r="AC8" s="2" t="s">
        <v>398</v>
      </c>
      <c r="AD8" s="2" t="s">
        <v>73</v>
      </c>
      <c r="AE8" s="2" t="s">
        <v>73</v>
      </c>
      <c r="AF8" s="5" t="s">
        <v>73</v>
      </c>
      <c r="AG8" s="5">
        <v>45756.333333333328</v>
      </c>
      <c r="AH8" s="146" t="s">
        <v>84</v>
      </c>
      <c r="AI8" s="3">
        <v>9</v>
      </c>
      <c r="AJ8" s="1" t="s">
        <v>681</v>
      </c>
      <c r="AK8" s="1" t="s">
        <v>682</v>
      </c>
      <c r="AL8" s="1" t="s">
        <v>616</v>
      </c>
      <c r="AM8" s="1" t="s">
        <v>617</v>
      </c>
      <c r="AN8" s="1" t="s">
        <v>71</v>
      </c>
      <c r="AO8" s="1" t="s">
        <v>683</v>
      </c>
      <c r="AP8" s="1" t="s">
        <v>684</v>
      </c>
      <c r="AQ8" s="1" t="s">
        <v>75</v>
      </c>
      <c r="AR8" s="1" t="s">
        <v>114</v>
      </c>
      <c r="AS8" s="1" t="s">
        <v>685</v>
      </c>
      <c r="AT8" s="1" t="s">
        <v>182</v>
      </c>
      <c r="AU8" s="1" t="s">
        <v>108</v>
      </c>
      <c r="AV8" s="1" t="s">
        <v>327</v>
      </c>
      <c r="AW8" s="1" t="s">
        <v>327</v>
      </c>
      <c r="AX8" s="146" t="s">
        <v>65</v>
      </c>
      <c r="AY8" s="2">
        <v>2</v>
      </c>
      <c r="AZ8" s="1" t="s">
        <v>813</v>
      </c>
      <c r="BA8" s="3">
        <v>5.7</v>
      </c>
      <c r="BB8" s="3">
        <v>0.26666649999999997</v>
      </c>
      <c r="BC8" s="3">
        <v>0</v>
      </c>
      <c r="BD8" s="3">
        <v>0.53333299999999995</v>
      </c>
      <c r="BE8" s="3">
        <v>0.53333333333333299</v>
      </c>
      <c r="BF8" s="1" t="s">
        <v>73</v>
      </c>
      <c r="BG8" s="1" t="s">
        <v>73</v>
      </c>
      <c r="BH8" s="1" t="s">
        <v>73</v>
      </c>
      <c r="BI8" s="1" t="s">
        <v>73</v>
      </c>
      <c r="BJ8" s="1" t="s">
        <v>73</v>
      </c>
      <c r="BK8" s="1" t="s">
        <v>658</v>
      </c>
      <c r="BL8" s="1" t="s">
        <v>659</v>
      </c>
      <c r="BM8" s="1" t="s">
        <v>660</v>
      </c>
    </row>
    <row r="9" spans="1:65" outlineLevel="1" x14ac:dyDescent="0.25">
      <c r="A9" s="1" t="s">
        <v>662</v>
      </c>
      <c r="B9" s="1" t="s">
        <v>663</v>
      </c>
      <c r="C9" s="2">
        <v>3</v>
      </c>
      <c r="D9" s="3">
        <v>32</v>
      </c>
      <c r="E9" s="4">
        <v>0.43</v>
      </c>
      <c r="F9" s="1" t="s">
        <v>60</v>
      </c>
      <c r="G9" s="2" t="s">
        <v>420</v>
      </c>
      <c r="H9" s="1" t="s">
        <v>62</v>
      </c>
      <c r="I9" s="1" t="s">
        <v>81</v>
      </c>
      <c r="J9" s="2" t="s">
        <v>82</v>
      </c>
      <c r="K9" s="2" t="s">
        <v>399</v>
      </c>
      <c r="L9" s="1" t="s">
        <v>686</v>
      </c>
      <c r="M9" s="1" t="s">
        <v>687</v>
      </c>
      <c r="N9" s="1" t="s">
        <v>688</v>
      </c>
      <c r="O9" s="146" t="s">
        <v>65</v>
      </c>
      <c r="P9" s="5">
        <v>45754.333333333328</v>
      </c>
      <c r="Q9" s="6">
        <v>45756</v>
      </c>
      <c r="R9" s="5">
        <v>45756.382071759261</v>
      </c>
      <c r="S9" s="1" t="s">
        <v>667</v>
      </c>
      <c r="T9" s="1" t="s">
        <v>668</v>
      </c>
      <c r="U9" s="1" t="s">
        <v>617</v>
      </c>
      <c r="V9" s="1" t="s">
        <v>616</v>
      </c>
      <c r="W9" s="1" t="s">
        <v>70</v>
      </c>
      <c r="X9" s="1" t="s">
        <v>71</v>
      </c>
      <c r="Y9" s="2" t="s">
        <v>473</v>
      </c>
      <c r="Z9" s="1" t="s">
        <v>473</v>
      </c>
      <c r="AA9" s="2" t="s">
        <v>73</v>
      </c>
      <c r="AB9" s="1" t="s">
        <v>811</v>
      </c>
      <c r="AC9" s="2" t="s">
        <v>398</v>
      </c>
      <c r="AD9" s="2" t="s">
        <v>73</v>
      </c>
      <c r="AE9" s="2" t="s">
        <v>73</v>
      </c>
      <c r="AF9" s="5" t="s">
        <v>73</v>
      </c>
      <c r="AG9" s="5">
        <v>45756.375</v>
      </c>
      <c r="AH9" s="146" t="s">
        <v>84</v>
      </c>
      <c r="AI9" s="3">
        <v>1</v>
      </c>
      <c r="AJ9" s="1" t="s">
        <v>670</v>
      </c>
      <c r="AK9" s="1" t="s">
        <v>671</v>
      </c>
      <c r="AL9" s="1" t="s">
        <v>616</v>
      </c>
      <c r="AM9" s="1" t="s">
        <v>617</v>
      </c>
      <c r="AN9" s="1" t="s">
        <v>71</v>
      </c>
      <c r="AO9" s="1" t="s">
        <v>689</v>
      </c>
      <c r="AP9" s="1" t="s">
        <v>690</v>
      </c>
      <c r="AQ9" s="1" t="s">
        <v>674</v>
      </c>
      <c r="AR9" s="1" t="s">
        <v>114</v>
      </c>
      <c r="AS9" s="1" t="s">
        <v>691</v>
      </c>
      <c r="AT9" s="1" t="s">
        <v>182</v>
      </c>
      <c r="AU9" s="1" t="s">
        <v>108</v>
      </c>
      <c r="AV9" s="1" t="s">
        <v>692</v>
      </c>
      <c r="AW9" s="1" t="s">
        <v>692</v>
      </c>
      <c r="AX9" s="146" t="s">
        <v>65</v>
      </c>
      <c r="AY9" s="2">
        <v>2</v>
      </c>
      <c r="AZ9" s="1" t="s">
        <v>813</v>
      </c>
      <c r="BA9" s="3">
        <v>3.32</v>
      </c>
      <c r="BB9" s="3">
        <v>3.3333500000000002E-2</v>
      </c>
      <c r="BC9" s="3">
        <v>0</v>
      </c>
      <c r="BD9" s="3">
        <v>6.6667000000000004E-2</v>
      </c>
      <c r="BE9" s="3">
        <v>6.6666666666666693E-2</v>
      </c>
      <c r="BF9" s="1" t="s">
        <v>73</v>
      </c>
      <c r="BG9" s="1" t="s">
        <v>73</v>
      </c>
      <c r="BH9" s="1" t="s">
        <v>73</v>
      </c>
      <c r="BI9" s="1" t="s">
        <v>73</v>
      </c>
      <c r="BJ9" s="1" t="s">
        <v>73</v>
      </c>
      <c r="BK9" s="1" t="s">
        <v>658</v>
      </c>
      <c r="BL9" s="1" t="s">
        <v>659</v>
      </c>
      <c r="BM9" s="1" t="s">
        <v>660</v>
      </c>
    </row>
    <row r="10" spans="1:65" outlineLevel="1" x14ac:dyDescent="0.25">
      <c r="A10" s="1" t="s">
        <v>662</v>
      </c>
      <c r="B10" s="1" t="s">
        <v>663</v>
      </c>
      <c r="C10" s="2">
        <v>4</v>
      </c>
      <c r="D10" s="3">
        <v>750.5</v>
      </c>
      <c r="E10" s="4">
        <v>4.5750000000000002</v>
      </c>
      <c r="F10" s="1" t="s">
        <v>60</v>
      </c>
      <c r="G10" s="2" t="s">
        <v>420</v>
      </c>
      <c r="H10" s="1" t="s">
        <v>62</v>
      </c>
      <c r="I10" s="1" t="s">
        <v>81</v>
      </c>
      <c r="J10" s="2" t="s">
        <v>82</v>
      </c>
      <c r="K10" s="2" t="s">
        <v>399</v>
      </c>
      <c r="L10" s="1" t="s">
        <v>693</v>
      </c>
      <c r="M10" s="1" t="s">
        <v>694</v>
      </c>
      <c r="N10" s="1" t="s">
        <v>695</v>
      </c>
      <c r="O10" s="146" t="s">
        <v>65</v>
      </c>
      <c r="P10" s="5">
        <v>45755.333333333328</v>
      </c>
      <c r="Q10" s="6">
        <v>45756</v>
      </c>
      <c r="R10" s="5">
        <v>45756.389062499999</v>
      </c>
      <c r="S10" s="1" t="s">
        <v>667</v>
      </c>
      <c r="T10" s="1" t="s">
        <v>668</v>
      </c>
      <c r="U10" s="1" t="s">
        <v>617</v>
      </c>
      <c r="V10" s="1" t="s">
        <v>616</v>
      </c>
      <c r="W10" s="1" t="s">
        <v>70</v>
      </c>
      <c r="X10" s="1" t="s">
        <v>71</v>
      </c>
      <c r="Y10" s="2" t="s">
        <v>473</v>
      </c>
      <c r="Z10" s="1" t="s">
        <v>473</v>
      </c>
      <c r="AA10" s="2" t="s">
        <v>73</v>
      </c>
      <c r="AB10" s="1" t="s">
        <v>811</v>
      </c>
      <c r="AC10" s="2" t="s">
        <v>398</v>
      </c>
      <c r="AD10" s="2" t="s">
        <v>73</v>
      </c>
      <c r="AE10" s="2" t="s">
        <v>73</v>
      </c>
      <c r="AF10" s="5" t="s">
        <v>73</v>
      </c>
      <c r="AG10" s="5">
        <v>45756.375</v>
      </c>
      <c r="AH10" s="146" t="s">
        <v>84</v>
      </c>
      <c r="AI10" s="3">
        <v>16</v>
      </c>
      <c r="AJ10" s="1" t="s">
        <v>697</v>
      </c>
      <c r="AK10" s="1" t="s">
        <v>698</v>
      </c>
      <c r="AL10" s="1" t="s">
        <v>616</v>
      </c>
      <c r="AM10" s="1" t="s">
        <v>617</v>
      </c>
      <c r="AN10" s="1" t="s">
        <v>71</v>
      </c>
      <c r="AO10" s="1" t="s">
        <v>699</v>
      </c>
      <c r="AP10" s="1" t="s">
        <v>73</v>
      </c>
      <c r="AQ10" s="1" t="s">
        <v>120</v>
      </c>
      <c r="AR10" s="1" t="s">
        <v>114</v>
      </c>
      <c r="AS10" s="1" t="s">
        <v>315</v>
      </c>
      <c r="AT10" s="1" t="s">
        <v>700</v>
      </c>
      <c r="AU10" s="1" t="s">
        <v>701</v>
      </c>
      <c r="AV10" s="1" t="s">
        <v>814</v>
      </c>
      <c r="AW10" s="1" t="s">
        <v>702</v>
      </c>
      <c r="AX10" s="146" t="s">
        <v>65</v>
      </c>
      <c r="AY10" s="2">
        <v>2</v>
      </c>
      <c r="AZ10" s="1" t="s">
        <v>813</v>
      </c>
      <c r="BA10" s="3">
        <v>5.34</v>
      </c>
      <c r="BB10" s="3">
        <v>2.4166664999999998</v>
      </c>
      <c r="BC10" s="3">
        <v>3.2833329999999998</v>
      </c>
      <c r="BD10" s="3">
        <v>1.55</v>
      </c>
      <c r="BE10" s="3">
        <v>4.8333333333333304</v>
      </c>
      <c r="BF10" s="1" t="s">
        <v>73</v>
      </c>
      <c r="BG10" s="1" t="s">
        <v>73</v>
      </c>
      <c r="BH10" s="1" t="s">
        <v>73</v>
      </c>
      <c r="BI10" s="1" t="s">
        <v>73</v>
      </c>
      <c r="BJ10" s="1" t="s">
        <v>73</v>
      </c>
      <c r="BK10" s="1" t="s">
        <v>619</v>
      </c>
      <c r="BL10" s="1" t="s">
        <v>620</v>
      </c>
      <c r="BM10" s="1" t="s">
        <v>621</v>
      </c>
    </row>
    <row r="11" spans="1:65" outlineLevel="1" x14ac:dyDescent="0.25">
      <c r="A11" s="1" t="s">
        <v>662</v>
      </c>
      <c r="B11" s="1" t="s">
        <v>663</v>
      </c>
      <c r="C11" s="2">
        <v>5</v>
      </c>
      <c r="D11" s="3">
        <v>478.77</v>
      </c>
      <c r="E11" s="4">
        <v>2.8809999999999998</v>
      </c>
      <c r="F11" s="1" t="s">
        <v>60</v>
      </c>
      <c r="G11" s="2" t="s">
        <v>420</v>
      </c>
      <c r="H11" s="1" t="s">
        <v>62</v>
      </c>
      <c r="I11" s="1" t="s">
        <v>81</v>
      </c>
      <c r="J11" s="2" t="s">
        <v>131</v>
      </c>
      <c r="K11" s="2" t="s">
        <v>399</v>
      </c>
      <c r="L11" s="1" t="s">
        <v>703</v>
      </c>
      <c r="M11" s="1" t="s">
        <v>704</v>
      </c>
      <c r="N11" s="1" t="s">
        <v>705</v>
      </c>
      <c r="O11" s="146" t="s">
        <v>65</v>
      </c>
      <c r="P11" s="5">
        <v>45755.333333333328</v>
      </c>
      <c r="Q11" s="6">
        <v>45756</v>
      </c>
      <c r="R11" s="5">
        <v>45756.489791666667</v>
      </c>
      <c r="S11" s="1" t="s">
        <v>667</v>
      </c>
      <c r="T11" s="1" t="s">
        <v>668</v>
      </c>
      <c r="U11" s="1" t="s">
        <v>617</v>
      </c>
      <c r="V11" s="1" t="s">
        <v>616</v>
      </c>
      <c r="W11" s="1" t="s">
        <v>70</v>
      </c>
      <c r="X11" s="1" t="s">
        <v>71</v>
      </c>
      <c r="Y11" s="2" t="s">
        <v>473</v>
      </c>
      <c r="Z11" s="1" t="s">
        <v>473</v>
      </c>
      <c r="AA11" s="2" t="s">
        <v>73</v>
      </c>
      <c r="AB11" s="1" t="s">
        <v>811</v>
      </c>
      <c r="AC11" s="2" t="s">
        <v>398</v>
      </c>
      <c r="AD11" s="2" t="s">
        <v>73</v>
      </c>
      <c r="AE11" s="2" t="s">
        <v>73</v>
      </c>
      <c r="AF11" s="5" t="s">
        <v>73</v>
      </c>
      <c r="AG11" s="5">
        <v>45756.458333333328</v>
      </c>
      <c r="AH11" s="146" t="s">
        <v>84</v>
      </c>
      <c r="AI11" s="3">
        <v>15</v>
      </c>
      <c r="AJ11" s="1" t="s">
        <v>697</v>
      </c>
      <c r="AK11" s="1" t="s">
        <v>698</v>
      </c>
      <c r="AL11" s="1" t="s">
        <v>616</v>
      </c>
      <c r="AM11" s="1" t="s">
        <v>617</v>
      </c>
      <c r="AN11" s="1" t="s">
        <v>71</v>
      </c>
      <c r="AO11" s="1" t="s">
        <v>706</v>
      </c>
      <c r="AP11" s="1" t="s">
        <v>73</v>
      </c>
      <c r="AQ11" s="1" t="s">
        <v>136</v>
      </c>
      <c r="AR11" s="1" t="s">
        <v>137</v>
      </c>
      <c r="AS11" s="1" t="s">
        <v>138</v>
      </c>
      <c r="AT11" s="1" t="s">
        <v>700</v>
      </c>
      <c r="AU11" s="1" t="s">
        <v>139</v>
      </c>
      <c r="AV11" s="1" t="s">
        <v>815</v>
      </c>
      <c r="AW11" s="1" t="s">
        <v>707</v>
      </c>
      <c r="AX11" s="146" t="s">
        <v>65</v>
      </c>
      <c r="AY11" s="2">
        <v>2</v>
      </c>
      <c r="AZ11" s="1" t="s">
        <v>813</v>
      </c>
      <c r="BA11" s="3">
        <v>5.34</v>
      </c>
      <c r="BB11" s="3">
        <v>0</v>
      </c>
      <c r="BC11" s="3">
        <v>0</v>
      </c>
      <c r="BD11" s="3">
        <v>0</v>
      </c>
      <c r="BE11" s="3">
        <v>0</v>
      </c>
      <c r="BF11" s="1" t="s">
        <v>73</v>
      </c>
      <c r="BG11" s="1" t="s">
        <v>73</v>
      </c>
      <c r="BH11" s="1" t="s">
        <v>73</v>
      </c>
      <c r="BI11" s="1" t="s">
        <v>73</v>
      </c>
      <c r="BJ11" s="1" t="s">
        <v>73</v>
      </c>
      <c r="BK11" s="1" t="s">
        <v>619</v>
      </c>
      <c r="BL11" s="1" t="s">
        <v>620</v>
      </c>
      <c r="BM11" s="1" t="s">
        <v>621</v>
      </c>
    </row>
    <row r="12" spans="1:65" outlineLevel="1" x14ac:dyDescent="0.25">
      <c r="A12" s="1" t="s">
        <v>662</v>
      </c>
      <c r="B12" s="1" t="s">
        <v>663</v>
      </c>
      <c r="C12" s="2">
        <v>6</v>
      </c>
      <c r="D12" s="3">
        <v>763.69</v>
      </c>
      <c r="E12" s="4">
        <v>4.6429999999999998</v>
      </c>
      <c r="F12" s="1" t="s">
        <v>60</v>
      </c>
      <c r="G12" s="2" t="s">
        <v>420</v>
      </c>
      <c r="H12" s="1" t="s">
        <v>62</v>
      </c>
      <c r="I12" s="1" t="s">
        <v>81</v>
      </c>
      <c r="J12" s="2" t="s">
        <v>131</v>
      </c>
      <c r="K12" s="2" t="s">
        <v>399</v>
      </c>
      <c r="L12" s="1" t="s">
        <v>708</v>
      </c>
      <c r="M12" s="1" t="s">
        <v>709</v>
      </c>
      <c r="N12" s="1" t="s">
        <v>710</v>
      </c>
      <c r="O12" s="146" t="s">
        <v>65</v>
      </c>
      <c r="P12" s="5">
        <v>45755.333333333328</v>
      </c>
      <c r="Q12" s="6">
        <v>45756</v>
      </c>
      <c r="R12" s="5">
        <v>45756.48982638889</v>
      </c>
      <c r="S12" s="1" t="s">
        <v>667</v>
      </c>
      <c r="T12" s="1" t="s">
        <v>668</v>
      </c>
      <c r="U12" s="1" t="s">
        <v>617</v>
      </c>
      <c r="V12" s="1" t="s">
        <v>616</v>
      </c>
      <c r="W12" s="1" t="s">
        <v>70</v>
      </c>
      <c r="X12" s="1" t="s">
        <v>71</v>
      </c>
      <c r="Y12" s="2" t="s">
        <v>473</v>
      </c>
      <c r="Z12" s="1" t="s">
        <v>473</v>
      </c>
      <c r="AA12" s="2" t="s">
        <v>73</v>
      </c>
      <c r="AB12" s="1" t="s">
        <v>811</v>
      </c>
      <c r="AC12" s="2" t="s">
        <v>398</v>
      </c>
      <c r="AD12" s="2" t="s">
        <v>73</v>
      </c>
      <c r="AE12" s="2" t="s">
        <v>73</v>
      </c>
      <c r="AF12" s="5" t="s">
        <v>73</v>
      </c>
      <c r="AG12" s="5">
        <v>45756.458333333328</v>
      </c>
      <c r="AH12" s="146" t="s">
        <v>84</v>
      </c>
      <c r="AI12" s="3">
        <v>17</v>
      </c>
      <c r="AJ12" s="1" t="s">
        <v>697</v>
      </c>
      <c r="AK12" s="1" t="s">
        <v>698</v>
      </c>
      <c r="AL12" s="1" t="s">
        <v>616</v>
      </c>
      <c r="AM12" s="1" t="s">
        <v>617</v>
      </c>
      <c r="AN12" s="1" t="s">
        <v>71</v>
      </c>
      <c r="AO12" s="1" t="s">
        <v>711</v>
      </c>
      <c r="AP12" s="1" t="s">
        <v>73</v>
      </c>
      <c r="AQ12" s="1" t="s">
        <v>136</v>
      </c>
      <c r="AR12" s="1" t="s">
        <v>137</v>
      </c>
      <c r="AS12" s="1" t="s">
        <v>138</v>
      </c>
      <c r="AT12" s="1" t="s">
        <v>700</v>
      </c>
      <c r="AU12" s="1" t="s">
        <v>712</v>
      </c>
      <c r="AV12" s="1" t="s">
        <v>816</v>
      </c>
      <c r="AW12" s="1" t="s">
        <v>713</v>
      </c>
      <c r="AX12" s="146" t="s">
        <v>65</v>
      </c>
      <c r="AY12" s="2">
        <v>2</v>
      </c>
      <c r="AZ12" s="1" t="s">
        <v>813</v>
      </c>
      <c r="BA12" s="3">
        <v>5.34</v>
      </c>
      <c r="BB12" s="3">
        <v>0</v>
      </c>
      <c r="BC12" s="3">
        <v>0</v>
      </c>
      <c r="BD12" s="3">
        <v>0</v>
      </c>
      <c r="BE12" s="3">
        <v>0</v>
      </c>
      <c r="BF12" s="1" t="s">
        <v>73</v>
      </c>
      <c r="BG12" s="1" t="s">
        <v>73</v>
      </c>
      <c r="BH12" s="1" t="s">
        <v>73</v>
      </c>
      <c r="BI12" s="1" t="s">
        <v>73</v>
      </c>
      <c r="BJ12" s="1" t="s">
        <v>73</v>
      </c>
      <c r="BK12" s="1" t="s">
        <v>619</v>
      </c>
      <c r="BL12" s="1" t="s">
        <v>620</v>
      </c>
      <c r="BM12" s="1" t="s">
        <v>621</v>
      </c>
    </row>
    <row r="13" spans="1:65" outlineLevel="1" x14ac:dyDescent="0.25">
      <c r="A13" s="1" t="s">
        <v>662</v>
      </c>
      <c r="B13" s="1" t="s">
        <v>663</v>
      </c>
      <c r="C13" s="2">
        <v>7</v>
      </c>
      <c r="D13" s="3">
        <v>58.12</v>
      </c>
      <c r="E13" s="4">
        <v>0.69299999999999995</v>
      </c>
      <c r="F13" s="1" t="s">
        <v>60</v>
      </c>
      <c r="G13" s="2" t="s">
        <v>420</v>
      </c>
      <c r="H13" s="1" t="s">
        <v>62</v>
      </c>
      <c r="I13" s="1" t="s">
        <v>81</v>
      </c>
      <c r="J13" s="2" t="s">
        <v>82</v>
      </c>
      <c r="K13" s="2" t="s">
        <v>399</v>
      </c>
      <c r="L13" s="1" t="s">
        <v>714</v>
      </c>
      <c r="M13" s="1" t="s">
        <v>715</v>
      </c>
      <c r="N13" s="1" t="s">
        <v>716</v>
      </c>
      <c r="O13" s="146" t="s">
        <v>65</v>
      </c>
      <c r="P13" s="5">
        <v>45755.333333333328</v>
      </c>
      <c r="Q13" s="6">
        <v>45756</v>
      </c>
      <c r="R13" s="5">
        <v>45756.489861111106</v>
      </c>
      <c r="S13" s="1" t="s">
        <v>667</v>
      </c>
      <c r="T13" s="1" t="s">
        <v>668</v>
      </c>
      <c r="U13" s="1" t="s">
        <v>617</v>
      </c>
      <c r="V13" s="1" t="s">
        <v>616</v>
      </c>
      <c r="W13" s="1" t="s">
        <v>70</v>
      </c>
      <c r="X13" s="1" t="s">
        <v>71</v>
      </c>
      <c r="Y13" s="2" t="s">
        <v>473</v>
      </c>
      <c r="Z13" s="1" t="s">
        <v>473</v>
      </c>
      <c r="AA13" s="2" t="s">
        <v>73</v>
      </c>
      <c r="AB13" s="1" t="s">
        <v>811</v>
      </c>
      <c r="AC13" s="2" t="s">
        <v>398</v>
      </c>
      <c r="AD13" s="2" t="s">
        <v>73</v>
      </c>
      <c r="AE13" s="2" t="s">
        <v>73</v>
      </c>
      <c r="AF13" s="5" t="s">
        <v>73</v>
      </c>
      <c r="AG13" s="5">
        <v>45756.458333333328</v>
      </c>
      <c r="AH13" s="146" t="s">
        <v>84</v>
      </c>
      <c r="AI13" s="3">
        <v>10</v>
      </c>
      <c r="AJ13" s="1" t="s">
        <v>697</v>
      </c>
      <c r="AK13" s="1" t="s">
        <v>698</v>
      </c>
      <c r="AL13" s="1" t="s">
        <v>616</v>
      </c>
      <c r="AM13" s="1" t="s">
        <v>617</v>
      </c>
      <c r="AN13" s="1" t="s">
        <v>71</v>
      </c>
      <c r="AO13" s="1" t="s">
        <v>717</v>
      </c>
      <c r="AP13" s="1" t="s">
        <v>73</v>
      </c>
      <c r="AQ13" s="1" t="s">
        <v>120</v>
      </c>
      <c r="AR13" s="1" t="s">
        <v>114</v>
      </c>
      <c r="AS13" s="1" t="s">
        <v>315</v>
      </c>
      <c r="AT13" s="1" t="s">
        <v>700</v>
      </c>
      <c r="AU13" s="1" t="s">
        <v>90</v>
      </c>
      <c r="AV13" s="1" t="s">
        <v>817</v>
      </c>
      <c r="AW13" s="1" t="s">
        <v>718</v>
      </c>
      <c r="AX13" s="146" t="s">
        <v>65</v>
      </c>
      <c r="AY13" s="2">
        <v>2</v>
      </c>
      <c r="AZ13" s="1" t="s">
        <v>813</v>
      </c>
      <c r="BA13" s="3">
        <v>5.34</v>
      </c>
      <c r="BB13" s="3">
        <v>1.0166664999999999</v>
      </c>
      <c r="BC13" s="3">
        <v>0.9</v>
      </c>
      <c r="BD13" s="3">
        <v>1.1333329999999999</v>
      </c>
      <c r="BE13" s="3">
        <v>2.0333333333333301</v>
      </c>
      <c r="BF13" s="1" t="s">
        <v>73</v>
      </c>
      <c r="BG13" s="1" t="s">
        <v>73</v>
      </c>
      <c r="BH13" s="1" t="s">
        <v>73</v>
      </c>
      <c r="BI13" s="1" t="s">
        <v>73</v>
      </c>
      <c r="BJ13" s="1" t="s">
        <v>73</v>
      </c>
      <c r="BK13" s="1" t="s">
        <v>619</v>
      </c>
      <c r="BL13" s="1" t="s">
        <v>620</v>
      </c>
      <c r="BM13" s="1" t="s">
        <v>621</v>
      </c>
    </row>
    <row r="14" spans="1:65" outlineLevel="1" x14ac:dyDescent="0.25">
      <c r="A14" s="1" t="s">
        <v>662</v>
      </c>
      <c r="B14" s="1" t="s">
        <v>663</v>
      </c>
      <c r="C14" s="2">
        <v>8</v>
      </c>
      <c r="D14" s="3">
        <v>44.9</v>
      </c>
      <c r="E14" s="4">
        <v>0.30399999999999999</v>
      </c>
      <c r="F14" s="1" t="s">
        <v>60</v>
      </c>
      <c r="G14" s="2" t="s">
        <v>420</v>
      </c>
      <c r="H14" s="1" t="s">
        <v>62</v>
      </c>
      <c r="I14" s="1" t="s">
        <v>81</v>
      </c>
      <c r="J14" s="2" t="s">
        <v>82</v>
      </c>
      <c r="K14" s="2" t="s">
        <v>399</v>
      </c>
      <c r="L14" s="1" t="s">
        <v>719</v>
      </c>
      <c r="M14" s="1" t="s">
        <v>720</v>
      </c>
      <c r="N14" s="1" t="s">
        <v>721</v>
      </c>
      <c r="O14" s="146" t="s">
        <v>65</v>
      </c>
      <c r="P14" s="5">
        <v>45754.333333333328</v>
      </c>
      <c r="Q14" s="6">
        <v>45756</v>
      </c>
      <c r="R14" s="5">
        <v>45756.541886574072</v>
      </c>
      <c r="S14" s="1" t="s">
        <v>667</v>
      </c>
      <c r="T14" s="1" t="s">
        <v>668</v>
      </c>
      <c r="U14" s="1" t="s">
        <v>617</v>
      </c>
      <c r="V14" s="1" t="s">
        <v>616</v>
      </c>
      <c r="W14" s="1" t="s">
        <v>70</v>
      </c>
      <c r="X14" s="1" t="s">
        <v>71</v>
      </c>
      <c r="Y14" s="2" t="s">
        <v>473</v>
      </c>
      <c r="Z14" s="1" t="s">
        <v>473</v>
      </c>
      <c r="AA14" s="2" t="s">
        <v>73</v>
      </c>
      <c r="AB14" s="1" t="s">
        <v>811</v>
      </c>
      <c r="AC14" s="2" t="s">
        <v>398</v>
      </c>
      <c r="AD14" s="2" t="s">
        <v>73</v>
      </c>
      <c r="AE14" s="2" t="s">
        <v>73</v>
      </c>
      <c r="AF14" s="5" t="s">
        <v>73</v>
      </c>
      <c r="AG14" s="5">
        <v>45756.541666666664</v>
      </c>
      <c r="AH14" s="146" t="s">
        <v>84</v>
      </c>
      <c r="AI14" s="3">
        <v>2</v>
      </c>
      <c r="AJ14" s="1" t="s">
        <v>723</v>
      </c>
      <c r="AK14" s="1" t="s">
        <v>724</v>
      </c>
      <c r="AL14" s="1" t="s">
        <v>616</v>
      </c>
      <c r="AM14" s="1" t="s">
        <v>617</v>
      </c>
      <c r="AN14" s="1" t="s">
        <v>71</v>
      </c>
      <c r="AO14" s="1" t="s">
        <v>725</v>
      </c>
      <c r="AP14" s="1" t="s">
        <v>726</v>
      </c>
      <c r="AQ14" s="1" t="s">
        <v>727</v>
      </c>
      <c r="AR14" s="1" t="s">
        <v>114</v>
      </c>
      <c r="AS14" s="1" t="s">
        <v>315</v>
      </c>
      <c r="AT14" s="1" t="s">
        <v>728</v>
      </c>
      <c r="AU14" s="1" t="s">
        <v>729</v>
      </c>
      <c r="AV14" s="1" t="s">
        <v>818</v>
      </c>
      <c r="AW14" s="1" t="s">
        <v>730</v>
      </c>
      <c r="AX14" s="146" t="s">
        <v>65</v>
      </c>
      <c r="AY14" s="2">
        <v>2</v>
      </c>
      <c r="AZ14" s="1" t="s">
        <v>813</v>
      </c>
      <c r="BA14" s="3">
        <v>2.5299999999999998</v>
      </c>
      <c r="BB14" s="3">
        <v>9.1666499999999998E-2</v>
      </c>
      <c r="BC14" s="3">
        <v>6.6667000000000004E-2</v>
      </c>
      <c r="BD14" s="3">
        <v>0.11666700000000001</v>
      </c>
      <c r="BE14" s="3">
        <v>0.18333333333333299</v>
      </c>
      <c r="BF14" s="1" t="s">
        <v>73</v>
      </c>
      <c r="BG14" s="1" t="s">
        <v>73</v>
      </c>
      <c r="BH14" s="1" t="s">
        <v>73</v>
      </c>
      <c r="BI14" s="1" t="s">
        <v>73</v>
      </c>
      <c r="BJ14" s="1" t="s">
        <v>73</v>
      </c>
      <c r="BK14" s="1" t="s">
        <v>731</v>
      </c>
      <c r="BL14" s="1" t="s">
        <v>732</v>
      </c>
      <c r="BM14" s="1" t="s">
        <v>733</v>
      </c>
    </row>
    <row r="15" spans="1:65" outlineLevel="1" x14ac:dyDescent="0.25">
      <c r="A15" s="1" t="s">
        <v>662</v>
      </c>
      <c r="B15" s="1" t="s">
        <v>663</v>
      </c>
      <c r="C15" s="2">
        <v>9</v>
      </c>
      <c r="D15" s="3">
        <v>21.95</v>
      </c>
      <c r="E15" s="4">
        <v>3.1E-2</v>
      </c>
      <c r="F15" s="1" t="s">
        <v>60</v>
      </c>
      <c r="G15" s="2" t="s">
        <v>420</v>
      </c>
      <c r="H15" s="1" t="s">
        <v>62</v>
      </c>
      <c r="I15" s="1" t="s">
        <v>81</v>
      </c>
      <c r="J15" s="2" t="s">
        <v>82</v>
      </c>
      <c r="K15" s="2" t="s">
        <v>399</v>
      </c>
      <c r="L15" s="1" t="s">
        <v>819</v>
      </c>
      <c r="M15" s="1" t="s">
        <v>820</v>
      </c>
      <c r="N15" s="1" t="s">
        <v>821</v>
      </c>
      <c r="O15" s="146" t="s">
        <v>65</v>
      </c>
      <c r="P15" s="5">
        <v>45754.333333333328</v>
      </c>
      <c r="Q15" s="6">
        <v>45756</v>
      </c>
      <c r="R15" s="5">
        <v>45756.547604166662</v>
      </c>
      <c r="S15" s="1" t="s">
        <v>667</v>
      </c>
      <c r="T15" s="1" t="s">
        <v>668</v>
      </c>
      <c r="U15" s="1" t="s">
        <v>617</v>
      </c>
      <c r="V15" s="1" t="s">
        <v>616</v>
      </c>
      <c r="W15" s="1" t="s">
        <v>70</v>
      </c>
      <c r="X15" s="1" t="s">
        <v>71</v>
      </c>
      <c r="Y15" s="2" t="s">
        <v>473</v>
      </c>
      <c r="Z15" s="1" t="s">
        <v>473</v>
      </c>
      <c r="AA15" s="2" t="s">
        <v>73</v>
      </c>
      <c r="AB15" s="1" t="s">
        <v>811</v>
      </c>
      <c r="AC15" s="2" t="s">
        <v>398</v>
      </c>
      <c r="AD15" s="2" t="s">
        <v>73</v>
      </c>
      <c r="AE15" s="2" t="s">
        <v>73</v>
      </c>
      <c r="AF15" s="5" t="s">
        <v>73</v>
      </c>
      <c r="AG15" s="5">
        <v>45756.541666666664</v>
      </c>
      <c r="AH15" s="146" t="s">
        <v>84</v>
      </c>
      <c r="AI15" s="3">
        <v>2</v>
      </c>
      <c r="AJ15" s="1" t="s">
        <v>822</v>
      </c>
      <c r="AK15" s="1" t="s">
        <v>823</v>
      </c>
      <c r="AL15" s="1" t="s">
        <v>616</v>
      </c>
      <c r="AM15" s="1" t="s">
        <v>617</v>
      </c>
      <c r="AN15" s="1" t="s">
        <v>71</v>
      </c>
      <c r="AO15" s="1" t="s">
        <v>824</v>
      </c>
      <c r="AP15" s="1" t="s">
        <v>825</v>
      </c>
      <c r="AQ15" s="1" t="s">
        <v>826</v>
      </c>
      <c r="AR15" s="1" t="s">
        <v>123</v>
      </c>
      <c r="AS15" s="1" t="s">
        <v>315</v>
      </c>
      <c r="AT15" s="1" t="s">
        <v>728</v>
      </c>
      <c r="AU15" s="1" t="s">
        <v>127</v>
      </c>
      <c r="AV15" s="1" t="s">
        <v>827</v>
      </c>
      <c r="AW15" s="1" t="s">
        <v>828</v>
      </c>
      <c r="AX15" s="146" t="s">
        <v>65</v>
      </c>
      <c r="AY15" s="2">
        <v>2</v>
      </c>
      <c r="AZ15" s="1" t="s">
        <v>813</v>
      </c>
      <c r="BA15" s="3">
        <v>3.4</v>
      </c>
      <c r="BB15" s="3">
        <v>0.22500000000000001</v>
      </c>
      <c r="BC15" s="3">
        <v>0.35</v>
      </c>
      <c r="BD15" s="3">
        <v>0.1</v>
      </c>
      <c r="BE15" s="3">
        <v>0.45</v>
      </c>
      <c r="BF15" s="1" t="s">
        <v>73</v>
      </c>
      <c r="BG15" s="1" t="s">
        <v>73</v>
      </c>
      <c r="BH15" s="1" t="s">
        <v>73</v>
      </c>
      <c r="BI15" s="1" t="s">
        <v>73</v>
      </c>
      <c r="BJ15" s="1" t="s">
        <v>73</v>
      </c>
      <c r="BK15" s="1" t="s">
        <v>619</v>
      </c>
      <c r="BL15" s="1" t="s">
        <v>620</v>
      </c>
      <c r="BM15" s="1" t="s">
        <v>621</v>
      </c>
    </row>
    <row r="16" spans="1:65" outlineLevel="1" x14ac:dyDescent="0.25">
      <c r="A16" s="1" t="s">
        <v>662</v>
      </c>
      <c r="B16" s="1" t="s">
        <v>663</v>
      </c>
      <c r="C16" s="2">
        <v>10</v>
      </c>
      <c r="D16" s="3">
        <v>53.3</v>
      </c>
      <c r="E16" s="4">
        <v>0.46100000000000002</v>
      </c>
      <c r="F16" s="1" t="s">
        <v>60</v>
      </c>
      <c r="G16" s="2" t="s">
        <v>420</v>
      </c>
      <c r="H16" s="1" t="s">
        <v>62</v>
      </c>
      <c r="I16" s="1" t="s">
        <v>81</v>
      </c>
      <c r="J16" s="2" t="s">
        <v>82</v>
      </c>
      <c r="K16" s="2" t="s">
        <v>399</v>
      </c>
      <c r="L16" s="1" t="s">
        <v>829</v>
      </c>
      <c r="M16" s="1" t="s">
        <v>830</v>
      </c>
      <c r="N16" s="1" t="s">
        <v>831</v>
      </c>
      <c r="O16" s="146" t="s">
        <v>65</v>
      </c>
      <c r="P16" s="5">
        <v>45754.333333333328</v>
      </c>
      <c r="Q16" s="6">
        <v>45756</v>
      </c>
      <c r="R16" s="5">
        <v>45756.557928240742</v>
      </c>
      <c r="S16" s="1" t="s">
        <v>667</v>
      </c>
      <c r="T16" s="1" t="s">
        <v>668</v>
      </c>
      <c r="U16" s="1" t="s">
        <v>617</v>
      </c>
      <c r="V16" s="1" t="s">
        <v>616</v>
      </c>
      <c r="W16" s="1" t="s">
        <v>70</v>
      </c>
      <c r="X16" s="1" t="s">
        <v>71</v>
      </c>
      <c r="Y16" s="2" t="s">
        <v>473</v>
      </c>
      <c r="Z16" s="1" t="s">
        <v>473</v>
      </c>
      <c r="AA16" s="2" t="s">
        <v>73</v>
      </c>
      <c r="AB16" s="1" t="s">
        <v>811</v>
      </c>
      <c r="AC16" s="2" t="s">
        <v>398</v>
      </c>
      <c r="AD16" s="2" t="s">
        <v>73</v>
      </c>
      <c r="AE16" s="2" t="s">
        <v>73</v>
      </c>
      <c r="AF16" s="5" t="s">
        <v>73</v>
      </c>
      <c r="AG16" s="5">
        <v>45756.541666666664</v>
      </c>
      <c r="AH16" s="146" t="s">
        <v>84</v>
      </c>
      <c r="AI16" s="3">
        <v>2</v>
      </c>
      <c r="AJ16" s="1" t="s">
        <v>832</v>
      </c>
      <c r="AK16" s="1" t="s">
        <v>833</v>
      </c>
      <c r="AL16" s="1" t="s">
        <v>616</v>
      </c>
      <c r="AM16" s="1" t="s">
        <v>617</v>
      </c>
      <c r="AN16" s="1" t="s">
        <v>71</v>
      </c>
      <c r="AO16" s="1" t="s">
        <v>834</v>
      </c>
      <c r="AP16" s="1" t="s">
        <v>835</v>
      </c>
      <c r="AQ16" s="1" t="s">
        <v>254</v>
      </c>
      <c r="AR16" s="1" t="s">
        <v>123</v>
      </c>
      <c r="AS16" s="1" t="s">
        <v>836</v>
      </c>
      <c r="AT16" s="1" t="s">
        <v>837</v>
      </c>
      <c r="AU16" s="1" t="s">
        <v>127</v>
      </c>
      <c r="AV16" s="1" t="s">
        <v>838</v>
      </c>
      <c r="AW16" s="1" t="s">
        <v>839</v>
      </c>
      <c r="AX16" s="146" t="s">
        <v>65</v>
      </c>
      <c r="AY16" s="2">
        <v>2</v>
      </c>
      <c r="AZ16" s="1" t="s">
        <v>813</v>
      </c>
      <c r="BA16" s="3">
        <v>2.57</v>
      </c>
      <c r="BB16" s="3">
        <v>0.60833349999999997</v>
      </c>
      <c r="BC16" s="3">
        <v>1.1166670000000001</v>
      </c>
      <c r="BD16" s="3">
        <v>0.1</v>
      </c>
      <c r="BE16" s="3">
        <v>1.2166666666666699</v>
      </c>
      <c r="BF16" s="1" t="s">
        <v>73</v>
      </c>
      <c r="BG16" s="1" t="s">
        <v>73</v>
      </c>
      <c r="BH16" s="1" t="s">
        <v>73</v>
      </c>
      <c r="BI16" s="1" t="s">
        <v>73</v>
      </c>
      <c r="BJ16" s="1" t="s">
        <v>73</v>
      </c>
      <c r="BK16" s="1" t="s">
        <v>840</v>
      </c>
      <c r="BL16" s="1" t="s">
        <v>841</v>
      </c>
      <c r="BM16" s="1" t="s">
        <v>842</v>
      </c>
    </row>
    <row r="17" spans="1:65" outlineLevel="1" x14ac:dyDescent="0.25">
      <c r="A17" s="1" t="s">
        <v>662</v>
      </c>
      <c r="B17" s="1" t="s">
        <v>663</v>
      </c>
      <c r="C17" s="2">
        <v>11</v>
      </c>
      <c r="D17" s="3">
        <v>0</v>
      </c>
      <c r="E17" s="4">
        <v>0</v>
      </c>
      <c r="F17" s="1" t="s">
        <v>60</v>
      </c>
      <c r="G17" s="2" t="s">
        <v>420</v>
      </c>
      <c r="H17" s="1" t="s">
        <v>62</v>
      </c>
      <c r="I17" s="1" t="s">
        <v>81</v>
      </c>
      <c r="J17" s="2" t="s">
        <v>390</v>
      </c>
      <c r="K17" s="2" t="s">
        <v>399</v>
      </c>
      <c r="L17" s="1" t="s">
        <v>843</v>
      </c>
      <c r="M17" s="1" t="s">
        <v>844</v>
      </c>
      <c r="N17" s="1" t="s">
        <v>845</v>
      </c>
      <c r="O17" s="146" t="s">
        <v>65</v>
      </c>
      <c r="P17" s="5">
        <v>45754.333333333328</v>
      </c>
      <c r="Q17" s="6">
        <v>45756</v>
      </c>
      <c r="R17" s="5">
        <v>45756.588657407403</v>
      </c>
      <c r="S17" s="1" t="s">
        <v>667</v>
      </c>
      <c r="T17" s="1" t="s">
        <v>668</v>
      </c>
      <c r="U17" s="1" t="s">
        <v>617</v>
      </c>
      <c r="V17" s="1" t="s">
        <v>616</v>
      </c>
      <c r="W17" s="1" t="s">
        <v>70</v>
      </c>
      <c r="X17" s="1" t="s">
        <v>71</v>
      </c>
      <c r="Y17" s="2" t="s">
        <v>473</v>
      </c>
      <c r="Z17" s="1" t="s">
        <v>473</v>
      </c>
      <c r="AA17" s="2" t="s">
        <v>73</v>
      </c>
      <c r="AB17" s="1" t="s">
        <v>811</v>
      </c>
      <c r="AC17" s="2" t="s">
        <v>398</v>
      </c>
      <c r="AD17" s="2" t="s">
        <v>73</v>
      </c>
      <c r="AE17" s="2" t="s">
        <v>73</v>
      </c>
      <c r="AF17" s="5" t="s">
        <v>73</v>
      </c>
      <c r="AG17" s="5">
        <v>45756.583333333328</v>
      </c>
      <c r="AH17" s="146" t="s">
        <v>84</v>
      </c>
      <c r="AI17" s="3">
        <v>1</v>
      </c>
      <c r="AJ17" s="1" t="s">
        <v>846</v>
      </c>
      <c r="AK17" s="1" t="s">
        <v>668</v>
      </c>
      <c r="AL17" s="1" t="s">
        <v>616</v>
      </c>
      <c r="AM17" s="1" t="s">
        <v>617</v>
      </c>
      <c r="AN17" s="1" t="s">
        <v>71</v>
      </c>
      <c r="AO17" s="1" t="s">
        <v>847</v>
      </c>
      <c r="AP17" s="1" t="s">
        <v>847</v>
      </c>
      <c r="AQ17" s="1" t="s">
        <v>848</v>
      </c>
      <c r="AR17" s="1" t="s">
        <v>849</v>
      </c>
      <c r="AS17" s="1" t="s">
        <v>315</v>
      </c>
      <c r="AT17" s="1" t="s">
        <v>110</v>
      </c>
      <c r="AU17" s="1" t="s">
        <v>108</v>
      </c>
      <c r="AV17" s="1" t="s">
        <v>850</v>
      </c>
      <c r="AW17" s="1" t="s">
        <v>850</v>
      </c>
      <c r="AX17" s="146" t="s">
        <v>65</v>
      </c>
      <c r="AY17" s="2">
        <v>2</v>
      </c>
      <c r="AZ17" s="1" t="s">
        <v>813</v>
      </c>
      <c r="BA17" s="3">
        <v>0.06</v>
      </c>
      <c r="BB17" s="3">
        <v>3.3333500000000002E-2</v>
      </c>
      <c r="BC17" s="3">
        <v>3.3333000000000002E-2</v>
      </c>
      <c r="BD17" s="3">
        <v>3.3333000000000002E-2</v>
      </c>
      <c r="BE17" s="3">
        <v>6.6666666666666693E-2</v>
      </c>
      <c r="BF17" s="1" t="s">
        <v>73</v>
      </c>
      <c r="BG17" s="1" t="s">
        <v>73</v>
      </c>
      <c r="BH17" s="1" t="s">
        <v>73</v>
      </c>
      <c r="BI17" s="1" t="s">
        <v>73</v>
      </c>
      <c r="BJ17" s="1" t="s">
        <v>73</v>
      </c>
      <c r="BK17" s="1" t="s">
        <v>851</v>
      </c>
      <c r="BL17" s="1" t="s">
        <v>852</v>
      </c>
      <c r="BM17" s="1" t="s">
        <v>853</v>
      </c>
    </row>
    <row r="18" spans="1:65" outlineLevel="1" x14ac:dyDescent="0.25">
      <c r="A18" s="1" t="s">
        <v>662</v>
      </c>
      <c r="B18" s="1" t="s">
        <v>663</v>
      </c>
      <c r="C18" s="2">
        <v>12</v>
      </c>
      <c r="D18" s="3">
        <v>0</v>
      </c>
      <c r="E18" s="4">
        <v>0</v>
      </c>
      <c r="F18" s="1" t="s">
        <v>60</v>
      </c>
      <c r="G18" s="2" t="s">
        <v>420</v>
      </c>
      <c r="H18" s="1" t="s">
        <v>62</v>
      </c>
      <c r="I18" s="1" t="s">
        <v>81</v>
      </c>
      <c r="J18" s="2" t="s">
        <v>82</v>
      </c>
      <c r="K18" s="2" t="s">
        <v>399</v>
      </c>
      <c r="L18" s="1" t="s">
        <v>854</v>
      </c>
      <c r="M18" s="1" t="s">
        <v>855</v>
      </c>
      <c r="N18" s="1" t="s">
        <v>856</v>
      </c>
      <c r="O18" s="146" t="s">
        <v>65</v>
      </c>
      <c r="P18" s="5">
        <v>45754.333333333328</v>
      </c>
      <c r="Q18" s="6">
        <v>45756</v>
      </c>
      <c r="R18" s="5">
        <v>45756.590081018519</v>
      </c>
      <c r="S18" s="1" t="s">
        <v>667</v>
      </c>
      <c r="T18" s="1" t="s">
        <v>668</v>
      </c>
      <c r="U18" s="1" t="s">
        <v>617</v>
      </c>
      <c r="V18" s="1" t="s">
        <v>616</v>
      </c>
      <c r="W18" s="1" t="s">
        <v>70</v>
      </c>
      <c r="X18" s="1" t="s">
        <v>71</v>
      </c>
      <c r="Y18" s="2" t="s">
        <v>473</v>
      </c>
      <c r="Z18" s="1" t="s">
        <v>473</v>
      </c>
      <c r="AA18" s="2" t="s">
        <v>73</v>
      </c>
      <c r="AB18" s="1" t="s">
        <v>811</v>
      </c>
      <c r="AC18" s="2" t="s">
        <v>398</v>
      </c>
      <c r="AD18" s="2" t="s">
        <v>73</v>
      </c>
      <c r="AE18" s="2" t="s">
        <v>73</v>
      </c>
      <c r="AF18" s="5" t="s">
        <v>73</v>
      </c>
      <c r="AG18" s="5">
        <v>45756.583333333328</v>
      </c>
      <c r="AH18" s="146" t="s">
        <v>84</v>
      </c>
      <c r="AI18" s="3">
        <v>1</v>
      </c>
      <c r="AJ18" s="1" t="s">
        <v>846</v>
      </c>
      <c r="AK18" s="1" t="s">
        <v>668</v>
      </c>
      <c r="AL18" s="1" t="s">
        <v>616</v>
      </c>
      <c r="AM18" s="1" t="s">
        <v>617</v>
      </c>
      <c r="AN18" s="1" t="s">
        <v>71</v>
      </c>
      <c r="AO18" s="1" t="s">
        <v>857</v>
      </c>
      <c r="AP18" s="1" t="s">
        <v>857</v>
      </c>
      <c r="AQ18" s="1" t="s">
        <v>120</v>
      </c>
      <c r="AR18" s="1" t="s">
        <v>858</v>
      </c>
      <c r="AS18" s="1" t="s">
        <v>315</v>
      </c>
      <c r="AT18" s="1" t="s">
        <v>110</v>
      </c>
      <c r="AU18" s="1" t="s">
        <v>108</v>
      </c>
      <c r="AV18" s="1" t="s">
        <v>859</v>
      </c>
      <c r="AW18" s="1" t="s">
        <v>859</v>
      </c>
      <c r="AX18" s="146" t="s">
        <v>65</v>
      </c>
      <c r="AY18" s="2">
        <v>2</v>
      </c>
      <c r="AZ18" s="1" t="s">
        <v>813</v>
      </c>
      <c r="BA18" s="3">
        <v>0.06</v>
      </c>
      <c r="BB18" s="3">
        <v>3.3333500000000002E-2</v>
      </c>
      <c r="BC18" s="3">
        <v>3.3333000000000002E-2</v>
      </c>
      <c r="BD18" s="3">
        <v>3.3333000000000002E-2</v>
      </c>
      <c r="BE18" s="3">
        <v>6.6666666666666693E-2</v>
      </c>
      <c r="BF18" s="1" t="s">
        <v>73</v>
      </c>
      <c r="BG18" s="1" t="s">
        <v>73</v>
      </c>
      <c r="BH18" s="1" t="s">
        <v>73</v>
      </c>
      <c r="BI18" s="1" t="s">
        <v>73</v>
      </c>
      <c r="BJ18" s="1" t="s">
        <v>73</v>
      </c>
      <c r="BK18" s="1" t="s">
        <v>851</v>
      </c>
      <c r="BL18" s="1" t="s">
        <v>852</v>
      </c>
      <c r="BM18" s="1" t="s">
        <v>853</v>
      </c>
    </row>
    <row r="19" spans="1:65" outlineLevel="1" x14ac:dyDescent="0.25">
      <c r="A19" s="1" t="s">
        <v>662</v>
      </c>
      <c r="B19" s="1" t="s">
        <v>663</v>
      </c>
      <c r="C19" s="2">
        <v>13</v>
      </c>
      <c r="D19" s="3">
        <v>0</v>
      </c>
      <c r="E19" s="4">
        <v>0</v>
      </c>
      <c r="F19" s="1" t="s">
        <v>60</v>
      </c>
      <c r="G19" s="2" t="s">
        <v>420</v>
      </c>
      <c r="H19" s="1" t="s">
        <v>62</v>
      </c>
      <c r="I19" s="1" t="s">
        <v>81</v>
      </c>
      <c r="J19" s="2" t="s">
        <v>82</v>
      </c>
      <c r="K19" s="2" t="s">
        <v>399</v>
      </c>
      <c r="L19" s="1" t="s">
        <v>860</v>
      </c>
      <c r="M19" s="1" t="s">
        <v>861</v>
      </c>
      <c r="N19" s="1" t="s">
        <v>862</v>
      </c>
      <c r="O19" s="146" t="s">
        <v>65</v>
      </c>
      <c r="P19" s="5">
        <v>45754.333333333328</v>
      </c>
      <c r="Q19" s="6">
        <v>45756</v>
      </c>
      <c r="R19" s="5">
        <v>45756.591504629629</v>
      </c>
      <c r="S19" s="1" t="s">
        <v>667</v>
      </c>
      <c r="T19" s="1" t="s">
        <v>668</v>
      </c>
      <c r="U19" s="1" t="s">
        <v>617</v>
      </c>
      <c r="V19" s="1" t="s">
        <v>616</v>
      </c>
      <c r="W19" s="1" t="s">
        <v>70</v>
      </c>
      <c r="X19" s="1" t="s">
        <v>71</v>
      </c>
      <c r="Y19" s="2" t="s">
        <v>473</v>
      </c>
      <c r="Z19" s="1" t="s">
        <v>473</v>
      </c>
      <c r="AA19" s="2" t="s">
        <v>73</v>
      </c>
      <c r="AB19" s="1" t="s">
        <v>811</v>
      </c>
      <c r="AC19" s="2" t="s">
        <v>398</v>
      </c>
      <c r="AD19" s="2" t="s">
        <v>73</v>
      </c>
      <c r="AE19" s="2" t="s">
        <v>73</v>
      </c>
      <c r="AF19" s="5" t="s">
        <v>73</v>
      </c>
      <c r="AG19" s="5">
        <v>45756.583333333328</v>
      </c>
      <c r="AH19" s="146" t="s">
        <v>84</v>
      </c>
      <c r="AI19" s="3">
        <v>1</v>
      </c>
      <c r="AJ19" s="1" t="s">
        <v>846</v>
      </c>
      <c r="AK19" s="1" t="s">
        <v>668</v>
      </c>
      <c r="AL19" s="1" t="s">
        <v>616</v>
      </c>
      <c r="AM19" s="1" t="s">
        <v>617</v>
      </c>
      <c r="AN19" s="1" t="s">
        <v>71</v>
      </c>
      <c r="AO19" s="1" t="s">
        <v>863</v>
      </c>
      <c r="AP19" s="1" t="s">
        <v>864</v>
      </c>
      <c r="AQ19" s="1" t="s">
        <v>865</v>
      </c>
      <c r="AR19" s="1" t="s">
        <v>858</v>
      </c>
      <c r="AS19" s="1" t="s">
        <v>866</v>
      </c>
      <c r="AT19" s="1" t="s">
        <v>110</v>
      </c>
      <c r="AU19" s="1" t="s">
        <v>108</v>
      </c>
      <c r="AV19" s="1" t="s">
        <v>859</v>
      </c>
      <c r="AW19" s="1" t="s">
        <v>859</v>
      </c>
      <c r="AX19" s="146" t="s">
        <v>65</v>
      </c>
      <c r="AY19" s="2">
        <v>2</v>
      </c>
      <c r="AZ19" s="1" t="s">
        <v>813</v>
      </c>
      <c r="BA19" s="3">
        <v>0.06</v>
      </c>
      <c r="BB19" s="3">
        <v>3.3333500000000002E-2</v>
      </c>
      <c r="BC19" s="3">
        <v>3.3333000000000002E-2</v>
      </c>
      <c r="BD19" s="3">
        <v>3.3333000000000002E-2</v>
      </c>
      <c r="BE19" s="3">
        <v>6.6666666666666693E-2</v>
      </c>
      <c r="BF19" s="1" t="s">
        <v>73</v>
      </c>
      <c r="BG19" s="1" t="s">
        <v>73</v>
      </c>
      <c r="BH19" s="1" t="s">
        <v>73</v>
      </c>
      <c r="BI19" s="1" t="s">
        <v>73</v>
      </c>
      <c r="BJ19" s="1" t="s">
        <v>73</v>
      </c>
      <c r="BK19" s="1" t="s">
        <v>851</v>
      </c>
      <c r="BL19" s="1" t="s">
        <v>852</v>
      </c>
      <c r="BM19" s="1" t="s">
        <v>853</v>
      </c>
    </row>
    <row r="20" spans="1:65" outlineLevel="1" x14ac:dyDescent="0.25">
      <c r="A20" s="1" t="s">
        <v>662</v>
      </c>
      <c r="B20" s="1" t="s">
        <v>663</v>
      </c>
      <c r="C20" s="2">
        <v>14</v>
      </c>
      <c r="D20" s="3">
        <v>0</v>
      </c>
      <c r="E20" s="4">
        <v>0</v>
      </c>
      <c r="F20" s="1" t="s">
        <v>60</v>
      </c>
      <c r="G20" s="2" t="s">
        <v>420</v>
      </c>
      <c r="H20" s="1" t="s">
        <v>62</v>
      </c>
      <c r="I20" s="1" t="s">
        <v>81</v>
      </c>
      <c r="J20" s="2" t="s">
        <v>82</v>
      </c>
      <c r="K20" s="2" t="s">
        <v>399</v>
      </c>
      <c r="L20" s="1" t="s">
        <v>867</v>
      </c>
      <c r="M20" s="1" t="s">
        <v>868</v>
      </c>
      <c r="N20" s="1" t="s">
        <v>869</v>
      </c>
      <c r="O20" s="146" t="s">
        <v>65</v>
      </c>
      <c r="P20" s="5">
        <v>45754.333333333328</v>
      </c>
      <c r="Q20" s="6">
        <v>45756</v>
      </c>
      <c r="R20" s="5">
        <v>45756.592928240738</v>
      </c>
      <c r="S20" s="1" t="s">
        <v>667</v>
      </c>
      <c r="T20" s="1" t="s">
        <v>668</v>
      </c>
      <c r="U20" s="1" t="s">
        <v>617</v>
      </c>
      <c r="V20" s="1" t="s">
        <v>616</v>
      </c>
      <c r="W20" s="1" t="s">
        <v>70</v>
      </c>
      <c r="X20" s="1" t="s">
        <v>71</v>
      </c>
      <c r="Y20" s="2" t="s">
        <v>473</v>
      </c>
      <c r="Z20" s="1" t="s">
        <v>473</v>
      </c>
      <c r="AA20" s="2" t="s">
        <v>73</v>
      </c>
      <c r="AB20" s="1" t="s">
        <v>811</v>
      </c>
      <c r="AC20" s="2" t="s">
        <v>398</v>
      </c>
      <c r="AD20" s="2" t="s">
        <v>73</v>
      </c>
      <c r="AE20" s="2" t="s">
        <v>73</v>
      </c>
      <c r="AF20" s="5" t="s">
        <v>73</v>
      </c>
      <c r="AG20" s="5">
        <v>45756.583333333328</v>
      </c>
      <c r="AH20" s="146" t="s">
        <v>84</v>
      </c>
      <c r="AI20" s="3">
        <v>2</v>
      </c>
      <c r="AJ20" s="1" t="s">
        <v>846</v>
      </c>
      <c r="AK20" s="1" t="s">
        <v>668</v>
      </c>
      <c r="AL20" s="1" t="s">
        <v>616</v>
      </c>
      <c r="AM20" s="1" t="s">
        <v>617</v>
      </c>
      <c r="AN20" s="1" t="s">
        <v>71</v>
      </c>
      <c r="AO20" s="1" t="s">
        <v>870</v>
      </c>
      <c r="AP20" s="1" t="s">
        <v>871</v>
      </c>
      <c r="AQ20" s="1" t="s">
        <v>120</v>
      </c>
      <c r="AR20" s="1" t="s">
        <v>858</v>
      </c>
      <c r="AS20" s="1" t="s">
        <v>315</v>
      </c>
      <c r="AT20" s="1" t="s">
        <v>110</v>
      </c>
      <c r="AU20" s="1" t="s">
        <v>108</v>
      </c>
      <c r="AV20" s="1" t="s">
        <v>859</v>
      </c>
      <c r="AW20" s="1" t="s">
        <v>859</v>
      </c>
      <c r="AX20" s="146" t="s">
        <v>65</v>
      </c>
      <c r="AY20" s="2">
        <v>2</v>
      </c>
      <c r="AZ20" s="1" t="s">
        <v>813</v>
      </c>
      <c r="BA20" s="3">
        <v>0.06</v>
      </c>
      <c r="BB20" s="3">
        <v>6.6666500000000004E-2</v>
      </c>
      <c r="BC20" s="3">
        <v>6.6667000000000004E-2</v>
      </c>
      <c r="BD20" s="3">
        <v>6.6667000000000004E-2</v>
      </c>
      <c r="BE20" s="3">
        <v>0.133333333333333</v>
      </c>
      <c r="BF20" s="1" t="s">
        <v>73</v>
      </c>
      <c r="BG20" s="1" t="s">
        <v>73</v>
      </c>
      <c r="BH20" s="1" t="s">
        <v>73</v>
      </c>
      <c r="BI20" s="1" t="s">
        <v>73</v>
      </c>
      <c r="BJ20" s="1" t="s">
        <v>73</v>
      </c>
      <c r="BK20" s="1" t="s">
        <v>851</v>
      </c>
      <c r="BL20" s="1" t="s">
        <v>852</v>
      </c>
      <c r="BM20" s="1" t="s">
        <v>853</v>
      </c>
    </row>
    <row r="21" spans="1:65" x14ac:dyDescent="0.25">
      <c r="A21" s="142" t="s">
        <v>763</v>
      </c>
      <c r="B21" s="142"/>
      <c r="C21" s="143" t="str">
        <f>CONCATENATE("Max=",TEXT(SUBTOTAL(4,C22:C25), "0"),"")</f>
        <v>Max=4</v>
      </c>
      <c r="D21" s="144" t="str">
        <f>CONCATENATE("∑=",IF(SUBTOTAL(9,D22:D25)=TRUNC(SUBTOTAL(9,D22:D25)),TEXT(SUBTOTAL(9,D22:D25), "0"),TEXT(SUBTOTAL(9,D22:D25), "#,##")),"")</f>
        <v>∑=1084,49</v>
      </c>
      <c r="E21" s="145" t="str">
        <f>CONCATENATE("∑=",IF(SUBTOTAL(9,E22:E25)=TRUNC(SUBTOTAL(9,E22:E25)),TEXT(SUBTOTAL(9,E22:E25), "0"),TEXT(SUBTOTAL(9,E22:E25), "#,##")),"")</f>
        <v>∑=6,89</v>
      </c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</row>
    <row r="22" spans="1:65" outlineLevel="1" x14ac:dyDescent="0.25">
      <c r="A22" s="1" t="s">
        <v>764</v>
      </c>
      <c r="B22" s="1" t="s">
        <v>765</v>
      </c>
      <c r="C22" s="2">
        <v>1</v>
      </c>
      <c r="D22" s="3">
        <v>929.93</v>
      </c>
      <c r="E22" s="4">
        <v>5.8419999999999996</v>
      </c>
      <c r="F22" s="1" t="s">
        <v>60</v>
      </c>
      <c r="G22" s="2" t="s">
        <v>420</v>
      </c>
      <c r="H22" s="1" t="s">
        <v>62</v>
      </c>
      <c r="I22" s="1" t="s">
        <v>81</v>
      </c>
      <c r="J22" s="2" t="s">
        <v>82</v>
      </c>
      <c r="K22" s="2" t="s">
        <v>399</v>
      </c>
      <c r="L22" s="1" t="s">
        <v>754</v>
      </c>
      <c r="M22" s="1" t="s">
        <v>755</v>
      </c>
      <c r="N22" s="1" t="s">
        <v>766</v>
      </c>
      <c r="O22" s="146" t="s">
        <v>65</v>
      </c>
      <c r="P22" s="5">
        <v>45755.333333333328</v>
      </c>
      <c r="Q22" s="6">
        <v>45757</v>
      </c>
      <c r="R22" s="5">
        <v>45757.354201388887</v>
      </c>
      <c r="S22" s="1" t="s">
        <v>667</v>
      </c>
      <c r="T22" s="1" t="s">
        <v>668</v>
      </c>
      <c r="U22" s="1" t="s">
        <v>617</v>
      </c>
      <c r="V22" s="1" t="s">
        <v>616</v>
      </c>
      <c r="W22" s="1" t="s">
        <v>70</v>
      </c>
      <c r="X22" s="1" t="s">
        <v>71</v>
      </c>
      <c r="Y22" s="2" t="s">
        <v>476</v>
      </c>
      <c r="Z22" s="1" t="s">
        <v>767</v>
      </c>
      <c r="AA22" s="2" t="s">
        <v>73</v>
      </c>
      <c r="AB22" s="1" t="s">
        <v>872</v>
      </c>
      <c r="AC22" s="2" t="s">
        <v>73</v>
      </c>
      <c r="AD22" s="2" t="s">
        <v>73</v>
      </c>
      <c r="AE22" s="2" t="s">
        <v>73</v>
      </c>
      <c r="AF22" s="5">
        <v>45757.354166666664</v>
      </c>
      <c r="AG22" s="5">
        <v>45757.333333333328</v>
      </c>
      <c r="AH22" s="146" t="s">
        <v>84</v>
      </c>
      <c r="AI22" s="3">
        <v>28</v>
      </c>
      <c r="AJ22" s="1" t="s">
        <v>768</v>
      </c>
      <c r="AK22" s="1" t="s">
        <v>769</v>
      </c>
      <c r="AL22" s="1" t="s">
        <v>770</v>
      </c>
      <c r="AM22" s="1" t="s">
        <v>771</v>
      </c>
      <c r="AN22" s="1" t="s">
        <v>71</v>
      </c>
      <c r="AO22" s="1" t="s">
        <v>756</v>
      </c>
      <c r="AP22" s="1" t="s">
        <v>756</v>
      </c>
      <c r="AQ22" s="1" t="s">
        <v>757</v>
      </c>
      <c r="AR22" s="1" t="s">
        <v>114</v>
      </c>
      <c r="AS22" s="1" t="s">
        <v>758</v>
      </c>
      <c r="AT22" s="1" t="s">
        <v>759</v>
      </c>
      <c r="AU22" s="1" t="s">
        <v>760</v>
      </c>
      <c r="AV22" s="1" t="s">
        <v>761</v>
      </c>
      <c r="AW22" s="1" t="s">
        <v>762</v>
      </c>
      <c r="AX22" s="146" t="s">
        <v>65</v>
      </c>
      <c r="AY22" s="2">
        <v>2</v>
      </c>
      <c r="AZ22" s="1" t="s">
        <v>772</v>
      </c>
      <c r="BA22" s="3">
        <v>65.47</v>
      </c>
      <c r="BB22" s="3">
        <v>4.3</v>
      </c>
      <c r="BC22" s="3">
        <v>5.9666670000000002</v>
      </c>
      <c r="BD22" s="3">
        <v>2.6333329999999999</v>
      </c>
      <c r="BE22" s="3">
        <v>8.6</v>
      </c>
      <c r="BF22" s="1" t="s">
        <v>73</v>
      </c>
      <c r="BG22" s="1" t="s">
        <v>73</v>
      </c>
      <c r="BH22" s="1" t="s">
        <v>73</v>
      </c>
      <c r="BI22" s="1" t="s">
        <v>73</v>
      </c>
      <c r="BJ22" s="1" t="s">
        <v>73</v>
      </c>
      <c r="BK22" s="1" t="s">
        <v>731</v>
      </c>
      <c r="BL22" s="1" t="s">
        <v>732</v>
      </c>
      <c r="BM22" s="1" t="s">
        <v>733</v>
      </c>
    </row>
    <row r="23" spans="1:65" outlineLevel="1" x14ac:dyDescent="0.25">
      <c r="A23" s="1" t="s">
        <v>764</v>
      </c>
      <c r="B23" s="1" t="s">
        <v>765</v>
      </c>
      <c r="C23" s="2">
        <v>2</v>
      </c>
      <c r="D23" s="3">
        <v>43.7</v>
      </c>
      <c r="E23" s="4">
        <v>0.30399999999999999</v>
      </c>
      <c r="F23" s="1" t="s">
        <v>60</v>
      </c>
      <c r="G23" s="2" t="s">
        <v>420</v>
      </c>
      <c r="H23" s="1" t="s">
        <v>62</v>
      </c>
      <c r="I23" s="1" t="s">
        <v>81</v>
      </c>
      <c r="J23" s="2" t="s">
        <v>82</v>
      </c>
      <c r="K23" s="2" t="s">
        <v>399</v>
      </c>
      <c r="L23" s="1" t="s">
        <v>747</v>
      </c>
      <c r="M23" s="1" t="s">
        <v>748</v>
      </c>
      <c r="N23" s="1" t="s">
        <v>773</v>
      </c>
      <c r="O23" s="146" t="s">
        <v>65</v>
      </c>
      <c r="P23" s="5">
        <v>45756.333333333328</v>
      </c>
      <c r="Q23" s="6">
        <v>45757</v>
      </c>
      <c r="R23" s="5">
        <v>45757.539467592593</v>
      </c>
      <c r="S23" s="1" t="s">
        <v>667</v>
      </c>
      <c r="T23" s="1" t="s">
        <v>668</v>
      </c>
      <c r="U23" s="1" t="s">
        <v>617</v>
      </c>
      <c r="V23" s="1" t="s">
        <v>616</v>
      </c>
      <c r="W23" s="1" t="s">
        <v>70</v>
      </c>
      <c r="X23" s="1" t="s">
        <v>71</v>
      </c>
      <c r="Y23" s="2" t="s">
        <v>476</v>
      </c>
      <c r="Z23" s="1" t="s">
        <v>767</v>
      </c>
      <c r="AA23" s="2" t="s">
        <v>73</v>
      </c>
      <c r="AB23" s="1" t="s">
        <v>872</v>
      </c>
      <c r="AC23" s="2" t="s">
        <v>73</v>
      </c>
      <c r="AD23" s="2" t="s">
        <v>73</v>
      </c>
      <c r="AE23" s="2" t="s">
        <v>73</v>
      </c>
      <c r="AF23" s="5" t="s">
        <v>73</v>
      </c>
      <c r="AG23" s="5">
        <v>45757.5</v>
      </c>
      <c r="AH23" s="146" t="s">
        <v>84</v>
      </c>
      <c r="AI23" s="3">
        <v>2</v>
      </c>
      <c r="AJ23" s="1" t="s">
        <v>774</v>
      </c>
      <c r="AK23" s="1" t="s">
        <v>775</v>
      </c>
      <c r="AL23" s="1" t="s">
        <v>776</v>
      </c>
      <c r="AM23" s="1" t="s">
        <v>777</v>
      </c>
      <c r="AN23" s="1" t="s">
        <v>71</v>
      </c>
      <c r="AO23" s="1" t="s">
        <v>749</v>
      </c>
      <c r="AP23" s="1" t="s">
        <v>750</v>
      </c>
      <c r="AQ23" s="1" t="s">
        <v>120</v>
      </c>
      <c r="AR23" s="1" t="s">
        <v>114</v>
      </c>
      <c r="AS23" s="1" t="s">
        <v>89</v>
      </c>
      <c r="AT23" s="1" t="s">
        <v>751</v>
      </c>
      <c r="AU23" s="1" t="s">
        <v>127</v>
      </c>
      <c r="AV23" s="1" t="s">
        <v>752</v>
      </c>
      <c r="AW23" s="1" t="s">
        <v>753</v>
      </c>
      <c r="AX23" s="146" t="s">
        <v>65</v>
      </c>
      <c r="AY23" s="2">
        <v>2</v>
      </c>
      <c r="AZ23" s="1" t="s">
        <v>772</v>
      </c>
      <c r="BA23" s="3">
        <v>62.19</v>
      </c>
      <c r="BB23" s="3">
        <v>8.3333500000000005E-2</v>
      </c>
      <c r="BC23" s="3">
        <v>6.6667000000000004E-2</v>
      </c>
      <c r="BD23" s="3">
        <v>0.1</v>
      </c>
      <c r="BE23" s="3">
        <v>0.16666666666666699</v>
      </c>
      <c r="BF23" s="1" t="s">
        <v>73</v>
      </c>
      <c r="BG23" s="1" t="s">
        <v>73</v>
      </c>
      <c r="BH23" s="1" t="s">
        <v>73</v>
      </c>
      <c r="BI23" s="1" t="s">
        <v>73</v>
      </c>
      <c r="BJ23" s="1" t="s">
        <v>73</v>
      </c>
      <c r="BK23" s="1" t="s">
        <v>103</v>
      </c>
      <c r="BL23" s="1" t="s">
        <v>104</v>
      </c>
      <c r="BM23" s="1" t="s">
        <v>105</v>
      </c>
    </row>
    <row r="24" spans="1:65" outlineLevel="1" x14ac:dyDescent="0.25">
      <c r="A24" s="1" t="s">
        <v>764</v>
      </c>
      <c r="B24" s="1" t="s">
        <v>765</v>
      </c>
      <c r="C24" s="2">
        <v>3</v>
      </c>
      <c r="D24" s="3">
        <v>38</v>
      </c>
      <c r="E24" s="4">
        <v>0.19400000000000001</v>
      </c>
      <c r="F24" s="1" t="s">
        <v>60</v>
      </c>
      <c r="G24" s="2" t="s">
        <v>420</v>
      </c>
      <c r="H24" s="1" t="s">
        <v>62</v>
      </c>
      <c r="I24" s="1" t="s">
        <v>81</v>
      </c>
      <c r="J24" s="2" t="s">
        <v>82</v>
      </c>
      <c r="K24" s="2" t="s">
        <v>399</v>
      </c>
      <c r="L24" s="1" t="s">
        <v>742</v>
      </c>
      <c r="M24" s="1" t="s">
        <v>743</v>
      </c>
      <c r="N24" s="1" t="s">
        <v>778</v>
      </c>
      <c r="O24" s="146" t="s">
        <v>65</v>
      </c>
      <c r="P24" s="5">
        <v>45756.333333333328</v>
      </c>
      <c r="Q24" s="6">
        <v>45757</v>
      </c>
      <c r="R24" s="5">
        <v>45757.571041666662</v>
      </c>
      <c r="S24" s="1" t="s">
        <v>667</v>
      </c>
      <c r="T24" s="1" t="s">
        <v>668</v>
      </c>
      <c r="U24" s="1" t="s">
        <v>617</v>
      </c>
      <c r="V24" s="1" t="s">
        <v>616</v>
      </c>
      <c r="W24" s="1" t="s">
        <v>70</v>
      </c>
      <c r="X24" s="1" t="s">
        <v>71</v>
      </c>
      <c r="Y24" s="2" t="s">
        <v>476</v>
      </c>
      <c r="Z24" s="1" t="s">
        <v>767</v>
      </c>
      <c r="AA24" s="2" t="s">
        <v>73</v>
      </c>
      <c r="AB24" s="1" t="s">
        <v>872</v>
      </c>
      <c r="AC24" s="2" t="s">
        <v>73</v>
      </c>
      <c r="AD24" s="2" t="s">
        <v>73</v>
      </c>
      <c r="AE24" s="2" t="s">
        <v>73</v>
      </c>
      <c r="AF24" s="5" t="s">
        <v>73</v>
      </c>
      <c r="AG24" s="5">
        <v>45757.541666666664</v>
      </c>
      <c r="AH24" s="146" t="s">
        <v>84</v>
      </c>
      <c r="AI24" s="3">
        <v>1</v>
      </c>
      <c r="AJ24" s="1" t="s">
        <v>779</v>
      </c>
      <c r="AK24" s="1" t="s">
        <v>780</v>
      </c>
      <c r="AL24" s="1" t="s">
        <v>781</v>
      </c>
      <c r="AM24" s="1" t="s">
        <v>782</v>
      </c>
      <c r="AN24" s="1" t="s">
        <v>71</v>
      </c>
      <c r="AO24" s="1" t="s">
        <v>744</v>
      </c>
      <c r="AP24" s="1" t="s">
        <v>744</v>
      </c>
      <c r="AQ24" s="1" t="s">
        <v>115</v>
      </c>
      <c r="AR24" s="1" t="s">
        <v>114</v>
      </c>
      <c r="AS24" s="1" t="s">
        <v>89</v>
      </c>
      <c r="AT24" s="1" t="s">
        <v>745</v>
      </c>
      <c r="AU24" s="1" t="s">
        <v>108</v>
      </c>
      <c r="AV24" s="1" t="s">
        <v>746</v>
      </c>
      <c r="AW24" s="1" t="s">
        <v>746</v>
      </c>
      <c r="AX24" s="146" t="s">
        <v>65</v>
      </c>
      <c r="AY24" s="2">
        <v>2</v>
      </c>
      <c r="AZ24" s="1" t="s">
        <v>772</v>
      </c>
      <c r="BA24" s="3">
        <v>31.15</v>
      </c>
      <c r="BB24" s="3">
        <v>7.4999999999999997E-2</v>
      </c>
      <c r="BC24" s="3">
        <v>0.05</v>
      </c>
      <c r="BD24" s="3">
        <v>0.1</v>
      </c>
      <c r="BE24" s="3">
        <v>0.15</v>
      </c>
      <c r="BF24" s="1" t="s">
        <v>73</v>
      </c>
      <c r="BG24" s="1" t="s">
        <v>73</v>
      </c>
      <c r="BH24" s="1" t="s">
        <v>73</v>
      </c>
      <c r="BI24" s="1" t="s">
        <v>73</v>
      </c>
      <c r="BJ24" s="1" t="s">
        <v>73</v>
      </c>
      <c r="BK24" s="1" t="s">
        <v>360</v>
      </c>
      <c r="BL24" s="1" t="s">
        <v>361</v>
      </c>
      <c r="BM24" s="1" t="s">
        <v>362</v>
      </c>
    </row>
    <row r="25" spans="1:65" outlineLevel="1" x14ac:dyDescent="0.25">
      <c r="A25" s="1" t="s">
        <v>764</v>
      </c>
      <c r="B25" s="1" t="s">
        <v>765</v>
      </c>
      <c r="C25" s="2">
        <v>4</v>
      </c>
      <c r="D25" s="3">
        <v>72.86</v>
      </c>
      <c r="E25" s="4">
        <v>0.55100000000000005</v>
      </c>
      <c r="F25" s="1" t="s">
        <v>60</v>
      </c>
      <c r="G25" s="2" t="s">
        <v>420</v>
      </c>
      <c r="H25" s="1" t="s">
        <v>62</v>
      </c>
      <c r="I25" s="1" t="s">
        <v>81</v>
      </c>
      <c r="J25" s="2" t="s">
        <v>82</v>
      </c>
      <c r="K25" s="2" t="s">
        <v>399</v>
      </c>
      <c r="L25" s="1" t="s">
        <v>734</v>
      </c>
      <c r="M25" s="1" t="s">
        <v>735</v>
      </c>
      <c r="N25" s="1" t="s">
        <v>783</v>
      </c>
      <c r="O25" s="146" t="s">
        <v>65</v>
      </c>
      <c r="P25" s="5">
        <v>45754.333333333328</v>
      </c>
      <c r="Q25" s="6">
        <v>45757</v>
      </c>
      <c r="R25" s="5">
        <v>45757.588877314811</v>
      </c>
      <c r="S25" s="1" t="s">
        <v>667</v>
      </c>
      <c r="T25" s="1" t="s">
        <v>668</v>
      </c>
      <c r="U25" s="1" t="s">
        <v>617</v>
      </c>
      <c r="V25" s="1" t="s">
        <v>616</v>
      </c>
      <c r="W25" s="1" t="s">
        <v>70</v>
      </c>
      <c r="X25" s="1" t="s">
        <v>71</v>
      </c>
      <c r="Y25" s="2" t="s">
        <v>476</v>
      </c>
      <c r="Z25" s="1" t="s">
        <v>767</v>
      </c>
      <c r="AA25" s="2" t="s">
        <v>73</v>
      </c>
      <c r="AB25" s="1" t="s">
        <v>872</v>
      </c>
      <c r="AC25" s="2" t="s">
        <v>73</v>
      </c>
      <c r="AD25" s="2" t="s">
        <v>73</v>
      </c>
      <c r="AE25" s="2" t="s">
        <v>73</v>
      </c>
      <c r="AF25" s="5" t="s">
        <v>73</v>
      </c>
      <c r="AG25" s="5">
        <v>45757.583333333328</v>
      </c>
      <c r="AH25" s="146" t="s">
        <v>84</v>
      </c>
      <c r="AI25" s="3">
        <v>2</v>
      </c>
      <c r="AJ25" s="1" t="s">
        <v>784</v>
      </c>
      <c r="AK25" s="1" t="s">
        <v>785</v>
      </c>
      <c r="AL25" s="1" t="s">
        <v>786</v>
      </c>
      <c r="AM25" s="1" t="s">
        <v>787</v>
      </c>
      <c r="AN25" s="1" t="s">
        <v>71</v>
      </c>
      <c r="AO25" s="1" t="s">
        <v>736</v>
      </c>
      <c r="AP25" s="1" t="s">
        <v>737</v>
      </c>
      <c r="AQ25" s="1" t="s">
        <v>75</v>
      </c>
      <c r="AR25" s="1" t="s">
        <v>114</v>
      </c>
      <c r="AS25" s="1" t="s">
        <v>738</v>
      </c>
      <c r="AT25" s="1" t="s">
        <v>739</v>
      </c>
      <c r="AU25" s="1" t="s">
        <v>127</v>
      </c>
      <c r="AV25" s="1" t="s">
        <v>740</v>
      </c>
      <c r="AW25" s="1" t="s">
        <v>741</v>
      </c>
      <c r="AX25" s="146" t="s">
        <v>65</v>
      </c>
      <c r="AY25" s="2">
        <v>2</v>
      </c>
      <c r="AZ25" s="1" t="s">
        <v>772</v>
      </c>
      <c r="BA25" s="3" t="s">
        <v>73</v>
      </c>
      <c r="BB25" s="3">
        <v>0.24166650000000001</v>
      </c>
      <c r="BC25" s="3">
        <v>0.283333</v>
      </c>
      <c r="BD25" s="3">
        <v>0.2</v>
      </c>
      <c r="BE25" s="3">
        <v>0.483333333333333</v>
      </c>
      <c r="BF25" s="1" t="s">
        <v>73</v>
      </c>
      <c r="BG25" s="1" t="s">
        <v>73</v>
      </c>
      <c r="BH25" s="1" t="s">
        <v>73</v>
      </c>
      <c r="BI25" s="1" t="s">
        <v>73</v>
      </c>
      <c r="BJ25" s="1" t="s">
        <v>73</v>
      </c>
      <c r="BK25" s="1" t="s">
        <v>658</v>
      </c>
      <c r="BL25" s="1" t="s">
        <v>659</v>
      </c>
      <c r="BM25" s="1" t="s">
        <v>660</v>
      </c>
    </row>
    <row r="26" spans="1:65" x14ac:dyDescent="0.25">
      <c r="A26" s="142" t="s">
        <v>884</v>
      </c>
      <c r="B26" s="142"/>
      <c r="C26" s="143" t="str">
        <f>CONCATENATE("Max=",TEXT(SUBTOTAL(4,C27), "0"),"")</f>
        <v>Max=0</v>
      </c>
      <c r="D26" s="144" t="str">
        <f>CONCATENATE("∑=",IF(SUBTOTAL(9,D27)=TRUNC(SUBTOTAL(9,D27)),TEXT(SUBTOTAL(9,D27), "0"),TEXT(SUBTOTAL(9,D27), "#,##")),"")</f>
        <v>∑=968,54</v>
      </c>
      <c r="E26" s="145" t="str">
        <f>CONCATENATE("∑=",IF(SUBTOTAL(9,E27)=TRUNC(SUBTOTAL(9,E27)),TEXT(SUBTOTAL(9,E27), "0"),TEXT(SUBTOTAL(9,E27), "#,##")),"")</f>
        <v>∑=6,19</v>
      </c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</row>
    <row r="27" spans="1:65" outlineLevel="1" x14ac:dyDescent="0.25">
      <c r="A27" s="1" t="s">
        <v>885</v>
      </c>
      <c r="B27" s="1" t="s">
        <v>886</v>
      </c>
      <c r="C27" s="2">
        <v>0</v>
      </c>
      <c r="D27" s="3">
        <v>968.54</v>
      </c>
      <c r="E27" s="4">
        <v>6.194</v>
      </c>
      <c r="F27" s="1" t="s">
        <v>60</v>
      </c>
      <c r="G27" s="2" t="s">
        <v>420</v>
      </c>
      <c r="H27" s="1" t="s">
        <v>62</v>
      </c>
      <c r="I27" s="1" t="s">
        <v>81</v>
      </c>
      <c r="J27" s="2" t="s">
        <v>390</v>
      </c>
      <c r="K27" s="2" t="s">
        <v>399</v>
      </c>
      <c r="L27" s="1" t="s">
        <v>873</v>
      </c>
      <c r="M27" s="1" t="s">
        <v>874</v>
      </c>
      <c r="N27" s="1" t="s">
        <v>887</v>
      </c>
      <c r="O27" s="146" t="s">
        <v>65</v>
      </c>
      <c r="P27" s="5">
        <v>45754.333333333328</v>
      </c>
      <c r="Q27" s="6">
        <v>45758</v>
      </c>
      <c r="R27" s="5">
        <v>45758.375034722223</v>
      </c>
      <c r="S27" s="1" t="s">
        <v>667</v>
      </c>
      <c r="T27" s="1" t="s">
        <v>668</v>
      </c>
      <c r="U27" s="1" t="s">
        <v>617</v>
      </c>
      <c r="V27" s="1" t="s">
        <v>616</v>
      </c>
      <c r="W27" s="1" t="s">
        <v>70</v>
      </c>
      <c r="X27" s="1" t="s">
        <v>71</v>
      </c>
      <c r="Y27" s="2" t="s">
        <v>476</v>
      </c>
      <c r="Z27" s="1" t="s">
        <v>767</v>
      </c>
      <c r="AA27" s="2" t="s">
        <v>73</v>
      </c>
      <c r="AB27" s="1" t="s">
        <v>872</v>
      </c>
      <c r="AC27" s="2" t="s">
        <v>73</v>
      </c>
      <c r="AD27" s="2" t="s">
        <v>73</v>
      </c>
      <c r="AE27" s="2" t="s">
        <v>73</v>
      </c>
      <c r="AF27" s="5">
        <v>45758.375</v>
      </c>
      <c r="AG27" s="5">
        <v>45758.375</v>
      </c>
      <c r="AH27" s="146" t="s">
        <v>84</v>
      </c>
      <c r="AI27" s="3">
        <v>14</v>
      </c>
      <c r="AJ27" s="1" t="s">
        <v>888</v>
      </c>
      <c r="AK27" s="1" t="s">
        <v>889</v>
      </c>
      <c r="AL27" s="1" t="s">
        <v>890</v>
      </c>
      <c r="AM27" s="1" t="s">
        <v>891</v>
      </c>
      <c r="AN27" s="1" t="s">
        <v>71</v>
      </c>
      <c r="AO27" s="1" t="s">
        <v>875</v>
      </c>
      <c r="AP27" s="1" t="s">
        <v>876</v>
      </c>
      <c r="AQ27" s="1" t="s">
        <v>877</v>
      </c>
      <c r="AR27" s="1" t="s">
        <v>878</v>
      </c>
      <c r="AS27" s="1" t="s">
        <v>879</v>
      </c>
      <c r="AT27" s="1" t="s">
        <v>880</v>
      </c>
      <c r="AU27" s="1" t="s">
        <v>881</v>
      </c>
      <c r="AV27" s="1" t="s">
        <v>882</v>
      </c>
      <c r="AW27" s="1" t="s">
        <v>883</v>
      </c>
      <c r="AX27" s="146" t="s">
        <v>65</v>
      </c>
      <c r="AY27" s="2">
        <v>2</v>
      </c>
      <c r="AZ27" s="1" t="s">
        <v>892</v>
      </c>
      <c r="BA27" s="3">
        <v>76.12</v>
      </c>
      <c r="BB27" s="3">
        <v>5.4666664999999997</v>
      </c>
      <c r="BC27" s="3">
        <v>8.7833330000000007</v>
      </c>
      <c r="BD27" s="3">
        <v>2.15</v>
      </c>
      <c r="BE27" s="3">
        <v>10.9333333333333</v>
      </c>
      <c r="BF27" s="1" t="s">
        <v>73</v>
      </c>
      <c r="BG27" s="1" t="s">
        <v>73</v>
      </c>
      <c r="BH27" s="1" t="s">
        <v>73</v>
      </c>
      <c r="BI27" s="1" t="s">
        <v>73</v>
      </c>
      <c r="BJ27" s="1" t="s">
        <v>73</v>
      </c>
      <c r="BK27" s="1" t="s">
        <v>840</v>
      </c>
      <c r="BL27" s="1" t="s">
        <v>841</v>
      </c>
      <c r="BM27" s="1" t="s">
        <v>842</v>
      </c>
    </row>
    <row r="28" spans="1:65" x14ac:dyDescent="0.25">
      <c r="A28" s="142" t="s">
        <v>952</v>
      </c>
      <c r="B28" s="142"/>
      <c r="C28" s="143" t="str">
        <f>CONCATENATE("Max=",TEXT(SUBTOTAL(4,C29:C32), "0"),"")</f>
        <v>Max=4</v>
      </c>
      <c r="D28" s="144" t="str">
        <f>CONCATENATE("∑=",IF(SUBTOTAL(9,D29:D32)=TRUNC(SUBTOTAL(9,D29:D32)),TEXT(SUBTOTAL(9,D29:D32), "0"),TEXT(SUBTOTAL(9,D29:D32), "#,##")),"")</f>
        <v>∑=849,8</v>
      </c>
      <c r="E28" s="145" t="str">
        <f>CONCATENATE("∑=",IF(SUBTOTAL(9,E29:E32)=TRUNC(SUBTOTAL(9,E29:E32)),TEXT(SUBTOTAL(9,E29:E32), "0"),TEXT(SUBTOTAL(9,E29:E32), "#,##")),"")</f>
        <v>∑=5,78</v>
      </c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</row>
    <row r="29" spans="1:65" outlineLevel="1" x14ac:dyDescent="0.25">
      <c r="A29" s="1" t="s">
        <v>953</v>
      </c>
      <c r="B29" s="1" t="s">
        <v>954</v>
      </c>
      <c r="C29" s="2">
        <v>1</v>
      </c>
      <c r="D29" s="3">
        <v>281.41000000000003</v>
      </c>
      <c r="E29" s="4">
        <v>2.33</v>
      </c>
      <c r="F29" s="1" t="s">
        <v>60</v>
      </c>
      <c r="G29" s="2" t="s">
        <v>422</v>
      </c>
      <c r="H29" s="1" t="s">
        <v>62</v>
      </c>
      <c r="I29" s="1" t="s">
        <v>81</v>
      </c>
      <c r="J29" s="2" t="s">
        <v>82</v>
      </c>
      <c r="K29" s="2" t="s">
        <v>399</v>
      </c>
      <c r="L29" s="1" t="s">
        <v>925</v>
      </c>
      <c r="M29" s="1" t="s">
        <v>926</v>
      </c>
      <c r="N29" s="1" t="s">
        <v>955</v>
      </c>
      <c r="O29" s="146" t="s">
        <v>65</v>
      </c>
      <c r="P29" s="5">
        <v>45755.333333333328</v>
      </c>
      <c r="Q29" s="6">
        <v>45755</v>
      </c>
      <c r="R29" s="5">
        <v>45755.375034722223</v>
      </c>
      <c r="S29" s="1" t="s">
        <v>667</v>
      </c>
      <c r="T29" s="1" t="s">
        <v>668</v>
      </c>
      <c r="U29" s="1" t="s">
        <v>617</v>
      </c>
      <c r="V29" s="1" t="s">
        <v>616</v>
      </c>
      <c r="W29" s="1" t="s">
        <v>70</v>
      </c>
      <c r="X29" s="1" t="s">
        <v>71</v>
      </c>
      <c r="Y29" s="2" t="s">
        <v>476</v>
      </c>
      <c r="Z29" s="1" t="s">
        <v>767</v>
      </c>
      <c r="AA29" s="2" t="s">
        <v>73</v>
      </c>
      <c r="AB29" s="1" t="s">
        <v>811</v>
      </c>
      <c r="AC29" s="2" t="s">
        <v>73</v>
      </c>
      <c r="AD29" s="2" t="s">
        <v>73</v>
      </c>
      <c r="AE29" s="2" t="s">
        <v>73</v>
      </c>
      <c r="AF29" s="5">
        <v>45755.375</v>
      </c>
      <c r="AG29" s="5">
        <v>45755.375</v>
      </c>
      <c r="AH29" s="146" t="s">
        <v>84</v>
      </c>
      <c r="AI29" s="3">
        <v>10</v>
      </c>
      <c r="AJ29" s="1" t="s">
        <v>956</v>
      </c>
      <c r="AK29" s="1" t="s">
        <v>957</v>
      </c>
      <c r="AL29" s="1" t="s">
        <v>958</v>
      </c>
      <c r="AM29" s="1" t="s">
        <v>959</v>
      </c>
      <c r="AN29" s="1" t="s">
        <v>71</v>
      </c>
      <c r="AO29" s="1" t="s">
        <v>927</v>
      </c>
      <c r="AP29" s="1" t="s">
        <v>928</v>
      </c>
      <c r="AQ29" s="1" t="s">
        <v>195</v>
      </c>
      <c r="AR29" s="1" t="s">
        <v>114</v>
      </c>
      <c r="AS29" s="1" t="s">
        <v>929</v>
      </c>
      <c r="AT29" s="1" t="s">
        <v>930</v>
      </c>
      <c r="AU29" s="1" t="s">
        <v>358</v>
      </c>
      <c r="AV29" s="1" t="s">
        <v>931</v>
      </c>
      <c r="AW29" s="1" t="s">
        <v>932</v>
      </c>
      <c r="AX29" s="146" t="s">
        <v>65</v>
      </c>
      <c r="AY29" s="2">
        <v>2</v>
      </c>
      <c r="AZ29" s="1" t="s">
        <v>960</v>
      </c>
      <c r="BA29" s="3">
        <v>99</v>
      </c>
      <c r="BB29" s="3">
        <v>2.3416665000000001</v>
      </c>
      <c r="BC29" s="3">
        <v>3.5</v>
      </c>
      <c r="BD29" s="3">
        <v>1.183333</v>
      </c>
      <c r="BE29" s="3">
        <v>4.68333333333333</v>
      </c>
      <c r="BF29" s="1" t="s">
        <v>73</v>
      </c>
      <c r="BG29" s="1" t="s">
        <v>73</v>
      </c>
      <c r="BH29" s="1" t="s">
        <v>73</v>
      </c>
      <c r="BI29" s="1" t="s">
        <v>73</v>
      </c>
      <c r="BJ29" s="1" t="s">
        <v>73</v>
      </c>
      <c r="BK29" s="1" t="s">
        <v>840</v>
      </c>
      <c r="BL29" s="1" t="s">
        <v>841</v>
      </c>
      <c r="BM29" s="1" t="s">
        <v>842</v>
      </c>
    </row>
    <row r="30" spans="1:65" outlineLevel="1" x14ac:dyDescent="0.25">
      <c r="A30" s="1" t="s">
        <v>953</v>
      </c>
      <c r="B30" s="1" t="s">
        <v>954</v>
      </c>
      <c r="C30" s="2">
        <v>2</v>
      </c>
      <c r="D30" s="3">
        <v>53.9</v>
      </c>
      <c r="E30" s="4">
        <v>0.153</v>
      </c>
      <c r="F30" s="1" t="s">
        <v>60</v>
      </c>
      <c r="G30" s="2" t="s">
        <v>422</v>
      </c>
      <c r="H30" s="1" t="s">
        <v>62</v>
      </c>
      <c r="I30" s="1" t="s">
        <v>81</v>
      </c>
      <c r="J30" s="2" t="s">
        <v>82</v>
      </c>
      <c r="K30" s="2" t="s">
        <v>399</v>
      </c>
      <c r="L30" s="1" t="s">
        <v>918</v>
      </c>
      <c r="M30" s="1" t="s">
        <v>919</v>
      </c>
      <c r="N30" s="1" t="s">
        <v>961</v>
      </c>
      <c r="O30" s="146" t="s">
        <v>65</v>
      </c>
      <c r="P30" s="5">
        <v>45754.333333333328</v>
      </c>
      <c r="Q30" s="6">
        <v>45755</v>
      </c>
      <c r="R30" s="5">
        <v>45755.472638888888</v>
      </c>
      <c r="S30" s="1" t="s">
        <v>667</v>
      </c>
      <c r="T30" s="1" t="s">
        <v>668</v>
      </c>
      <c r="U30" s="1" t="s">
        <v>617</v>
      </c>
      <c r="V30" s="1" t="s">
        <v>616</v>
      </c>
      <c r="W30" s="1" t="s">
        <v>70</v>
      </c>
      <c r="X30" s="1" t="s">
        <v>71</v>
      </c>
      <c r="Y30" s="2" t="s">
        <v>476</v>
      </c>
      <c r="Z30" s="1" t="s">
        <v>767</v>
      </c>
      <c r="AA30" s="2" t="s">
        <v>73</v>
      </c>
      <c r="AB30" s="1" t="s">
        <v>811</v>
      </c>
      <c r="AC30" s="2" t="s">
        <v>73</v>
      </c>
      <c r="AD30" s="2" t="s">
        <v>73</v>
      </c>
      <c r="AE30" s="2" t="s">
        <v>73</v>
      </c>
      <c r="AF30" s="5" t="s">
        <v>73</v>
      </c>
      <c r="AG30" s="5">
        <v>45755.458333333328</v>
      </c>
      <c r="AH30" s="146" t="s">
        <v>84</v>
      </c>
      <c r="AI30" s="3">
        <v>4</v>
      </c>
      <c r="AJ30" s="1" t="s">
        <v>962</v>
      </c>
      <c r="AK30" s="1" t="s">
        <v>963</v>
      </c>
      <c r="AL30" s="1" t="s">
        <v>964</v>
      </c>
      <c r="AM30" s="1" t="s">
        <v>959</v>
      </c>
      <c r="AN30" s="1" t="s">
        <v>71</v>
      </c>
      <c r="AO30" s="1" t="s">
        <v>920</v>
      </c>
      <c r="AP30" s="1" t="s">
        <v>921</v>
      </c>
      <c r="AQ30" s="1" t="s">
        <v>115</v>
      </c>
      <c r="AR30" s="1" t="s">
        <v>114</v>
      </c>
      <c r="AS30" s="1" t="s">
        <v>89</v>
      </c>
      <c r="AT30" s="1" t="s">
        <v>922</v>
      </c>
      <c r="AU30" s="1" t="s">
        <v>98</v>
      </c>
      <c r="AV30" s="1" t="s">
        <v>923</v>
      </c>
      <c r="AW30" s="1" t="s">
        <v>924</v>
      </c>
      <c r="AX30" s="146" t="s">
        <v>65</v>
      </c>
      <c r="AY30" s="2">
        <v>2</v>
      </c>
      <c r="AZ30" s="1" t="s">
        <v>960</v>
      </c>
      <c r="BA30" s="3">
        <v>99</v>
      </c>
      <c r="BB30" s="3">
        <v>0.61666650000000001</v>
      </c>
      <c r="BC30" s="3">
        <v>0.93333299999999997</v>
      </c>
      <c r="BD30" s="3">
        <v>0.3</v>
      </c>
      <c r="BE30" s="3">
        <v>1.2333333333333301</v>
      </c>
      <c r="BF30" s="1" t="s">
        <v>73</v>
      </c>
      <c r="BG30" s="1" t="s">
        <v>73</v>
      </c>
      <c r="BH30" s="1" t="s">
        <v>73</v>
      </c>
      <c r="BI30" s="1" t="s">
        <v>73</v>
      </c>
      <c r="BJ30" s="1" t="s">
        <v>73</v>
      </c>
      <c r="BK30" s="1" t="s">
        <v>840</v>
      </c>
      <c r="BL30" s="1" t="s">
        <v>841</v>
      </c>
      <c r="BM30" s="1" t="s">
        <v>842</v>
      </c>
    </row>
    <row r="31" spans="1:65" outlineLevel="1" x14ac:dyDescent="0.25">
      <c r="A31" s="1" t="s">
        <v>953</v>
      </c>
      <c r="B31" s="1" t="s">
        <v>954</v>
      </c>
      <c r="C31" s="2">
        <v>3</v>
      </c>
      <c r="D31" s="3">
        <v>0</v>
      </c>
      <c r="E31" s="4">
        <v>0</v>
      </c>
      <c r="F31" s="1" t="s">
        <v>60</v>
      </c>
      <c r="G31" s="2" t="s">
        <v>422</v>
      </c>
      <c r="H31" s="1" t="s">
        <v>62</v>
      </c>
      <c r="I31" s="1" t="s">
        <v>81</v>
      </c>
      <c r="J31" s="2" t="s">
        <v>82</v>
      </c>
      <c r="K31" s="2" t="s">
        <v>399</v>
      </c>
      <c r="L31" s="1" t="s">
        <v>933</v>
      </c>
      <c r="M31" s="1" t="s">
        <v>934</v>
      </c>
      <c r="N31" s="1" t="s">
        <v>965</v>
      </c>
      <c r="O31" s="146" t="s">
        <v>65</v>
      </c>
      <c r="P31" s="5">
        <v>45755.333333333328</v>
      </c>
      <c r="Q31" s="6">
        <v>45755</v>
      </c>
      <c r="R31" s="5">
        <v>45755.498368055552</v>
      </c>
      <c r="S31" s="1" t="s">
        <v>667</v>
      </c>
      <c r="T31" s="1" t="s">
        <v>668</v>
      </c>
      <c r="U31" s="1" t="s">
        <v>617</v>
      </c>
      <c r="V31" s="1" t="s">
        <v>616</v>
      </c>
      <c r="W31" s="1" t="s">
        <v>70</v>
      </c>
      <c r="X31" s="1" t="s">
        <v>71</v>
      </c>
      <c r="Y31" s="2" t="s">
        <v>476</v>
      </c>
      <c r="Z31" s="1" t="s">
        <v>767</v>
      </c>
      <c r="AA31" s="2" t="s">
        <v>73</v>
      </c>
      <c r="AB31" s="1" t="s">
        <v>811</v>
      </c>
      <c r="AC31" s="2" t="s">
        <v>73</v>
      </c>
      <c r="AD31" s="2" t="s">
        <v>73</v>
      </c>
      <c r="AE31" s="2" t="s">
        <v>73</v>
      </c>
      <c r="AF31" s="5" t="s">
        <v>73</v>
      </c>
      <c r="AG31" s="5">
        <v>45755.458333333328</v>
      </c>
      <c r="AH31" s="146" t="s">
        <v>84</v>
      </c>
      <c r="AI31" s="3">
        <v>1</v>
      </c>
      <c r="AJ31" s="1" t="s">
        <v>956</v>
      </c>
      <c r="AK31" s="1" t="s">
        <v>957</v>
      </c>
      <c r="AL31" s="1" t="s">
        <v>958</v>
      </c>
      <c r="AM31" s="1" t="s">
        <v>959</v>
      </c>
      <c r="AN31" s="1" t="s">
        <v>71</v>
      </c>
      <c r="AO31" s="1" t="s">
        <v>863</v>
      </c>
      <c r="AP31" s="1" t="s">
        <v>935</v>
      </c>
      <c r="AQ31" s="1" t="s">
        <v>195</v>
      </c>
      <c r="AR31" s="1" t="s">
        <v>936</v>
      </c>
      <c r="AS31" s="1" t="s">
        <v>929</v>
      </c>
      <c r="AT31" s="1" t="s">
        <v>930</v>
      </c>
      <c r="AU31" s="1" t="s">
        <v>108</v>
      </c>
      <c r="AV31" s="1" t="s">
        <v>937</v>
      </c>
      <c r="AW31" s="1" t="s">
        <v>937</v>
      </c>
      <c r="AX31" s="146" t="s">
        <v>65</v>
      </c>
      <c r="AY31" s="2">
        <v>2</v>
      </c>
      <c r="AZ31" s="1" t="s">
        <v>960</v>
      </c>
      <c r="BA31" s="3">
        <v>99</v>
      </c>
      <c r="BB31" s="3">
        <v>2.5</v>
      </c>
      <c r="BC31" s="3">
        <v>5</v>
      </c>
      <c r="BD31" s="3">
        <v>0</v>
      </c>
      <c r="BE31" s="3">
        <v>5</v>
      </c>
      <c r="BF31" s="1" t="s">
        <v>73</v>
      </c>
      <c r="BG31" s="1" t="s">
        <v>73</v>
      </c>
      <c r="BH31" s="1" t="s">
        <v>73</v>
      </c>
      <c r="BI31" s="1" t="s">
        <v>73</v>
      </c>
      <c r="BJ31" s="1" t="s">
        <v>73</v>
      </c>
      <c r="BK31" s="1" t="s">
        <v>840</v>
      </c>
      <c r="BL31" s="1" t="s">
        <v>841</v>
      </c>
      <c r="BM31" s="1" t="s">
        <v>842</v>
      </c>
    </row>
    <row r="32" spans="1:65" outlineLevel="1" x14ac:dyDescent="0.25">
      <c r="A32" s="1" t="s">
        <v>953</v>
      </c>
      <c r="B32" s="1" t="s">
        <v>954</v>
      </c>
      <c r="C32" s="2">
        <v>4</v>
      </c>
      <c r="D32" s="3">
        <v>514.49</v>
      </c>
      <c r="E32" s="4">
        <v>3.2919999999999998</v>
      </c>
      <c r="F32" s="1" t="s">
        <v>60</v>
      </c>
      <c r="G32" s="2" t="s">
        <v>420</v>
      </c>
      <c r="H32" s="1" t="s">
        <v>106</v>
      </c>
      <c r="I32" s="1" t="s">
        <v>81</v>
      </c>
      <c r="J32" s="2" t="s">
        <v>82</v>
      </c>
      <c r="K32" s="2" t="s">
        <v>399</v>
      </c>
      <c r="L32" s="1" t="s">
        <v>893</v>
      </c>
      <c r="M32" s="1" t="s">
        <v>894</v>
      </c>
      <c r="N32" s="1" t="s">
        <v>966</v>
      </c>
      <c r="O32" s="146" t="s">
        <v>65</v>
      </c>
      <c r="P32" s="5">
        <v>45748.333333333328</v>
      </c>
      <c r="Q32" s="6">
        <v>45755</v>
      </c>
      <c r="R32" s="5">
        <v>45755.63653935185</v>
      </c>
      <c r="S32" s="1" t="s">
        <v>667</v>
      </c>
      <c r="T32" s="1" t="s">
        <v>668</v>
      </c>
      <c r="U32" s="1" t="s">
        <v>617</v>
      </c>
      <c r="V32" s="1" t="s">
        <v>616</v>
      </c>
      <c r="W32" s="1" t="s">
        <v>70</v>
      </c>
      <c r="X32" s="1" t="s">
        <v>71</v>
      </c>
      <c r="Y32" s="2" t="s">
        <v>476</v>
      </c>
      <c r="Z32" s="1" t="s">
        <v>767</v>
      </c>
      <c r="AA32" s="2" t="s">
        <v>73</v>
      </c>
      <c r="AB32" s="1" t="s">
        <v>811</v>
      </c>
      <c r="AC32" s="2" t="s">
        <v>73</v>
      </c>
      <c r="AD32" s="2" t="s">
        <v>73</v>
      </c>
      <c r="AE32" s="2" t="s">
        <v>73</v>
      </c>
      <c r="AF32" s="5" t="s">
        <v>73</v>
      </c>
      <c r="AG32" s="5">
        <v>45755.625</v>
      </c>
      <c r="AH32" s="146" t="s">
        <v>84</v>
      </c>
      <c r="AI32" s="3">
        <v>12</v>
      </c>
      <c r="AJ32" s="1" t="s">
        <v>967</v>
      </c>
      <c r="AK32" s="1" t="s">
        <v>968</v>
      </c>
      <c r="AL32" s="1" t="s">
        <v>969</v>
      </c>
      <c r="AM32" s="1" t="s">
        <v>970</v>
      </c>
      <c r="AN32" s="1" t="s">
        <v>71</v>
      </c>
      <c r="AO32" s="1" t="s">
        <v>896</v>
      </c>
      <c r="AP32" s="1" t="s">
        <v>897</v>
      </c>
      <c r="AQ32" s="1" t="s">
        <v>75</v>
      </c>
      <c r="AR32" s="1" t="s">
        <v>114</v>
      </c>
      <c r="AS32" s="1" t="s">
        <v>898</v>
      </c>
      <c r="AT32" s="1" t="s">
        <v>899</v>
      </c>
      <c r="AU32" s="1" t="s">
        <v>900</v>
      </c>
      <c r="AV32" s="1" t="s">
        <v>901</v>
      </c>
      <c r="AW32" s="1" t="s">
        <v>902</v>
      </c>
      <c r="AX32" s="146" t="s">
        <v>65</v>
      </c>
      <c r="AY32" s="2">
        <v>2</v>
      </c>
      <c r="AZ32" s="1" t="s">
        <v>960</v>
      </c>
      <c r="BA32" s="3">
        <v>57.48</v>
      </c>
      <c r="BB32" s="3">
        <v>1.3833335</v>
      </c>
      <c r="BC32" s="3">
        <v>1.6333329999999999</v>
      </c>
      <c r="BD32" s="3">
        <v>1.1333329999999999</v>
      </c>
      <c r="BE32" s="3">
        <v>2.7666666666666702</v>
      </c>
      <c r="BF32" s="1" t="s">
        <v>73</v>
      </c>
      <c r="BG32" s="1" t="s">
        <v>73</v>
      </c>
      <c r="BH32" s="1" t="s">
        <v>73</v>
      </c>
      <c r="BI32" s="1" t="s">
        <v>73</v>
      </c>
      <c r="BJ32" s="1" t="s">
        <v>73</v>
      </c>
      <c r="BK32" s="1" t="s">
        <v>840</v>
      </c>
      <c r="BL32" s="1" t="s">
        <v>841</v>
      </c>
      <c r="BM32" s="1" t="s">
        <v>842</v>
      </c>
    </row>
    <row r="33" spans="1:65" x14ac:dyDescent="0.25">
      <c r="A33" s="142" t="s">
        <v>971</v>
      </c>
      <c r="B33" s="142"/>
      <c r="C33" s="143" t="str">
        <f>CONCATENATE("Max=",TEXT(SUBTOTAL(4,C34:C37), "0"),"")</f>
        <v>Max=4</v>
      </c>
      <c r="D33" s="144" t="str">
        <f>CONCATENATE("∑=",IF(SUBTOTAL(9,D34:D37)=TRUNC(SUBTOTAL(9,D34:D37)),TEXT(SUBTOTAL(9,D34:D37), "0"),TEXT(SUBTOTAL(9,D34:D37), "#,##")),"")</f>
        <v>∑=2156,35</v>
      </c>
      <c r="E33" s="145" t="str">
        <f>CONCATENATE("∑=",IF(SUBTOTAL(9,E34:E37)=TRUNC(SUBTOTAL(9,E34:E37)),TEXT(SUBTOTAL(9,E34:E37), "0"),TEXT(SUBTOTAL(9,E34:E37), "#,##")),"")</f>
        <v>∑=12,79</v>
      </c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</row>
    <row r="34" spans="1:65" outlineLevel="1" x14ac:dyDescent="0.25">
      <c r="A34" s="1" t="s">
        <v>972</v>
      </c>
      <c r="B34" s="1" t="s">
        <v>973</v>
      </c>
      <c r="C34" s="2">
        <v>1</v>
      </c>
      <c r="D34" s="3">
        <v>58</v>
      </c>
      <c r="E34" s="4">
        <v>0.57599999999999996</v>
      </c>
      <c r="F34" s="1" t="s">
        <v>60</v>
      </c>
      <c r="G34" s="2" t="s">
        <v>420</v>
      </c>
      <c r="H34" s="1" t="s">
        <v>62</v>
      </c>
      <c r="I34" s="1" t="s">
        <v>81</v>
      </c>
      <c r="J34" s="2" t="s">
        <v>82</v>
      </c>
      <c r="K34" s="2" t="s">
        <v>399</v>
      </c>
      <c r="L34" s="1" t="s">
        <v>944</v>
      </c>
      <c r="M34" s="1" t="s">
        <v>945</v>
      </c>
      <c r="N34" s="1" t="s">
        <v>974</v>
      </c>
      <c r="O34" s="146" t="s">
        <v>65</v>
      </c>
      <c r="P34" s="5">
        <v>45754.333333333328</v>
      </c>
      <c r="Q34" s="6">
        <v>45755</v>
      </c>
      <c r="R34" s="5">
        <v>45755.333368055552</v>
      </c>
      <c r="S34" s="1" t="s">
        <v>667</v>
      </c>
      <c r="T34" s="1" t="s">
        <v>668</v>
      </c>
      <c r="U34" s="1" t="s">
        <v>617</v>
      </c>
      <c r="V34" s="1" t="s">
        <v>616</v>
      </c>
      <c r="W34" s="1" t="s">
        <v>70</v>
      </c>
      <c r="X34" s="1" t="s">
        <v>71</v>
      </c>
      <c r="Y34" s="2" t="s">
        <v>473</v>
      </c>
      <c r="Z34" s="1" t="s">
        <v>473</v>
      </c>
      <c r="AA34" s="2" t="s">
        <v>73</v>
      </c>
      <c r="AB34" s="1" t="s">
        <v>895</v>
      </c>
      <c r="AC34" s="2" t="s">
        <v>73</v>
      </c>
      <c r="AD34" s="2" t="s">
        <v>73</v>
      </c>
      <c r="AE34" s="2" t="s">
        <v>73</v>
      </c>
      <c r="AF34" s="5">
        <v>45755.333333333328</v>
      </c>
      <c r="AG34" s="5" t="s">
        <v>73</v>
      </c>
      <c r="AH34" s="1" t="s">
        <v>73</v>
      </c>
      <c r="AI34" s="3">
        <v>1</v>
      </c>
      <c r="AJ34" s="1" t="s">
        <v>975</v>
      </c>
      <c r="AK34" s="1" t="s">
        <v>976</v>
      </c>
      <c r="AL34" s="1" t="s">
        <v>977</v>
      </c>
      <c r="AM34" s="1" t="s">
        <v>978</v>
      </c>
      <c r="AN34" s="1" t="s">
        <v>71</v>
      </c>
      <c r="AO34" s="1" t="s">
        <v>946</v>
      </c>
      <c r="AP34" s="1" t="s">
        <v>947</v>
      </c>
      <c r="AQ34" s="1" t="s">
        <v>261</v>
      </c>
      <c r="AR34" s="1" t="s">
        <v>123</v>
      </c>
      <c r="AS34" s="1" t="s">
        <v>948</v>
      </c>
      <c r="AT34" s="1" t="s">
        <v>949</v>
      </c>
      <c r="AU34" s="1" t="s">
        <v>950</v>
      </c>
      <c r="AV34" s="1" t="s">
        <v>951</v>
      </c>
      <c r="AW34" s="1" t="s">
        <v>951</v>
      </c>
      <c r="AX34" s="146" t="s">
        <v>65</v>
      </c>
      <c r="AY34" s="2">
        <v>2</v>
      </c>
      <c r="AZ34" s="1" t="s">
        <v>979</v>
      </c>
      <c r="BA34" s="3">
        <v>8.67</v>
      </c>
      <c r="BB34" s="3">
        <v>0.34166649999999998</v>
      </c>
      <c r="BC34" s="3">
        <v>0.33333299999999999</v>
      </c>
      <c r="BD34" s="3">
        <v>0.35</v>
      </c>
      <c r="BE34" s="3">
        <v>0.68333333333333302</v>
      </c>
      <c r="BF34" s="1" t="s">
        <v>73</v>
      </c>
      <c r="BG34" s="1" t="s">
        <v>73</v>
      </c>
      <c r="BH34" s="1" t="s">
        <v>73</v>
      </c>
      <c r="BI34" s="1" t="s">
        <v>73</v>
      </c>
      <c r="BJ34" s="1" t="s">
        <v>73</v>
      </c>
      <c r="BK34" s="1" t="s">
        <v>658</v>
      </c>
      <c r="BL34" s="1" t="s">
        <v>659</v>
      </c>
      <c r="BM34" s="1" t="s">
        <v>660</v>
      </c>
    </row>
    <row r="35" spans="1:65" outlineLevel="1" x14ac:dyDescent="0.25">
      <c r="A35" s="1" t="s">
        <v>972</v>
      </c>
      <c r="B35" s="1" t="s">
        <v>973</v>
      </c>
      <c r="C35" s="2">
        <v>2</v>
      </c>
      <c r="D35" s="3">
        <v>0</v>
      </c>
      <c r="E35" s="4">
        <v>0</v>
      </c>
      <c r="F35" s="1" t="s">
        <v>60</v>
      </c>
      <c r="G35" s="2" t="s">
        <v>420</v>
      </c>
      <c r="H35" s="1" t="s">
        <v>62</v>
      </c>
      <c r="I35" s="1" t="s">
        <v>81</v>
      </c>
      <c r="J35" s="2" t="s">
        <v>82</v>
      </c>
      <c r="K35" s="2" t="s">
        <v>399</v>
      </c>
      <c r="L35" s="1" t="s">
        <v>938</v>
      </c>
      <c r="M35" s="1" t="s">
        <v>939</v>
      </c>
      <c r="N35" s="1" t="s">
        <v>980</v>
      </c>
      <c r="O35" s="146" t="s">
        <v>65</v>
      </c>
      <c r="P35" s="5">
        <v>45754.333333333328</v>
      </c>
      <c r="Q35" s="6">
        <v>45755</v>
      </c>
      <c r="R35" s="5">
        <v>45755.357442129629</v>
      </c>
      <c r="S35" s="1" t="s">
        <v>667</v>
      </c>
      <c r="T35" s="1" t="s">
        <v>668</v>
      </c>
      <c r="U35" s="1" t="s">
        <v>617</v>
      </c>
      <c r="V35" s="1" t="s">
        <v>616</v>
      </c>
      <c r="W35" s="1" t="s">
        <v>70</v>
      </c>
      <c r="X35" s="1" t="s">
        <v>71</v>
      </c>
      <c r="Y35" s="2" t="s">
        <v>473</v>
      </c>
      <c r="Z35" s="1" t="s">
        <v>473</v>
      </c>
      <c r="AA35" s="2" t="s">
        <v>73</v>
      </c>
      <c r="AB35" s="1" t="s">
        <v>895</v>
      </c>
      <c r="AC35" s="2" t="s">
        <v>73</v>
      </c>
      <c r="AD35" s="2" t="s">
        <v>73</v>
      </c>
      <c r="AE35" s="2" t="s">
        <v>73</v>
      </c>
      <c r="AF35" s="5" t="s">
        <v>73</v>
      </c>
      <c r="AG35" s="5" t="s">
        <v>73</v>
      </c>
      <c r="AH35" s="1" t="s">
        <v>73</v>
      </c>
      <c r="AI35" s="3">
        <v>4</v>
      </c>
      <c r="AJ35" s="1" t="s">
        <v>981</v>
      </c>
      <c r="AK35" s="1" t="s">
        <v>982</v>
      </c>
      <c r="AL35" s="1" t="s">
        <v>616</v>
      </c>
      <c r="AM35" s="1" t="s">
        <v>617</v>
      </c>
      <c r="AN35" s="1" t="s">
        <v>71</v>
      </c>
      <c r="AO35" s="1" t="s">
        <v>940</v>
      </c>
      <c r="AP35" s="1" t="s">
        <v>941</v>
      </c>
      <c r="AQ35" s="1" t="s">
        <v>120</v>
      </c>
      <c r="AR35" s="1" t="s">
        <v>123</v>
      </c>
      <c r="AS35" s="1" t="s">
        <v>315</v>
      </c>
      <c r="AT35" s="1" t="s">
        <v>728</v>
      </c>
      <c r="AU35" s="1" t="s">
        <v>127</v>
      </c>
      <c r="AV35" s="1" t="s">
        <v>942</v>
      </c>
      <c r="AW35" s="1" t="s">
        <v>943</v>
      </c>
      <c r="AX35" s="146" t="s">
        <v>65</v>
      </c>
      <c r="AY35" s="2">
        <v>2</v>
      </c>
      <c r="AZ35" s="1" t="s">
        <v>979</v>
      </c>
      <c r="BA35" s="3">
        <v>2.88</v>
      </c>
      <c r="BB35" s="3">
        <v>0.4166665</v>
      </c>
      <c r="BC35" s="3">
        <v>0.75</v>
      </c>
      <c r="BD35" s="3">
        <v>8.3333000000000004E-2</v>
      </c>
      <c r="BE35" s="3">
        <v>0.83333333333333404</v>
      </c>
      <c r="BF35" s="1" t="s">
        <v>73</v>
      </c>
      <c r="BG35" s="1" t="s">
        <v>73</v>
      </c>
      <c r="BH35" s="1" t="s">
        <v>73</v>
      </c>
      <c r="BI35" s="1" t="s">
        <v>73</v>
      </c>
      <c r="BJ35" s="1" t="s">
        <v>73</v>
      </c>
      <c r="BK35" s="1" t="s">
        <v>619</v>
      </c>
      <c r="BL35" s="1" t="s">
        <v>620</v>
      </c>
      <c r="BM35" s="1" t="s">
        <v>621</v>
      </c>
    </row>
    <row r="36" spans="1:65" outlineLevel="1" x14ac:dyDescent="0.25">
      <c r="A36" s="1" t="s">
        <v>972</v>
      </c>
      <c r="B36" s="1" t="s">
        <v>973</v>
      </c>
      <c r="C36" s="2">
        <v>3</v>
      </c>
      <c r="D36" s="3">
        <v>285.64999999999998</v>
      </c>
      <c r="E36" s="4">
        <v>2.06</v>
      </c>
      <c r="F36" s="1" t="s">
        <v>60</v>
      </c>
      <c r="G36" s="2" t="s">
        <v>420</v>
      </c>
      <c r="H36" s="1" t="s">
        <v>106</v>
      </c>
      <c r="I36" s="1" t="s">
        <v>81</v>
      </c>
      <c r="J36" s="2" t="s">
        <v>82</v>
      </c>
      <c r="K36" s="2" t="s">
        <v>399</v>
      </c>
      <c r="L36" s="1" t="s">
        <v>903</v>
      </c>
      <c r="M36" s="1" t="s">
        <v>904</v>
      </c>
      <c r="N36" s="1" t="s">
        <v>983</v>
      </c>
      <c r="O36" s="146" t="s">
        <v>65</v>
      </c>
      <c r="P36" s="5">
        <v>45748.333333333328</v>
      </c>
      <c r="Q36" s="6">
        <v>45755</v>
      </c>
      <c r="R36" s="5">
        <v>45755.377523148149</v>
      </c>
      <c r="S36" s="1" t="s">
        <v>667</v>
      </c>
      <c r="T36" s="1" t="s">
        <v>668</v>
      </c>
      <c r="U36" s="1" t="s">
        <v>617</v>
      </c>
      <c r="V36" s="1" t="s">
        <v>616</v>
      </c>
      <c r="W36" s="1" t="s">
        <v>70</v>
      </c>
      <c r="X36" s="1" t="s">
        <v>71</v>
      </c>
      <c r="Y36" s="2" t="s">
        <v>473</v>
      </c>
      <c r="Z36" s="1" t="s">
        <v>473</v>
      </c>
      <c r="AA36" s="2" t="s">
        <v>73</v>
      </c>
      <c r="AB36" s="1" t="s">
        <v>895</v>
      </c>
      <c r="AC36" s="2" t="s">
        <v>73</v>
      </c>
      <c r="AD36" s="2" t="s">
        <v>73</v>
      </c>
      <c r="AE36" s="2" t="s">
        <v>73</v>
      </c>
      <c r="AF36" s="5" t="s">
        <v>73</v>
      </c>
      <c r="AG36" s="5">
        <v>45755.333333333328</v>
      </c>
      <c r="AH36" s="146" t="s">
        <v>84</v>
      </c>
      <c r="AI36" s="3">
        <v>17</v>
      </c>
      <c r="AJ36" s="1" t="s">
        <v>984</v>
      </c>
      <c r="AK36" s="1" t="s">
        <v>985</v>
      </c>
      <c r="AL36" s="1" t="s">
        <v>616</v>
      </c>
      <c r="AM36" s="1" t="s">
        <v>617</v>
      </c>
      <c r="AN36" s="1" t="s">
        <v>71</v>
      </c>
      <c r="AO36" s="1" t="s">
        <v>905</v>
      </c>
      <c r="AP36" s="1" t="s">
        <v>906</v>
      </c>
      <c r="AQ36" s="1" t="s">
        <v>234</v>
      </c>
      <c r="AR36" s="1" t="s">
        <v>114</v>
      </c>
      <c r="AS36" s="1" t="s">
        <v>907</v>
      </c>
      <c r="AT36" s="1" t="s">
        <v>635</v>
      </c>
      <c r="AU36" s="1" t="s">
        <v>712</v>
      </c>
      <c r="AV36" s="1" t="s">
        <v>908</v>
      </c>
      <c r="AW36" s="1" t="s">
        <v>909</v>
      </c>
      <c r="AX36" s="146" t="s">
        <v>65</v>
      </c>
      <c r="AY36" s="2">
        <v>2</v>
      </c>
      <c r="AZ36" s="1" t="s">
        <v>979</v>
      </c>
      <c r="BA36" s="3">
        <v>2.52</v>
      </c>
      <c r="BB36" s="3">
        <v>4.1916665000000002</v>
      </c>
      <c r="BC36" s="3">
        <v>6</v>
      </c>
      <c r="BD36" s="3">
        <v>2.3833329999999999</v>
      </c>
      <c r="BE36" s="3">
        <v>8.3833333333333293</v>
      </c>
      <c r="BF36" s="1" t="s">
        <v>73</v>
      </c>
      <c r="BG36" s="1" t="s">
        <v>73</v>
      </c>
      <c r="BH36" s="1" t="s">
        <v>73</v>
      </c>
      <c r="BI36" s="1" t="s">
        <v>73</v>
      </c>
      <c r="BJ36" s="1" t="s">
        <v>73</v>
      </c>
      <c r="BK36" s="1" t="s">
        <v>619</v>
      </c>
      <c r="BL36" s="1" t="s">
        <v>620</v>
      </c>
      <c r="BM36" s="1" t="s">
        <v>621</v>
      </c>
    </row>
    <row r="37" spans="1:65" outlineLevel="1" x14ac:dyDescent="0.25">
      <c r="A37" s="1" t="s">
        <v>972</v>
      </c>
      <c r="B37" s="1" t="s">
        <v>973</v>
      </c>
      <c r="C37" s="2">
        <v>4</v>
      </c>
      <c r="D37" s="3">
        <v>1812.7</v>
      </c>
      <c r="E37" s="4">
        <v>10.157</v>
      </c>
      <c r="F37" s="1" t="s">
        <v>60</v>
      </c>
      <c r="G37" s="2" t="s">
        <v>420</v>
      </c>
      <c r="H37" s="1" t="s">
        <v>106</v>
      </c>
      <c r="I37" s="1" t="s">
        <v>81</v>
      </c>
      <c r="J37" s="2" t="s">
        <v>82</v>
      </c>
      <c r="K37" s="2" t="s">
        <v>399</v>
      </c>
      <c r="L37" s="1" t="s">
        <v>910</v>
      </c>
      <c r="M37" s="1" t="s">
        <v>911</v>
      </c>
      <c r="N37" s="1" t="s">
        <v>986</v>
      </c>
      <c r="O37" s="146" t="s">
        <v>65</v>
      </c>
      <c r="P37" s="5">
        <v>45748.333333333328</v>
      </c>
      <c r="Q37" s="6">
        <v>45755</v>
      </c>
      <c r="R37" s="5">
        <v>45755.554108796292</v>
      </c>
      <c r="S37" s="1" t="s">
        <v>667</v>
      </c>
      <c r="T37" s="1" t="s">
        <v>668</v>
      </c>
      <c r="U37" s="1" t="s">
        <v>617</v>
      </c>
      <c r="V37" s="1" t="s">
        <v>616</v>
      </c>
      <c r="W37" s="1" t="s">
        <v>70</v>
      </c>
      <c r="X37" s="1" t="s">
        <v>71</v>
      </c>
      <c r="Y37" s="2" t="s">
        <v>473</v>
      </c>
      <c r="Z37" s="1" t="s">
        <v>473</v>
      </c>
      <c r="AA37" s="2" t="s">
        <v>73</v>
      </c>
      <c r="AB37" s="1" t="s">
        <v>895</v>
      </c>
      <c r="AC37" s="2" t="s">
        <v>73</v>
      </c>
      <c r="AD37" s="2" t="s">
        <v>73</v>
      </c>
      <c r="AE37" s="2" t="s">
        <v>73</v>
      </c>
      <c r="AF37" s="5" t="s">
        <v>73</v>
      </c>
      <c r="AG37" s="5">
        <v>45755.5</v>
      </c>
      <c r="AH37" s="146" t="s">
        <v>84</v>
      </c>
      <c r="AI37" s="3">
        <v>46</v>
      </c>
      <c r="AJ37" s="1" t="s">
        <v>987</v>
      </c>
      <c r="AK37" s="1" t="s">
        <v>988</v>
      </c>
      <c r="AL37" s="1" t="s">
        <v>616</v>
      </c>
      <c r="AM37" s="1" t="s">
        <v>617</v>
      </c>
      <c r="AN37" s="1" t="s">
        <v>71</v>
      </c>
      <c r="AO37" s="1" t="s">
        <v>912</v>
      </c>
      <c r="AP37" s="1" t="s">
        <v>913</v>
      </c>
      <c r="AQ37" s="1" t="s">
        <v>914</v>
      </c>
      <c r="AR37" s="1" t="s">
        <v>114</v>
      </c>
      <c r="AS37" s="1" t="s">
        <v>915</v>
      </c>
      <c r="AT37" s="1" t="s">
        <v>654</v>
      </c>
      <c r="AU37" s="1" t="s">
        <v>246</v>
      </c>
      <c r="AV37" s="1" t="s">
        <v>916</v>
      </c>
      <c r="AW37" s="1" t="s">
        <v>917</v>
      </c>
      <c r="AX37" s="146" t="s">
        <v>65</v>
      </c>
      <c r="AY37" s="2">
        <v>2</v>
      </c>
      <c r="AZ37" s="1" t="s">
        <v>979</v>
      </c>
      <c r="BA37" s="3">
        <v>2.2999999999999998</v>
      </c>
      <c r="BB37" s="3">
        <v>4.5333335000000003</v>
      </c>
      <c r="BC37" s="3">
        <v>4.8</v>
      </c>
      <c r="BD37" s="3">
        <v>4.266667</v>
      </c>
      <c r="BE37" s="3">
        <v>9.06666666666667</v>
      </c>
      <c r="BF37" s="1" t="s">
        <v>73</v>
      </c>
      <c r="BG37" s="1" t="s">
        <v>73</v>
      </c>
      <c r="BH37" s="1" t="s">
        <v>73</v>
      </c>
      <c r="BI37" s="1" t="s">
        <v>73</v>
      </c>
      <c r="BJ37" s="1" t="s">
        <v>73</v>
      </c>
      <c r="BK37" s="1" t="s">
        <v>658</v>
      </c>
      <c r="BL37" s="1" t="s">
        <v>659</v>
      </c>
      <c r="BM37" s="1" t="s">
        <v>660</v>
      </c>
    </row>
    <row r="38" spans="1:65" x14ac:dyDescent="0.25">
      <c r="A38" s="142" t="s">
        <v>989</v>
      </c>
      <c r="B38" s="142"/>
      <c r="C38" s="143" t="str">
        <f>CONCATENATE("Max=",TEXT(SUBTOTAL(4,C39:C40), "0"),"")</f>
        <v>Max=2</v>
      </c>
      <c r="D38" s="144" t="str">
        <f>CONCATENATE("∑=",IF(SUBTOTAL(9,D39:D40)=TRUNC(SUBTOTAL(9,D39:D40)),TEXT(SUBTOTAL(9,D39:D40), "0"),TEXT(SUBTOTAL(9,D39:D40), "#,##")),"")</f>
        <v>∑=11429,58</v>
      </c>
      <c r="E38" s="145" t="str">
        <f>CONCATENATE("∑=",IF(SUBTOTAL(9,E39:E40)=TRUNC(SUBTOTAL(9,E39:E40)),TEXT(SUBTOTAL(9,E39:E40), "0"),TEXT(SUBTOTAL(9,E39:E40), "#,##")),"")</f>
        <v>∑=72,15</v>
      </c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</row>
    <row r="39" spans="1:65" outlineLevel="1" x14ac:dyDescent="0.25">
      <c r="A39" s="1" t="s">
        <v>990</v>
      </c>
      <c r="B39" s="1" t="s">
        <v>991</v>
      </c>
      <c r="C39" s="2">
        <v>1</v>
      </c>
      <c r="D39" s="3">
        <v>993.97</v>
      </c>
      <c r="E39" s="4">
        <v>6.8079999999999998</v>
      </c>
      <c r="F39" s="1" t="s">
        <v>625</v>
      </c>
      <c r="G39" s="2" t="s">
        <v>420</v>
      </c>
      <c r="H39" s="1" t="s">
        <v>62</v>
      </c>
      <c r="I39" s="1" t="s">
        <v>81</v>
      </c>
      <c r="J39" s="2" t="s">
        <v>82</v>
      </c>
      <c r="K39" s="2" t="s">
        <v>83</v>
      </c>
      <c r="L39" s="1" t="s">
        <v>992</v>
      </c>
      <c r="M39" s="1" t="s">
        <v>993</v>
      </c>
      <c r="N39" s="1" t="s">
        <v>994</v>
      </c>
      <c r="O39" s="146" t="s">
        <v>65</v>
      </c>
      <c r="P39" s="5">
        <v>45755.333333333328</v>
      </c>
      <c r="Q39" s="6">
        <v>45762</v>
      </c>
      <c r="R39" s="5">
        <v>45762.333368055552</v>
      </c>
      <c r="S39" s="1" t="s">
        <v>66</v>
      </c>
      <c r="T39" s="1" t="s">
        <v>67</v>
      </c>
      <c r="U39" s="1" t="s">
        <v>68</v>
      </c>
      <c r="V39" s="1" t="s">
        <v>69</v>
      </c>
      <c r="W39" s="1" t="s">
        <v>70</v>
      </c>
      <c r="X39" s="1" t="s">
        <v>71</v>
      </c>
      <c r="Y39" s="2" t="s">
        <v>73</v>
      </c>
      <c r="Z39" s="1" t="s">
        <v>73</v>
      </c>
      <c r="AA39" s="2" t="s">
        <v>380</v>
      </c>
      <c r="AB39" s="1" t="s">
        <v>995</v>
      </c>
      <c r="AC39" s="2" t="s">
        <v>417</v>
      </c>
      <c r="AD39" s="2" t="s">
        <v>73</v>
      </c>
      <c r="AE39" s="2" t="s">
        <v>73</v>
      </c>
      <c r="AF39" s="5">
        <v>45762.333333333328</v>
      </c>
      <c r="AG39" s="5">
        <v>45762.333333333328</v>
      </c>
      <c r="AH39" s="146" t="s">
        <v>84</v>
      </c>
      <c r="AI39" s="3">
        <v>23</v>
      </c>
      <c r="AJ39" s="1" t="s">
        <v>996</v>
      </c>
      <c r="AK39" s="1" t="s">
        <v>997</v>
      </c>
      <c r="AL39" s="1" t="s">
        <v>616</v>
      </c>
      <c r="AM39" s="1" t="s">
        <v>617</v>
      </c>
      <c r="AN39" s="1" t="s">
        <v>71</v>
      </c>
      <c r="AO39" s="1" t="s">
        <v>998</v>
      </c>
      <c r="AP39" s="1" t="s">
        <v>999</v>
      </c>
      <c r="AQ39" s="1" t="s">
        <v>1000</v>
      </c>
      <c r="AR39" s="1" t="s">
        <v>114</v>
      </c>
      <c r="AS39" s="1" t="s">
        <v>315</v>
      </c>
      <c r="AT39" s="1" t="s">
        <v>1001</v>
      </c>
      <c r="AU39" s="1" t="s">
        <v>139</v>
      </c>
      <c r="AV39" s="1" t="s">
        <v>1002</v>
      </c>
      <c r="AW39" s="1" t="s">
        <v>1003</v>
      </c>
      <c r="AX39" s="146" t="s">
        <v>65</v>
      </c>
      <c r="AY39" s="2">
        <v>4</v>
      </c>
      <c r="AZ39" s="1" t="s">
        <v>618</v>
      </c>
      <c r="BA39" s="3">
        <v>532.26</v>
      </c>
      <c r="BB39" s="3">
        <v>1.24166675</v>
      </c>
      <c r="BC39" s="3">
        <v>2.8833329999999999</v>
      </c>
      <c r="BD39" s="3">
        <v>2.0833330000000001</v>
      </c>
      <c r="BE39" s="3">
        <v>4.9666666666666703</v>
      </c>
      <c r="BF39" s="1" t="s">
        <v>73</v>
      </c>
      <c r="BG39" s="1" t="s">
        <v>73</v>
      </c>
      <c r="BH39" s="1" t="s">
        <v>73</v>
      </c>
      <c r="BI39" s="1" t="s">
        <v>73</v>
      </c>
      <c r="BJ39" s="1" t="s">
        <v>73</v>
      </c>
      <c r="BK39" s="1" t="s">
        <v>619</v>
      </c>
      <c r="BL39" s="1" t="s">
        <v>620</v>
      </c>
      <c r="BM39" s="1" t="s">
        <v>621</v>
      </c>
    </row>
    <row r="40" spans="1:65" outlineLevel="1" x14ac:dyDescent="0.25">
      <c r="A40" s="1" t="s">
        <v>990</v>
      </c>
      <c r="B40" s="1" t="s">
        <v>991</v>
      </c>
      <c r="C40" s="2">
        <v>2</v>
      </c>
      <c r="D40" s="3">
        <v>10435.61</v>
      </c>
      <c r="E40" s="4">
        <v>65.337000000000003</v>
      </c>
      <c r="F40" s="1" t="s">
        <v>60</v>
      </c>
      <c r="G40" s="2" t="s">
        <v>420</v>
      </c>
      <c r="H40" s="1" t="s">
        <v>642</v>
      </c>
      <c r="I40" s="1" t="s">
        <v>81</v>
      </c>
      <c r="J40" s="2" t="s">
        <v>82</v>
      </c>
      <c r="K40" s="2" t="s">
        <v>83</v>
      </c>
      <c r="L40" s="1" t="s">
        <v>1004</v>
      </c>
      <c r="M40" s="1" t="s">
        <v>1005</v>
      </c>
      <c r="N40" s="1" t="s">
        <v>1006</v>
      </c>
      <c r="O40" s="146" t="s">
        <v>84</v>
      </c>
      <c r="P40" s="5">
        <v>45762.333333333328</v>
      </c>
      <c r="Q40" s="6">
        <v>45762</v>
      </c>
      <c r="R40" s="5">
        <v>45762.385104166664</v>
      </c>
      <c r="S40" s="1" t="s">
        <v>66</v>
      </c>
      <c r="T40" s="1" t="s">
        <v>67</v>
      </c>
      <c r="U40" s="1" t="s">
        <v>68</v>
      </c>
      <c r="V40" s="1" t="s">
        <v>69</v>
      </c>
      <c r="W40" s="1" t="s">
        <v>70</v>
      </c>
      <c r="X40" s="1" t="s">
        <v>71</v>
      </c>
      <c r="Y40" s="2" t="s">
        <v>73</v>
      </c>
      <c r="Z40" s="1" t="s">
        <v>73</v>
      </c>
      <c r="AA40" s="2" t="s">
        <v>380</v>
      </c>
      <c r="AB40" s="1" t="s">
        <v>1007</v>
      </c>
      <c r="AC40" s="2" t="s">
        <v>417</v>
      </c>
      <c r="AD40" s="2" t="s">
        <v>398</v>
      </c>
      <c r="AE40" s="2" t="s">
        <v>73</v>
      </c>
      <c r="AF40" s="5" t="s">
        <v>73</v>
      </c>
      <c r="AG40" s="5">
        <v>45762.5</v>
      </c>
      <c r="AH40" s="146" t="s">
        <v>84</v>
      </c>
      <c r="AI40" s="3">
        <v>272</v>
      </c>
      <c r="AJ40" s="1" t="s">
        <v>996</v>
      </c>
      <c r="AK40" s="1" t="s">
        <v>997</v>
      </c>
      <c r="AL40" s="1" t="s">
        <v>616</v>
      </c>
      <c r="AM40" s="1" t="s">
        <v>617</v>
      </c>
      <c r="AN40" s="1" t="s">
        <v>71</v>
      </c>
      <c r="AO40" s="1" t="s">
        <v>1008</v>
      </c>
      <c r="AP40" s="1" t="s">
        <v>1009</v>
      </c>
      <c r="AQ40" s="1" t="s">
        <v>1010</v>
      </c>
      <c r="AR40" s="1" t="s">
        <v>114</v>
      </c>
      <c r="AS40" s="1" t="s">
        <v>315</v>
      </c>
      <c r="AT40" s="1" t="s">
        <v>1001</v>
      </c>
      <c r="AU40" s="1" t="s">
        <v>1011</v>
      </c>
      <c r="AV40" s="1" t="s">
        <v>1012</v>
      </c>
      <c r="AW40" s="1" t="s">
        <v>1013</v>
      </c>
      <c r="AX40" s="146" t="s">
        <v>65</v>
      </c>
      <c r="AY40" s="2">
        <v>4</v>
      </c>
      <c r="AZ40" s="1" t="s">
        <v>618</v>
      </c>
      <c r="BA40" s="3">
        <v>532.26</v>
      </c>
      <c r="BB40" s="3">
        <v>23.7</v>
      </c>
      <c r="BC40" s="3">
        <v>70.7</v>
      </c>
      <c r="BD40" s="3">
        <v>24.1</v>
      </c>
      <c r="BE40" s="3">
        <v>94.8</v>
      </c>
      <c r="BF40" s="1" t="s">
        <v>73</v>
      </c>
      <c r="BG40" s="1" t="s">
        <v>73</v>
      </c>
      <c r="BH40" s="1" t="s">
        <v>73</v>
      </c>
      <c r="BI40" s="1" t="s">
        <v>73</v>
      </c>
      <c r="BJ40" s="1" t="s">
        <v>73</v>
      </c>
      <c r="BK40" s="1" t="s">
        <v>619</v>
      </c>
      <c r="BL40" s="1" t="s">
        <v>620</v>
      </c>
      <c r="BM40" s="1" t="s">
        <v>621</v>
      </c>
    </row>
    <row r="41" spans="1:65" x14ac:dyDescent="0.25">
      <c r="A41" s="142" t="s">
        <v>1090</v>
      </c>
      <c r="B41" s="142"/>
      <c r="C41" s="143" t="str">
        <f>CONCATENATE("Max=",TEXT(SUBTOTAL(4,C42:C48), "0"),"")</f>
        <v>Max=7</v>
      </c>
      <c r="D41" s="144" t="str">
        <f>CONCATENATE("∑=",IF(SUBTOTAL(9,D42:D48)=TRUNC(SUBTOTAL(9,D42:D48)),TEXT(SUBTOTAL(9,D42:D48), "0"),TEXT(SUBTOTAL(9,D42:D48), "#,##")),"")</f>
        <v>∑=1262,57</v>
      </c>
      <c r="E41" s="145" t="str">
        <f>CONCATENATE("∑=",IF(SUBTOTAL(9,E42:E48)=TRUNC(SUBTOTAL(9,E42:E48)),TEXT(SUBTOTAL(9,E42:E48), "0"),TEXT(SUBTOTAL(9,E42:E48), "#,##")),"")</f>
        <v>∑=8,17</v>
      </c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</row>
    <row r="42" spans="1:65" outlineLevel="1" x14ac:dyDescent="0.25">
      <c r="A42" s="1" t="s">
        <v>1091</v>
      </c>
      <c r="B42" s="1" t="s">
        <v>1092</v>
      </c>
      <c r="C42" s="2">
        <v>1</v>
      </c>
      <c r="D42" s="3">
        <v>0</v>
      </c>
      <c r="E42" s="4">
        <v>3.0000000000000001E-3</v>
      </c>
      <c r="F42" s="1" t="s">
        <v>60</v>
      </c>
      <c r="G42" s="2" t="s">
        <v>420</v>
      </c>
      <c r="H42" s="1" t="s">
        <v>642</v>
      </c>
      <c r="I42" s="1" t="s">
        <v>81</v>
      </c>
      <c r="J42" s="2" t="s">
        <v>82</v>
      </c>
      <c r="K42" s="2" t="s">
        <v>399</v>
      </c>
      <c r="L42" s="1" t="s">
        <v>1072</v>
      </c>
      <c r="M42" s="1" t="s">
        <v>1073</v>
      </c>
      <c r="N42" s="1" t="s">
        <v>1093</v>
      </c>
      <c r="O42" s="146" t="s">
        <v>65</v>
      </c>
      <c r="P42" s="5">
        <v>45761.333333333328</v>
      </c>
      <c r="Q42" s="6">
        <v>45762</v>
      </c>
      <c r="R42" s="5">
        <v>45762.333368055552</v>
      </c>
      <c r="S42" s="1" t="s">
        <v>667</v>
      </c>
      <c r="T42" s="1" t="s">
        <v>668</v>
      </c>
      <c r="U42" s="1" t="s">
        <v>617</v>
      </c>
      <c r="V42" s="1" t="s">
        <v>616</v>
      </c>
      <c r="W42" s="1" t="s">
        <v>70</v>
      </c>
      <c r="X42" s="1" t="s">
        <v>71</v>
      </c>
      <c r="Y42" s="2" t="s">
        <v>473</v>
      </c>
      <c r="Z42" s="1" t="s">
        <v>473</v>
      </c>
      <c r="AA42" s="2" t="s">
        <v>73</v>
      </c>
      <c r="AB42" s="1" t="s">
        <v>895</v>
      </c>
      <c r="AC42" s="2" t="s">
        <v>73</v>
      </c>
      <c r="AD42" s="2" t="s">
        <v>73</v>
      </c>
      <c r="AE42" s="2" t="s">
        <v>73</v>
      </c>
      <c r="AF42" s="5">
        <v>45762.333333333328</v>
      </c>
      <c r="AG42" s="5">
        <v>45761.333333333328</v>
      </c>
      <c r="AH42" s="146" t="s">
        <v>84</v>
      </c>
      <c r="AI42" s="3">
        <v>4</v>
      </c>
      <c r="AJ42" s="1" t="s">
        <v>1094</v>
      </c>
      <c r="AK42" s="1" t="s">
        <v>1095</v>
      </c>
      <c r="AL42" s="1" t="s">
        <v>616</v>
      </c>
      <c r="AM42" s="1" t="s">
        <v>617</v>
      </c>
      <c r="AN42" s="1" t="s">
        <v>71</v>
      </c>
      <c r="AO42" s="1" t="s">
        <v>1074</v>
      </c>
      <c r="AP42" s="1" t="s">
        <v>1075</v>
      </c>
      <c r="AQ42" s="1" t="s">
        <v>254</v>
      </c>
      <c r="AR42" s="1" t="s">
        <v>123</v>
      </c>
      <c r="AS42" s="1" t="s">
        <v>1076</v>
      </c>
      <c r="AT42" s="1" t="s">
        <v>1077</v>
      </c>
      <c r="AU42" s="1" t="s">
        <v>1078</v>
      </c>
      <c r="AV42" s="1" t="s">
        <v>1079</v>
      </c>
      <c r="AW42" s="1" t="s">
        <v>1080</v>
      </c>
      <c r="AX42" s="146" t="s">
        <v>65</v>
      </c>
      <c r="AY42" s="2">
        <v>2</v>
      </c>
      <c r="AZ42" s="1" t="s">
        <v>1096</v>
      </c>
      <c r="BA42" s="3">
        <v>3.1</v>
      </c>
      <c r="BB42" s="3">
        <v>0.17499999999999999</v>
      </c>
      <c r="BC42" s="3">
        <v>0.3</v>
      </c>
      <c r="BD42" s="3">
        <v>0.05</v>
      </c>
      <c r="BE42" s="3">
        <v>0.35</v>
      </c>
      <c r="BF42" s="1" t="s">
        <v>73</v>
      </c>
      <c r="BG42" s="1" t="s">
        <v>73</v>
      </c>
      <c r="BH42" s="1" t="s">
        <v>73</v>
      </c>
      <c r="BI42" s="1" t="s">
        <v>73</v>
      </c>
      <c r="BJ42" s="1" t="s">
        <v>73</v>
      </c>
      <c r="BK42" s="1" t="s">
        <v>92</v>
      </c>
      <c r="BL42" s="1" t="s">
        <v>93</v>
      </c>
      <c r="BM42" s="1" t="s">
        <v>94</v>
      </c>
    </row>
    <row r="43" spans="1:65" outlineLevel="1" x14ac:dyDescent="0.25">
      <c r="A43" s="1" t="s">
        <v>1091</v>
      </c>
      <c r="B43" s="1" t="s">
        <v>1092</v>
      </c>
      <c r="C43" s="2">
        <v>2</v>
      </c>
      <c r="D43" s="3">
        <v>284.86</v>
      </c>
      <c r="E43" s="4">
        <v>1.9159999999999999</v>
      </c>
      <c r="F43" s="1" t="s">
        <v>60</v>
      </c>
      <c r="G43" s="2" t="s">
        <v>420</v>
      </c>
      <c r="H43" s="1" t="s">
        <v>642</v>
      </c>
      <c r="I43" s="1" t="s">
        <v>81</v>
      </c>
      <c r="J43" s="2" t="s">
        <v>82</v>
      </c>
      <c r="K43" s="2" t="s">
        <v>399</v>
      </c>
      <c r="L43" s="1" t="s">
        <v>1022</v>
      </c>
      <c r="M43" s="1" t="s">
        <v>1023</v>
      </c>
      <c r="N43" s="1" t="s">
        <v>1097</v>
      </c>
      <c r="O43" s="146" t="s">
        <v>65</v>
      </c>
      <c r="P43" s="5">
        <v>45761.333333333328</v>
      </c>
      <c r="Q43" s="6">
        <v>45762</v>
      </c>
      <c r="R43" s="5">
        <v>45762.34957175926</v>
      </c>
      <c r="S43" s="1" t="s">
        <v>667</v>
      </c>
      <c r="T43" s="1" t="s">
        <v>668</v>
      </c>
      <c r="U43" s="1" t="s">
        <v>617</v>
      </c>
      <c r="V43" s="1" t="s">
        <v>616</v>
      </c>
      <c r="W43" s="1" t="s">
        <v>70</v>
      </c>
      <c r="X43" s="1" t="s">
        <v>71</v>
      </c>
      <c r="Y43" s="2" t="s">
        <v>473</v>
      </c>
      <c r="Z43" s="1" t="s">
        <v>473</v>
      </c>
      <c r="AA43" s="2" t="s">
        <v>73</v>
      </c>
      <c r="AB43" s="1" t="s">
        <v>895</v>
      </c>
      <c r="AC43" s="2" t="s">
        <v>73</v>
      </c>
      <c r="AD43" s="2" t="s">
        <v>73</v>
      </c>
      <c r="AE43" s="2" t="s">
        <v>73</v>
      </c>
      <c r="AF43" s="5" t="s">
        <v>73</v>
      </c>
      <c r="AG43" s="5">
        <v>45761.333333333328</v>
      </c>
      <c r="AH43" s="146" t="s">
        <v>84</v>
      </c>
      <c r="AI43" s="3">
        <v>13</v>
      </c>
      <c r="AJ43" s="1" t="s">
        <v>1098</v>
      </c>
      <c r="AK43" s="1" t="s">
        <v>1099</v>
      </c>
      <c r="AL43" s="1" t="s">
        <v>1100</v>
      </c>
      <c r="AM43" s="1" t="s">
        <v>617</v>
      </c>
      <c r="AN43" s="1" t="s">
        <v>71</v>
      </c>
      <c r="AO43" s="1" t="s">
        <v>1024</v>
      </c>
      <c r="AP43" s="1" t="s">
        <v>73</v>
      </c>
      <c r="AQ43" s="1" t="s">
        <v>261</v>
      </c>
      <c r="AR43" s="1" t="s">
        <v>114</v>
      </c>
      <c r="AS43" s="1" t="s">
        <v>315</v>
      </c>
      <c r="AT43" s="1" t="s">
        <v>728</v>
      </c>
      <c r="AU43" s="1" t="s">
        <v>139</v>
      </c>
      <c r="AV43" s="1" t="s">
        <v>1025</v>
      </c>
      <c r="AW43" s="1" t="s">
        <v>1026</v>
      </c>
      <c r="AX43" s="146" t="s">
        <v>65</v>
      </c>
      <c r="AY43" s="2">
        <v>2</v>
      </c>
      <c r="AZ43" s="1" t="s">
        <v>1096</v>
      </c>
      <c r="BA43" s="3">
        <v>5.55</v>
      </c>
      <c r="BB43" s="3">
        <v>2.2666664999999999</v>
      </c>
      <c r="BC43" s="3">
        <v>3.15</v>
      </c>
      <c r="BD43" s="3">
        <v>1.3833329999999999</v>
      </c>
      <c r="BE43" s="3">
        <v>4.5333333333333297</v>
      </c>
      <c r="BF43" s="1" t="s">
        <v>73</v>
      </c>
      <c r="BG43" s="1" t="s">
        <v>73</v>
      </c>
      <c r="BH43" s="1" t="s">
        <v>73</v>
      </c>
      <c r="BI43" s="1" t="s">
        <v>73</v>
      </c>
      <c r="BJ43" s="1" t="s">
        <v>73</v>
      </c>
      <c r="BK43" s="1" t="s">
        <v>619</v>
      </c>
      <c r="BL43" s="1" t="s">
        <v>620</v>
      </c>
      <c r="BM43" s="1" t="s">
        <v>621</v>
      </c>
    </row>
    <row r="44" spans="1:65" outlineLevel="1" x14ac:dyDescent="0.25">
      <c r="A44" s="1" t="s">
        <v>1091</v>
      </c>
      <c r="B44" s="1" t="s">
        <v>1092</v>
      </c>
      <c r="C44" s="2">
        <v>3</v>
      </c>
      <c r="D44" s="3">
        <v>151.12</v>
      </c>
      <c r="E44" s="4">
        <v>0.89900000000000002</v>
      </c>
      <c r="F44" s="1" t="s">
        <v>60</v>
      </c>
      <c r="G44" s="2" t="s">
        <v>420</v>
      </c>
      <c r="H44" s="1" t="s">
        <v>642</v>
      </c>
      <c r="I44" s="1" t="s">
        <v>81</v>
      </c>
      <c r="J44" s="2" t="s">
        <v>82</v>
      </c>
      <c r="K44" s="2" t="s">
        <v>399</v>
      </c>
      <c r="L44" s="1" t="s">
        <v>1042</v>
      </c>
      <c r="M44" s="1" t="s">
        <v>1043</v>
      </c>
      <c r="N44" s="1" t="s">
        <v>1101</v>
      </c>
      <c r="O44" s="146" t="s">
        <v>65</v>
      </c>
      <c r="P44" s="5">
        <v>45761.333333333328</v>
      </c>
      <c r="Q44" s="6">
        <v>45762</v>
      </c>
      <c r="R44" s="5">
        <v>45762.451215277775</v>
      </c>
      <c r="S44" s="1" t="s">
        <v>667</v>
      </c>
      <c r="T44" s="1" t="s">
        <v>668</v>
      </c>
      <c r="U44" s="1" t="s">
        <v>617</v>
      </c>
      <c r="V44" s="1" t="s">
        <v>616</v>
      </c>
      <c r="W44" s="1" t="s">
        <v>70</v>
      </c>
      <c r="X44" s="1" t="s">
        <v>71</v>
      </c>
      <c r="Y44" s="2" t="s">
        <v>473</v>
      </c>
      <c r="Z44" s="1" t="s">
        <v>473</v>
      </c>
      <c r="AA44" s="2" t="s">
        <v>73</v>
      </c>
      <c r="AB44" s="1" t="s">
        <v>895</v>
      </c>
      <c r="AC44" s="2" t="s">
        <v>73</v>
      </c>
      <c r="AD44" s="2" t="s">
        <v>73</v>
      </c>
      <c r="AE44" s="2" t="s">
        <v>73</v>
      </c>
      <c r="AF44" s="5" t="s">
        <v>73</v>
      </c>
      <c r="AG44" s="5">
        <v>45761.416666666664</v>
      </c>
      <c r="AH44" s="146" t="s">
        <v>84</v>
      </c>
      <c r="AI44" s="3">
        <v>7</v>
      </c>
      <c r="AJ44" s="1" t="s">
        <v>1102</v>
      </c>
      <c r="AK44" s="1" t="s">
        <v>1103</v>
      </c>
      <c r="AL44" s="1" t="s">
        <v>616</v>
      </c>
      <c r="AM44" s="1" t="s">
        <v>617</v>
      </c>
      <c r="AN44" s="1" t="s">
        <v>71</v>
      </c>
      <c r="AO44" s="1" t="s">
        <v>1044</v>
      </c>
      <c r="AP44" s="1" t="s">
        <v>1045</v>
      </c>
      <c r="AQ44" s="1" t="s">
        <v>914</v>
      </c>
      <c r="AR44" s="1" t="s">
        <v>114</v>
      </c>
      <c r="AS44" s="1" t="s">
        <v>1046</v>
      </c>
      <c r="AT44" s="1" t="s">
        <v>837</v>
      </c>
      <c r="AU44" s="1" t="s">
        <v>317</v>
      </c>
      <c r="AV44" s="1" t="s">
        <v>1047</v>
      </c>
      <c r="AW44" s="1" t="s">
        <v>1048</v>
      </c>
      <c r="AX44" s="146" t="s">
        <v>65</v>
      </c>
      <c r="AY44" s="2">
        <v>2</v>
      </c>
      <c r="AZ44" s="1" t="s">
        <v>1096</v>
      </c>
      <c r="BA44" s="3">
        <v>2.7</v>
      </c>
      <c r="BB44" s="3">
        <v>0.5</v>
      </c>
      <c r="BC44" s="3">
        <v>0.5</v>
      </c>
      <c r="BD44" s="3">
        <v>0.5</v>
      </c>
      <c r="BE44" s="3">
        <v>1</v>
      </c>
      <c r="BF44" s="1" t="s">
        <v>73</v>
      </c>
      <c r="BG44" s="1" t="s">
        <v>73</v>
      </c>
      <c r="BH44" s="1" t="s">
        <v>73</v>
      </c>
      <c r="BI44" s="1" t="s">
        <v>73</v>
      </c>
      <c r="BJ44" s="1" t="s">
        <v>73</v>
      </c>
      <c r="BK44" s="1" t="s">
        <v>658</v>
      </c>
      <c r="BL44" s="1" t="s">
        <v>659</v>
      </c>
      <c r="BM44" s="1" t="s">
        <v>660</v>
      </c>
    </row>
    <row r="45" spans="1:65" outlineLevel="1" x14ac:dyDescent="0.25">
      <c r="A45" s="1" t="s">
        <v>1091</v>
      </c>
      <c r="B45" s="1" t="s">
        <v>1092</v>
      </c>
      <c r="C45" s="2">
        <v>4</v>
      </c>
      <c r="D45" s="3">
        <v>57.8</v>
      </c>
      <c r="E45" s="4">
        <v>0.46200000000000002</v>
      </c>
      <c r="F45" s="1" t="s">
        <v>60</v>
      </c>
      <c r="G45" s="2" t="s">
        <v>420</v>
      </c>
      <c r="H45" s="1" t="s">
        <v>642</v>
      </c>
      <c r="I45" s="1" t="s">
        <v>81</v>
      </c>
      <c r="J45" s="2" t="s">
        <v>82</v>
      </c>
      <c r="K45" s="2" t="s">
        <v>399</v>
      </c>
      <c r="L45" s="1" t="s">
        <v>1034</v>
      </c>
      <c r="M45" s="1" t="s">
        <v>1035</v>
      </c>
      <c r="N45" s="1" t="s">
        <v>1104</v>
      </c>
      <c r="O45" s="146" t="s">
        <v>65</v>
      </c>
      <c r="P45" s="5">
        <v>45761.333333333328</v>
      </c>
      <c r="Q45" s="6">
        <v>45762</v>
      </c>
      <c r="R45" s="5">
        <v>45762.473356481481</v>
      </c>
      <c r="S45" s="1" t="s">
        <v>667</v>
      </c>
      <c r="T45" s="1" t="s">
        <v>668</v>
      </c>
      <c r="U45" s="1" t="s">
        <v>617</v>
      </c>
      <c r="V45" s="1" t="s">
        <v>616</v>
      </c>
      <c r="W45" s="1" t="s">
        <v>70</v>
      </c>
      <c r="X45" s="1" t="s">
        <v>71</v>
      </c>
      <c r="Y45" s="2" t="s">
        <v>473</v>
      </c>
      <c r="Z45" s="1" t="s">
        <v>473</v>
      </c>
      <c r="AA45" s="2" t="s">
        <v>73</v>
      </c>
      <c r="AB45" s="1" t="s">
        <v>895</v>
      </c>
      <c r="AC45" s="2" t="s">
        <v>73</v>
      </c>
      <c r="AD45" s="2" t="s">
        <v>73</v>
      </c>
      <c r="AE45" s="2" t="s">
        <v>73</v>
      </c>
      <c r="AF45" s="5" t="s">
        <v>73</v>
      </c>
      <c r="AG45" s="5">
        <v>45761.416666666664</v>
      </c>
      <c r="AH45" s="146" t="s">
        <v>84</v>
      </c>
      <c r="AI45" s="3">
        <v>3</v>
      </c>
      <c r="AJ45" s="1" t="s">
        <v>1105</v>
      </c>
      <c r="AK45" s="1" t="s">
        <v>833</v>
      </c>
      <c r="AL45" s="1" t="s">
        <v>616</v>
      </c>
      <c r="AM45" s="1" t="s">
        <v>617</v>
      </c>
      <c r="AN45" s="1" t="s">
        <v>71</v>
      </c>
      <c r="AO45" s="1" t="s">
        <v>1036</v>
      </c>
      <c r="AP45" s="1" t="s">
        <v>1037</v>
      </c>
      <c r="AQ45" s="1" t="s">
        <v>1038</v>
      </c>
      <c r="AR45" s="1" t="s">
        <v>114</v>
      </c>
      <c r="AS45" s="1" t="s">
        <v>1039</v>
      </c>
      <c r="AT45" s="1" t="s">
        <v>837</v>
      </c>
      <c r="AU45" s="1" t="s">
        <v>90</v>
      </c>
      <c r="AV45" s="1" t="s">
        <v>1040</v>
      </c>
      <c r="AW45" s="1" t="s">
        <v>1041</v>
      </c>
      <c r="AX45" s="146" t="s">
        <v>65</v>
      </c>
      <c r="AY45" s="2">
        <v>2</v>
      </c>
      <c r="AZ45" s="1" t="s">
        <v>1096</v>
      </c>
      <c r="BA45" s="3">
        <v>2.57</v>
      </c>
      <c r="BB45" s="3">
        <v>0.17499999999999999</v>
      </c>
      <c r="BC45" s="3">
        <v>0.183333</v>
      </c>
      <c r="BD45" s="3">
        <v>0.16666700000000001</v>
      </c>
      <c r="BE45" s="3">
        <v>0.35</v>
      </c>
      <c r="BF45" s="1" t="s">
        <v>73</v>
      </c>
      <c r="BG45" s="1" t="s">
        <v>73</v>
      </c>
      <c r="BH45" s="1" t="s">
        <v>73</v>
      </c>
      <c r="BI45" s="1" t="s">
        <v>73</v>
      </c>
      <c r="BJ45" s="1" t="s">
        <v>73</v>
      </c>
      <c r="BK45" s="1" t="s">
        <v>658</v>
      </c>
      <c r="BL45" s="1" t="s">
        <v>659</v>
      </c>
      <c r="BM45" s="1" t="s">
        <v>660</v>
      </c>
    </row>
    <row r="46" spans="1:65" outlineLevel="1" x14ac:dyDescent="0.25">
      <c r="A46" s="1" t="s">
        <v>1091</v>
      </c>
      <c r="B46" s="1" t="s">
        <v>1092</v>
      </c>
      <c r="C46" s="2">
        <v>5</v>
      </c>
      <c r="D46" s="3">
        <v>616.22</v>
      </c>
      <c r="E46" s="4">
        <v>3.899</v>
      </c>
      <c r="F46" s="1" t="s">
        <v>60</v>
      </c>
      <c r="G46" s="2" t="s">
        <v>420</v>
      </c>
      <c r="H46" s="1" t="s">
        <v>642</v>
      </c>
      <c r="I46" s="1" t="s">
        <v>81</v>
      </c>
      <c r="J46" s="2" t="s">
        <v>82</v>
      </c>
      <c r="K46" s="2" t="s">
        <v>399</v>
      </c>
      <c r="L46" s="1" t="s">
        <v>1049</v>
      </c>
      <c r="M46" s="1" t="s">
        <v>1050</v>
      </c>
      <c r="N46" s="1" t="s">
        <v>1106</v>
      </c>
      <c r="O46" s="146" t="s">
        <v>65</v>
      </c>
      <c r="P46" s="5">
        <v>45761.333333333328</v>
      </c>
      <c r="Q46" s="6">
        <v>45762</v>
      </c>
      <c r="R46" s="5">
        <v>45762.482604166667</v>
      </c>
      <c r="S46" s="1" t="s">
        <v>667</v>
      </c>
      <c r="T46" s="1" t="s">
        <v>668</v>
      </c>
      <c r="U46" s="1" t="s">
        <v>617</v>
      </c>
      <c r="V46" s="1" t="s">
        <v>616</v>
      </c>
      <c r="W46" s="1" t="s">
        <v>70</v>
      </c>
      <c r="X46" s="1" t="s">
        <v>71</v>
      </c>
      <c r="Y46" s="2" t="s">
        <v>473</v>
      </c>
      <c r="Z46" s="1" t="s">
        <v>473</v>
      </c>
      <c r="AA46" s="2" t="s">
        <v>73</v>
      </c>
      <c r="AB46" s="1" t="s">
        <v>895</v>
      </c>
      <c r="AC46" s="2" t="s">
        <v>73</v>
      </c>
      <c r="AD46" s="2" t="s">
        <v>73</v>
      </c>
      <c r="AE46" s="2" t="s">
        <v>73</v>
      </c>
      <c r="AF46" s="5" t="s">
        <v>73</v>
      </c>
      <c r="AG46" s="5">
        <v>45761.458333333328</v>
      </c>
      <c r="AH46" s="146" t="s">
        <v>84</v>
      </c>
      <c r="AI46" s="3">
        <v>31</v>
      </c>
      <c r="AJ46" s="1" t="s">
        <v>996</v>
      </c>
      <c r="AK46" s="1" t="s">
        <v>1107</v>
      </c>
      <c r="AL46" s="1" t="s">
        <v>616</v>
      </c>
      <c r="AM46" s="1" t="s">
        <v>617</v>
      </c>
      <c r="AN46" s="1" t="s">
        <v>71</v>
      </c>
      <c r="AO46" s="1" t="s">
        <v>1051</v>
      </c>
      <c r="AP46" s="1" t="s">
        <v>1052</v>
      </c>
      <c r="AQ46" s="1" t="s">
        <v>120</v>
      </c>
      <c r="AR46" s="1" t="s">
        <v>114</v>
      </c>
      <c r="AS46" s="1" t="s">
        <v>315</v>
      </c>
      <c r="AT46" s="1" t="s">
        <v>1001</v>
      </c>
      <c r="AU46" s="1" t="s">
        <v>1053</v>
      </c>
      <c r="AV46" s="1" t="s">
        <v>1054</v>
      </c>
      <c r="AW46" s="1" t="s">
        <v>1055</v>
      </c>
      <c r="AX46" s="146" t="s">
        <v>65</v>
      </c>
      <c r="AY46" s="2">
        <v>2</v>
      </c>
      <c r="AZ46" s="1" t="s">
        <v>1096</v>
      </c>
      <c r="BA46" s="3">
        <v>2.12</v>
      </c>
      <c r="BB46" s="3">
        <v>2.7416665</v>
      </c>
      <c r="BC46" s="3">
        <v>3.5333329999999998</v>
      </c>
      <c r="BD46" s="3">
        <v>1.95</v>
      </c>
      <c r="BE46" s="3">
        <v>5.4833333333333298</v>
      </c>
      <c r="BF46" s="1" t="s">
        <v>73</v>
      </c>
      <c r="BG46" s="1" t="s">
        <v>73</v>
      </c>
      <c r="BH46" s="1" t="s">
        <v>73</v>
      </c>
      <c r="BI46" s="1" t="s">
        <v>73</v>
      </c>
      <c r="BJ46" s="1" t="s">
        <v>73</v>
      </c>
      <c r="BK46" s="1" t="s">
        <v>619</v>
      </c>
      <c r="BL46" s="1" t="s">
        <v>620</v>
      </c>
      <c r="BM46" s="1" t="s">
        <v>621</v>
      </c>
    </row>
    <row r="47" spans="1:65" outlineLevel="1" x14ac:dyDescent="0.25">
      <c r="A47" s="1" t="s">
        <v>1091</v>
      </c>
      <c r="B47" s="1" t="s">
        <v>1092</v>
      </c>
      <c r="C47" s="2">
        <v>6</v>
      </c>
      <c r="D47" s="3">
        <v>69</v>
      </c>
      <c r="E47" s="4">
        <v>0.30299999999999999</v>
      </c>
      <c r="F47" s="1" t="s">
        <v>60</v>
      </c>
      <c r="G47" s="2" t="s">
        <v>420</v>
      </c>
      <c r="H47" s="1" t="s">
        <v>642</v>
      </c>
      <c r="I47" s="1" t="s">
        <v>81</v>
      </c>
      <c r="J47" s="2" t="s">
        <v>82</v>
      </c>
      <c r="K47" s="2" t="s">
        <v>399</v>
      </c>
      <c r="L47" s="1" t="s">
        <v>1056</v>
      </c>
      <c r="M47" s="1" t="s">
        <v>1057</v>
      </c>
      <c r="N47" s="1" t="s">
        <v>1108</v>
      </c>
      <c r="O47" s="146" t="s">
        <v>65</v>
      </c>
      <c r="P47" s="5">
        <v>45762.333333333328</v>
      </c>
      <c r="Q47" s="6">
        <v>45762</v>
      </c>
      <c r="R47" s="5">
        <v>45762.600532407407</v>
      </c>
      <c r="S47" s="1" t="s">
        <v>667</v>
      </c>
      <c r="T47" s="1" t="s">
        <v>668</v>
      </c>
      <c r="U47" s="1" t="s">
        <v>617</v>
      </c>
      <c r="V47" s="1" t="s">
        <v>616</v>
      </c>
      <c r="W47" s="1" t="s">
        <v>70</v>
      </c>
      <c r="X47" s="1" t="s">
        <v>71</v>
      </c>
      <c r="Y47" s="2" t="s">
        <v>473</v>
      </c>
      <c r="Z47" s="1" t="s">
        <v>473</v>
      </c>
      <c r="AA47" s="2" t="s">
        <v>73</v>
      </c>
      <c r="AB47" s="1" t="s">
        <v>895</v>
      </c>
      <c r="AC47" s="2" t="s">
        <v>73</v>
      </c>
      <c r="AD47" s="2" t="s">
        <v>73</v>
      </c>
      <c r="AE47" s="2" t="s">
        <v>73</v>
      </c>
      <c r="AF47" s="5" t="s">
        <v>73</v>
      </c>
      <c r="AG47" s="5">
        <v>45761.583333333328</v>
      </c>
      <c r="AH47" s="146" t="s">
        <v>84</v>
      </c>
      <c r="AI47" s="3">
        <v>3</v>
      </c>
      <c r="AJ47" s="1" t="s">
        <v>1109</v>
      </c>
      <c r="AK47" s="1" t="s">
        <v>1110</v>
      </c>
      <c r="AL47" s="1" t="s">
        <v>616</v>
      </c>
      <c r="AM47" s="1" t="s">
        <v>617</v>
      </c>
      <c r="AN47" s="1" t="s">
        <v>71</v>
      </c>
      <c r="AO47" s="1" t="s">
        <v>1058</v>
      </c>
      <c r="AP47" s="1" t="s">
        <v>73</v>
      </c>
      <c r="AQ47" s="1" t="s">
        <v>88</v>
      </c>
      <c r="AR47" s="1" t="s">
        <v>114</v>
      </c>
      <c r="AS47" s="1" t="s">
        <v>315</v>
      </c>
      <c r="AT47" s="1" t="s">
        <v>728</v>
      </c>
      <c r="AU47" s="1" t="s">
        <v>127</v>
      </c>
      <c r="AV47" s="1" t="s">
        <v>1059</v>
      </c>
      <c r="AW47" s="1" t="s">
        <v>1060</v>
      </c>
      <c r="AX47" s="146" t="s">
        <v>65</v>
      </c>
      <c r="AY47" s="2">
        <v>2</v>
      </c>
      <c r="AZ47" s="1" t="s">
        <v>1096</v>
      </c>
      <c r="BA47" s="3">
        <v>3.48</v>
      </c>
      <c r="BB47" s="3">
        <v>0.15</v>
      </c>
      <c r="BC47" s="3">
        <v>0.11666700000000001</v>
      </c>
      <c r="BD47" s="3">
        <v>0.183333</v>
      </c>
      <c r="BE47" s="3">
        <v>0.3</v>
      </c>
      <c r="BF47" s="1" t="s">
        <v>73</v>
      </c>
      <c r="BG47" s="1" t="s">
        <v>73</v>
      </c>
      <c r="BH47" s="1" t="s">
        <v>73</v>
      </c>
      <c r="BI47" s="1" t="s">
        <v>73</v>
      </c>
      <c r="BJ47" s="1" t="s">
        <v>73</v>
      </c>
      <c r="BK47" s="1" t="s">
        <v>619</v>
      </c>
      <c r="BL47" s="1" t="s">
        <v>620</v>
      </c>
      <c r="BM47" s="1" t="s">
        <v>621</v>
      </c>
    </row>
    <row r="48" spans="1:65" outlineLevel="1" x14ac:dyDescent="0.25">
      <c r="A48" s="1" t="s">
        <v>1091</v>
      </c>
      <c r="B48" s="1" t="s">
        <v>1092</v>
      </c>
      <c r="C48" s="2">
        <v>7</v>
      </c>
      <c r="D48" s="3">
        <v>83.57</v>
      </c>
      <c r="E48" s="4">
        <v>0.69</v>
      </c>
      <c r="F48" s="1" t="s">
        <v>60</v>
      </c>
      <c r="G48" s="2" t="s">
        <v>420</v>
      </c>
      <c r="H48" s="1" t="s">
        <v>642</v>
      </c>
      <c r="I48" s="1" t="s">
        <v>81</v>
      </c>
      <c r="J48" s="2" t="s">
        <v>82</v>
      </c>
      <c r="K48" s="2" t="s">
        <v>399</v>
      </c>
      <c r="L48" s="1" t="s">
        <v>1081</v>
      </c>
      <c r="M48" s="1" t="s">
        <v>1082</v>
      </c>
      <c r="N48" s="1" t="s">
        <v>1111</v>
      </c>
      <c r="O48" s="146" t="s">
        <v>65</v>
      </c>
      <c r="P48" s="5">
        <v>45761.333333333328</v>
      </c>
      <c r="Q48" s="6">
        <v>45762</v>
      </c>
      <c r="R48" s="5">
        <v>45762.611481481479</v>
      </c>
      <c r="S48" s="1" t="s">
        <v>667</v>
      </c>
      <c r="T48" s="1" t="s">
        <v>668</v>
      </c>
      <c r="U48" s="1" t="s">
        <v>617</v>
      </c>
      <c r="V48" s="1" t="s">
        <v>616</v>
      </c>
      <c r="W48" s="1" t="s">
        <v>70</v>
      </c>
      <c r="X48" s="1" t="s">
        <v>71</v>
      </c>
      <c r="Y48" s="2" t="s">
        <v>473</v>
      </c>
      <c r="Z48" s="1" t="s">
        <v>473</v>
      </c>
      <c r="AA48" s="2" t="s">
        <v>73</v>
      </c>
      <c r="AB48" s="1" t="s">
        <v>895</v>
      </c>
      <c r="AC48" s="2" t="s">
        <v>73</v>
      </c>
      <c r="AD48" s="2" t="s">
        <v>73</v>
      </c>
      <c r="AE48" s="2" t="s">
        <v>73</v>
      </c>
      <c r="AF48" s="5" t="s">
        <v>73</v>
      </c>
      <c r="AG48" s="5">
        <v>45761.583333333328</v>
      </c>
      <c r="AH48" s="146" t="s">
        <v>84</v>
      </c>
      <c r="AI48" s="3">
        <v>4</v>
      </c>
      <c r="AJ48" s="1" t="s">
        <v>1112</v>
      </c>
      <c r="AK48" s="1" t="s">
        <v>1113</v>
      </c>
      <c r="AL48" s="1" t="s">
        <v>616</v>
      </c>
      <c r="AM48" s="1" t="s">
        <v>617</v>
      </c>
      <c r="AN48" s="1" t="s">
        <v>71</v>
      </c>
      <c r="AO48" s="1" t="s">
        <v>1083</v>
      </c>
      <c r="AP48" s="1" t="s">
        <v>1083</v>
      </c>
      <c r="AQ48" s="1" t="s">
        <v>1084</v>
      </c>
      <c r="AR48" s="1" t="s">
        <v>123</v>
      </c>
      <c r="AS48" s="1" t="s">
        <v>1085</v>
      </c>
      <c r="AT48" s="1" t="s">
        <v>1086</v>
      </c>
      <c r="AU48" s="1" t="s">
        <v>1087</v>
      </c>
      <c r="AV48" s="1" t="s">
        <v>1088</v>
      </c>
      <c r="AW48" s="1" t="s">
        <v>1089</v>
      </c>
      <c r="AX48" s="146" t="s">
        <v>65</v>
      </c>
      <c r="AY48" s="2">
        <v>2</v>
      </c>
      <c r="AZ48" s="1" t="s">
        <v>1096</v>
      </c>
      <c r="BA48" s="3">
        <v>2.92</v>
      </c>
      <c r="BB48" s="3">
        <v>0.84166649999999998</v>
      </c>
      <c r="BC48" s="3">
        <v>1.3833329999999999</v>
      </c>
      <c r="BD48" s="3">
        <v>0.3</v>
      </c>
      <c r="BE48" s="3">
        <v>1.68333333333333</v>
      </c>
      <c r="BF48" s="1" t="s">
        <v>73</v>
      </c>
      <c r="BG48" s="1" t="s">
        <v>73</v>
      </c>
      <c r="BH48" s="1" t="s">
        <v>73</v>
      </c>
      <c r="BI48" s="1" t="s">
        <v>73</v>
      </c>
      <c r="BJ48" s="1" t="s">
        <v>73</v>
      </c>
      <c r="BK48" s="1" t="s">
        <v>619</v>
      </c>
      <c r="BL48" s="1" t="s">
        <v>620</v>
      </c>
      <c r="BM48" s="1" t="s">
        <v>621</v>
      </c>
    </row>
    <row r="49" spans="1:65" x14ac:dyDescent="0.25">
      <c r="A49" s="142" t="s">
        <v>1114</v>
      </c>
      <c r="B49" s="142"/>
      <c r="C49" s="143" t="str">
        <f>CONCATENATE("Max=",TEXT(SUBTOTAL(4,C50:C53), "0"),"")</f>
        <v>Max=4</v>
      </c>
      <c r="D49" s="144" t="str">
        <f>CONCATENATE("∑=",IF(SUBTOTAL(9,D50:D53)=TRUNC(SUBTOTAL(9,D50:D53)),TEXT(SUBTOTAL(9,D50:D53), "0"),TEXT(SUBTOTAL(9,D50:D53), "#,##")),"")</f>
        <v>∑=507,86</v>
      </c>
      <c r="E49" s="145" t="str">
        <f>CONCATENATE("∑=",IF(SUBTOTAL(9,E50:E53)=TRUNC(SUBTOTAL(9,E50:E53)),TEXT(SUBTOTAL(9,E50:E53), "0"),TEXT(SUBTOTAL(9,E50:E53), "#,##")),"")</f>
        <v>∑=2,72</v>
      </c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</row>
    <row r="50" spans="1:65" outlineLevel="1" x14ac:dyDescent="0.25">
      <c r="A50" s="1" t="s">
        <v>1115</v>
      </c>
      <c r="B50" s="1" t="s">
        <v>1116</v>
      </c>
      <c r="C50" s="2">
        <v>1</v>
      </c>
      <c r="D50" s="3">
        <v>0</v>
      </c>
      <c r="E50" s="4">
        <v>4.0000000000000001E-3</v>
      </c>
      <c r="F50" s="1" t="s">
        <v>60</v>
      </c>
      <c r="G50" s="2" t="s">
        <v>420</v>
      </c>
      <c r="H50" s="1" t="s">
        <v>642</v>
      </c>
      <c r="I50" s="1" t="s">
        <v>81</v>
      </c>
      <c r="J50" s="2" t="s">
        <v>82</v>
      </c>
      <c r="K50" s="2" t="s">
        <v>399</v>
      </c>
      <c r="L50" s="1" t="s">
        <v>1014</v>
      </c>
      <c r="M50" s="1" t="s">
        <v>1015</v>
      </c>
      <c r="N50" s="1" t="s">
        <v>1117</v>
      </c>
      <c r="O50" s="146" t="s">
        <v>65</v>
      </c>
      <c r="P50" s="5">
        <v>45761.333333333328</v>
      </c>
      <c r="Q50" s="6">
        <v>45765</v>
      </c>
      <c r="R50" s="5">
        <v>45765.333368055552</v>
      </c>
      <c r="S50" s="1" t="s">
        <v>667</v>
      </c>
      <c r="T50" s="1" t="s">
        <v>668</v>
      </c>
      <c r="U50" s="1" t="s">
        <v>617</v>
      </c>
      <c r="V50" s="1" t="s">
        <v>616</v>
      </c>
      <c r="W50" s="1" t="s">
        <v>70</v>
      </c>
      <c r="X50" s="1" t="s">
        <v>71</v>
      </c>
      <c r="Y50" s="2" t="s">
        <v>477</v>
      </c>
      <c r="Z50" s="1" t="s">
        <v>1118</v>
      </c>
      <c r="AA50" s="2" t="s">
        <v>73</v>
      </c>
      <c r="AB50" s="1" t="s">
        <v>895</v>
      </c>
      <c r="AC50" s="2" t="s">
        <v>73</v>
      </c>
      <c r="AD50" s="2" t="s">
        <v>73</v>
      </c>
      <c r="AE50" s="2" t="s">
        <v>73</v>
      </c>
      <c r="AF50" s="5">
        <v>45765.333333333328</v>
      </c>
      <c r="AG50" s="5">
        <v>45765.333333333328</v>
      </c>
      <c r="AH50" s="146" t="s">
        <v>84</v>
      </c>
      <c r="AI50" s="3">
        <v>4</v>
      </c>
      <c r="AJ50" s="1" t="s">
        <v>1119</v>
      </c>
      <c r="AK50" s="1" t="s">
        <v>1120</v>
      </c>
      <c r="AL50" s="1" t="s">
        <v>1121</v>
      </c>
      <c r="AM50" s="1" t="s">
        <v>1122</v>
      </c>
      <c r="AN50" s="1" t="s">
        <v>71</v>
      </c>
      <c r="AO50" s="1" t="s">
        <v>1016</v>
      </c>
      <c r="AP50" s="1" t="s">
        <v>1017</v>
      </c>
      <c r="AQ50" s="1" t="s">
        <v>111</v>
      </c>
      <c r="AR50" s="1" t="s">
        <v>114</v>
      </c>
      <c r="AS50" s="1" t="s">
        <v>315</v>
      </c>
      <c r="AT50" s="1" t="s">
        <v>1018</v>
      </c>
      <c r="AU50" s="1" t="s">
        <v>1019</v>
      </c>
      <c r="AV50" s="1" t="s">
        <v>1020</v>
      </c>
      <c r="AW50" s="1" t="s">
        <v>1021</v>
      </c>
      <c r="AX50" s="146" t="s">
        <v>65</v>
      </c>
      <c r="AY50" s="2">
        <v>2</v>
      </c>
      <c r="AZ50" s="1" t="s">
        <v>1123</v>
      </c>
      <c r="BA50" s="3">
        <v>17.34</v>
      </c>
      <c r="BB50" s="3">
        <v>0.19166649999999999</v>
      </c>
      <c r="BC50" s="3">
        <v>0</v>
      </c>
      <c r="BD50" s="3">
        <v>0.38333299999999998</v>
      </c>
      <c r="BE50" s="3">
        <v>0.38333333333333303</v>
      </c>
      <c r="BF50" s="1" t="s">
        <v>73</v>
      </c>
      <c r="BG50" s="1" t="s">
        <v>73</v>
      </c>
      <c r="BH50" s="1" t="s">
        <v>73</v>
      </c>
      <c r="BI50" s="1" t="s">
        <v>73</v>
      </c>
      <c r="BJ50" s="1" t="s">
        <v>73</v>
      </c>
      <c r="BK50" s="1" t="s">
        <v>840</v>
      </c>
      <c r="BL50" s="1" t="s">
        <v>841</v>
      </c>
      <c r="BM50" s="1" t="s">
        <v>842</v>
      </c>
    </row>
    <row r="51" spans="1:65" outlineLevel="1" x14ac:dyDescent="0.25">
      <c r="A51" s="1" t="s">
        <v>1115</v>
      </c>
      <c r="B51" s="1" t="s">
        <v>1116</v>
      </c>
      <c r="C51" s="2">
        <v>2</v>
      </c>
      <c r="D51" s="3">
        <v>214.1</v>
      </c>
      <c r="E51" s="4">
        <v>1.64</v>
      </c>
      <c r="F51" s="1" t="s">
        <v>60</v>
      </c>
      <c r="G51" s="2" t="s">
        <v>420</v>
      </c>
      <c r="H51" s="1" t="s">
        <v>642</v>
      </c>
      <c r="I51" s="1" t="s">
        <v>81</v>
      </c>
      <c r="J51" s="2" t="s">
        <v>82</v>
      </c>
      <c r="K51" s="2" t="s">
        <v>399</v>
      </c>
      <c r="L51" s="1" t="s">
        <v>1027</v>
      </c>
      <c r="M51" s="1" t="s">
        <v>1028</v>
      </c>
      <c r="N51" s="1" t="s">
        <v>1124</v>
      </c>
      <c r="O51" s="146" t="s">
        <v>65</v>
      </c>
      <c r="P51" s="5">
        <v>45761.333333333328</v>
      </c>
      <c r="Q51" s="6">
        <v>45765</v>
      </c>
      <c r="R51" s="5">
        <v>45765.364224537036</v>
      </c>
      <c r="S51" s="1" t="s">
        <v>667</v>
      </c>
      <c r="T51" s="1" t="s">
        <v>668</v>
      </c>
      <c r="U51" s="1" t="s">
        <v>617</v>
      </c>
      <c r="V51" s="1" t="s">
        <v>616</v>
      </c>
      <c r="W51" s="1" t="s">
        <v>70</v>
      </c>
      <c r="X51" s="1" t="s">
        <v>71</v>
      </c>
      <c r="Y51" s="2" t="s">
        <v>477</v>
      </c>
      <c r="Z51" s="1" t="s">
        <v>1118</v>
      </c>
      <c r="AA51" s="2" t="s">
        <v>73</v>
      </c>
      <c r="AB51" s="1" t="s">
        <v>895</v>
      </c>
      <c r="AC51" s="2" t="s">
        <v>73</v>
      </c>
      <c r="AD51" s="2" t="s">
        <v>73</v>
      </c>
      <c r="AE51" s="2" t="s">
        <v>73</v>
      </c>
      <c r="AF51" s="5" t="s">
        <v>73</v>
      </c>
      <c r="AG51" s="5">
        <v>45765.333333333328</v>
      </c>
      <c r="AH51" s="146" t="s">
        <v>84</v>
      </c>
      <c r="AI51" s="3">
        <v>7</v>
      </c>
      <c r="AJ51" s="1" t="s">
        <v>1125</v>
      </c>
      <c r="AK51" s="1" t="s">
        <v>1126</v>
      </c>
      <c r="AL51" s="1" t="s">
        <v>1127</v>
      </c>
      <c r="AM51" s="1" t="s">
        <v>1128</v>
      </c>
      <c r="AN51" s="1" t="s">
        <v>71</v>
      </c>
      <c r="AO51" s="1" t="s">
        <v>1029</v>
      </c>
      <c r="AP51" s="1" t="s">
        <v>1030</v>
      </c>
      <c r="AQ51" s="1" t="s">
        <v>120</v>
      </c>
      <c r="AR51" s="1" t="s">
        <v>114</v>
      </c>
      <c r="AS51" s="1" t="s">
        <v>315</v>
      </c>
      <c r="AT51" s="1" t="s">
        <v>1018</v>
      </c>
      <c r="AU51" s="1" t="s">
        <v>1031</v>
      </c>
      <c r="AV51" s="1" t="s">
        <v>1032</v>
      </c>
      <c r="AW51" s="1" t="s">
        <v>1033</v>
      </c>
      <c r="AX51" s="146" t="s">
        <v>65</v>
      </c>
      <c r="AY51" s="2">
        <v>2</v>
      </c>
      <c r="AZ51" s="1" t="s">
        <v>1123</v>
      </c>
      <c r="BA51" s="3">
        <v>6.94</v>
      </c>
      <c r="BB51" s="3">
        <v>1.0083335</v>
      </c>
      <c r="BC51" s="3">
        <v>1.1166670000000001</v>
      </c>
      <c r="BD51" s="3">
        <v>0.9</v>
      </c>
      <c r="BE51" s="3">
        <v>2.0166666666666702</v>
      </c>
      <c r="BF51" s="1" t="s">
        <v>73</v>
      </c>
      <c r="BG51" s="1" t="s">
        <v>73</v>
      </c>
      <c r="BH51" s="1" t="s">
        <v>73</v>
      </c>
      <c r="BI51" s="1" t="s">
        <v>73</v>
      </c>
      <c r="BJ51" s="1" t="s">
        <v>73</v>
      </c>
      <c r="BK51" s="1" t="s">
        <v>840</v>
      </c>
      <c r="BL51" s="1" t="s">
        <v>841</v>
      </c>
      <c r="BM51" s="1" t="s">
        <v>842</v>
      </c>
    </row>
    <row r="52" spans="1:65" outlineLevel="1" x14ac:dyDescent="0.25">
      <c r="A52" s="1" t="s">
        <v>1115</v>
      </c>
      <c r="B52" s="1" t="s">
        <v>1116</v>
      </c>
      <c r="C52" s="2">
        <v>3</v>
      </c>
      <c r="D52" s="3">
        <v>217.76</v>
      </c>
      <c r="E52" s="4">
        <v>0.68300000000000005</v>
      </c>
      <c r="F52" s="1" t="s">
        <v>60</v>
      </c>
      <c r="G52" s="2" t="s">
        <v>420</v>
      </c>
      <c r="H52" s="1" t="s">
        <v>642</v>
      </c>
      <c r="I52" s="1" t="s">
        <v>81</v>
      </c>
      <c r="J52" s="2" t="s">
        <v>82</v>
      </c>
      <c r="K52" s="2" t="s">
        <v>399</v>
      </c>
      <c r="L52" s="1" t="s">
        <v>1061</v>
      </c>
      <c r="M52" s="1" t="s">
        <v>1062</v>
      </c>
      <c r="N52" s="1" t="s">
        <v>1129</v>
      </c>
      <c r="O52" s="146" t="s">
        <v>65</v>
      </c>
      <c r="P52" s="5">
        <v>45762.333333333328</v>
      </c>
      <c r="Q52" s="6">
        <v>45765</v>
      </c>
      <c r="R52" s="5">
        <v>45765.419675925921</v>
      </c>
      <c r="S52" s="1" t="s">
        <v>667</v>
      </c>
      <c r="T52" s="1" t="s">
        <v>668</v>
      </c>
      <c r="U52" s="1" t="s">
        <v>617</v>
      </c>
      <c r="V52" s="1" t="s">
        <v>616</v>
      </c>
      <c r="W52" s="1" t="s">
        <v>70</v>
      </c>
      <c r="X52" s="1" t="s">
        <v>71</v>
      </c>
      <c r="Y52" s="2" t="s">
        <v>477</v>
      </c>
      <c r="Z52" s="1" t="s">
        <v>1118</v>
      </c>
      <c r="AA52" s="2" t="s">
        <v>73</v>
      </c>
      <c r="AB52" s="1" t="s">
        <v>895</v>
      </c>
      <c r="AC52" s="2" t="s">
        <v>73</v>
      </c>
      <c r="AD52" s="2" t="s">
        <v>73</v>
      </c>
      <c r="AE52" s="2" t="s">
        <v>73</v>
      </c>
      <c r="AF52" s="5" t="s">
        <v>73</v>
      </c>
      <c r="AG52" s="5">
        <v>45765.416666666664</v>
      </c>
      <c r="AH52" s="146" t="s">
        <v>84</v>
      </c>
      <c r="AI52" s="3">
        <v>12</v>
      </c>
      <c r="AJ52" s="1" t="s">
        <v>1130</v>
      </c>
      <c r="AK52" s="1" t="s">
        <v>1131</v>
      </c>
      <c r="AL52" s="1" t="s">
        <v>616</v>
      </c>
      <c r="AM52" s="1" t="s">
        <v>617</v>
      </c>
      <c r="AN52" s="1" t="s">
        <v>71</v>
      </c>
      <c r="AO52" s="1" t="s">
        <v>1063</v>
      </c>
      <c r="AP52" s="1" t="s">
        <v>1064</v>
      </c>
      <c r="AQ52" s="1" t="s">
        <v>254</v>
      </c>
      <c r="AR52" s="1" t="s">
        <v>114</v>
      </c>
      <c r="AS52" s="1" t="s">
        <v>315</v>
      </c>
      <c r="AT52" s="1" t="s">
        <v>700</v>
      </c>
      <c r="AU52" s="1" t="s">
        <v>246</v>
      </c>
      <c r="AV52" s="1" t="s">
        <v>1065</v>
      </c>
      <c r="AW52" s="1" t="s">
        <v>1066</v>
      </c>
      <c r="AX52" s="146" t="s">
        <v>65</v>
      </c>
      <c r="AY52" s="2">
        <v>2</v>
      </c>
      <c r="AZ52" s="1" t="s">
        <v>1123</v>
      </c>
      <c r="BA52" s="3">
        <v>2.2999999999999998</v>
      </c>
      <c r="BB52" s="3">
        <v>1.4916665</v>
      </c>
      <c r="BC52" s="3">
        <v>2.016667</v>
      </c>
      <c r="BD52" s="3">
        <v>0.96666700000000005</v>
      </c>
      <c r="BE52" s="3">
        <v>2.9833333333333298</v>
      </c>
      <c r="BF52" s="1" t="s">
        <v>73</v>
      </c>
      <c r="BG52" s="1" t="s">
        <v>73</v>
      </c>
      <c r="BH52" s="1" t="s">
        <v>73</v>
      </c>
      <c r="BI52" s="1" t="s">
        <v>73</v>
      </c>
      <c r="BJ52" s="1" t="s">
        <v>73</v>
      </c>
      <c r="BK52" s="1" t="s">
        <v>619</v>
      </c>
      <c r="BL52" s="1" t="s">
        <v>620</v>
      </c>
      <c r="BM52" s="1" t="s">
        <v>621</v>
      </c>
    </row>
    <row r="53" spans="1:65" outlineLevel="1" x14ac:dyDescent="0.25">
      <c r="A53" s="1" t="s">
        <v>1115</v>
      </c>
      <c r="B53" s="1" t="s">
        <v>1116</v>
      </c>
      <c r="C53" s="2">
        <v>4</v>
      </c>
      <c r="D53" s="3">
        <v>76</v>
      </c>
      <c r="E53" s="4">
        <v>0.38800000000000001</v>
      </c>
      <c r="F53" s="1" t="s">
        <v>60</v>
      </c>
      <c r="G53" s="2" t="s">
        <v>420</v>
      </c>
      <c r="H53" s="1" t="s">
        <v>642</v>
      </c>
      <c r="I53" s="1" t="s">
        <v>81</v>
      </c>
      <c r="J53" s="2" t="s">
        <v>82</v>
      </c>
      <c r="K53" s="2" t="s">
        <v>399</v>
      </c>
      <c r="L53" s="1" t="s">
        <v>1067</v>
      </c>
      <c r="M53" s="1" t="s">
        <v>1068</v>
      </c>
      <c r="N53" s="1" t="s">
        <v>1132</v>
      </c>
      <c r="O53" s="146" t="s">
        <v>65</v>
      </c>
      <c r="P53" s="5">
        <v>45762.333333333328</v>
      </c>
      <c r="Q53" s="6">
        <v>45765</v>
      </c>
      <c r="R53" s="5">
        <v>45765.485879629625</v>
      </c>
      <c r="S53" s="1" t="s">
        <v>667</v>
      </c>
      <c r="T53" s="1" t="s">
        <v>668</v>
      </c>
      <c r="U53" s="1" t="s">
        <v>617</v>
      </c>
      <c r="V53" s="1" t="s">
        <v>616</v>
      </c>
      <c r="W53" s="1" t="s">
        <v>70</v>
      </c>
      <c r="X53" s="1" t="s">
        <v>71</v>
      </c>
      <c r="Y53" s="2" t="s">
        <v>477</v>
      </c>
      <c r="Z53" s="1" t="s">
        <v>1118</v>
      </c>
      <c r="AA53" s="2" t="s">
        <v>73</v>
      </c>
      <c r="AB53" s="1" t="s">
        <v>895</v>
      </c>
      <c r="AC53" s="2" t="s">
        <v>73</v>
      </c>
      <c r="AD53" s="2" t="s">
        <v>73</v>
      </c>
      <c r="AE53" s="2" t="s">
        <v>73</v>
      </c>
      <c r="AF53" s="5" t="s">
        <v>73</v>
      </c>
      <c r="AG53" s="5">
        <v>45765.458333333328</v>
      </c>
      <c r="AH53" s="146" t="s">
        <v>84</v>
      </c>
      <c r="AI53" s="3">
        <v>2</v>
      </c>
      <c r="AJ53" s="1" t="s">
        <v>1133</v>
      </c>
      <c r="AK53" s="1" t="s">
        <v>1134</v>
      </c>
      <c r="AL53" s="1" t="s">
        <v>616</v>
      </c>
      <c r="AM53" s="1" t="s">
        <v>617</v>
      </c>
      <c r="AN53" s="1" t="s">
        <v>71</v>
      </c>
      <c r="AO53" s="1" t="s">
        <v>1069</v>
      </c>
      <c r="AP53" s="1" t="s">
        <v>1069</v>
      </c>
      <c r="AQ53" s="1" t="s">
        <v>75</v>
      </c>
      <c r="AR53" s="1" t="s">
        <v>114</v>
      </c>
      <c r="AS53" s="1" t="s">
        <v>315</v>
      </c>
      <c r="AT53" s="1" t="s">
        <v>1070</v>
      </c>
      <c r="AU53" s="1" t="s">
        <v>108</v>
      </c>
      <c r="AV53" s="1" t="s">
        <v>1071</v>
      </c>
      <c r="AW53" s="1" t="s">
        <v>1071</v>
      </c>
      <c r="AX53" s="146" t="s">
        <v>65</v>
      </c>
      <c r="AY53" s="2">
        <v>2</v>
      </c>
      <c r="AZ53" s="1" t="s">
        <v>1123</v>
      </c>
      <c r="BA53" s="3">
        <v>1.53</v>
      </c>
      <c r="BB53" s="3">
        <v>0.15</v>
      </c>
      <c r="BC53" s="3">
        <v>0.11666700000000001</v>
      </c>
      <c r="BD53" s="3">
        <v>0.183333</v>
      </c>
      <c r="BE53" s="3">
        <v>0.3</v>
      </c>
      <c r="BF53" s="1" t="s">
        <v>73</v>
      </c>
      <c r="BG53" s="1" t="s">
        <v>73</v>
      </c>
      <c r="BH53" s="1" t="s">
        <v>73</v>
      </c>
      <c r="BI53" s="1" t="s">
        <v>73</v>
      </c>
      <c r="BJ53" s="1" t="s">
        <v>73</v>
      </c>
      <c r="BK53" s="1" t="s">
        <v>619</v>
      </c>
      <c r="BL53" s="1" t="s">
        <v>620</v>
      </c>
      <c r="BM53" s="1" t="s">
        <v>621</v>
      </c>
    </row>
    <row r="54" spans="1:65" x14ac:dyDescent="0.25">
      <c r="A54" s="142" t="s">
        <v>1136</v>
      </c>
      <c r="B54" s="142"/>
      <c r="C54" s="143" t="str">
        <f>CONCATENATE("Max=",TEXT(SUBTOTAL(4,C55:C56), "0"),"")</f>
        <v>Max=2</v>
      </c>
      <c r="D54" s="144" t="str">
        <f>CONCATENATE("∑=",IF(SUBTOTAL(9,D55:D56)=TRUNC(SUBTOTAL(9,D55:D56)),TEXT(SUBTOTAL(9,D55:D56), "0"),TEXT(SUBTOTAL(9,D55:D56), "#,##")),"")</f>
        <v>∑=4709,88</v>
      </c>
      <c r="E54" s="145" t="str">
        <f>CONCATENATE("∑=",IF(SUBTOTAL(9,E55:E56)=TRUNC(SUBTOTAL(9,E55:E56)),TEXT(SUBTOTAL(9,E55:E56), "0"),TEXT(SUBTOTAL(9,E55:E56), "#,##")),"")</f>
        <v>∑=27,24</v>
      </c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</row>
    <row r="55" spans="1:65" outlineLevel="1" x14ac:dyDescent="0.25">
      <c r="A55" s="1" t="s">
        <v>1137</v>
      </c>
      <c r="B55" s="1" t="s">
        <v>1138</v>
      </c>
      <c r="C55" s="2">
        <v>1</v>
      </c>
      <c r="D55" s="3">
        <v>857.24</v>
      </c>
      <c r="E55" s="4">
        <v>4.4000000000000004</v>
      </c>
      <c r="F55" s="1" t="s">
        <v>60</v>
      </c>
      <c r="G55" s="2" t="s">
        <v>420</v>
      </c>
      <c r="H55" s="1" t="s">
        <v>626</v>
      </c>
      <c r="I55" s="1" t="s">
        <v>81</v>
      </c>
      <c r="J55" s="2" t="s">
        <v>82</v>
      </c>
      <c r="K55" s="2" t="s">
        <v>83</v>
      </c>
      <c r="L55" s="1" t="s">
        <v>1139</v>
      </c>
      <c r="M55" s="1" t="s">
        <v>1140</v>
      </c>
      <c r="N55" s="1" t="s">
        <v>1141</v>
      </c>
      <c r="O55" s="146" t="s">
        <v>65</v>
      </c>
      <c r="P55" s="5">
        <v>45769.333333333328</v>
      </c>
      <c r="Q55" s="6">
        <v>45771</v>
      </c>
      <c r="R55" s="5">
        <v>45771.333368055552</v>
      </c>
      <c r="S55" s="1" t="s">
        <v>66</v>
      </c>
      <c r="T55" s="1" t="s">
        <v>67</v>
      </c>
      <c r="U55" s="1" t="s">
        <v>68</v>
      </c>
      <c r="V55" s="1" t="s">
        <v>69</v>
      </c>
      <c r="W55" s="1" t="s">
        <v>70</v>
      </c>
      <c r="X55" s="1" t="s">
        <v>71</v>
      </c>
      <c r="Y55" s="2" t="s">
        <v>73</v>
      </c>
      <c r="Z55" s="1" t="s">
        <v>73</v>
      </c>
      <c r="AA55" s="2" t="s">
        <v>380</v>
      </c>
      <c r="AB55" s="1" t="s">
        <v>1142</v>
      </c>
      <c r="AC55" s="2" t="s">
        <v>417</v>
      </c>
      <c r="AD55" s="2" t="s">
        <v>73</v>
      </c>
      <c r="AE55" s="2" t="s">
        <v>73</v>
      </c>
      <c r="AF55" s="5">
        <v>45771.333333333328</v>
      </c>
      <c r="AG55" s="5">
        <v>45771.333333333328</v>
      </c>
      <c r="AH55" s="146" t="s">
        <v>65</v>
      </c>
      <c r="AI55" s="3">
        <v>25</v>
      </c>
      <c r="AJ55" s="1" t="s">
        <v>1143</v>
      </c>
      <c r="AK55" s="1" t="s">
        <v>1144</v>
      </c>
      <c r="AL55" s="1" t="s">
        <v>616</v>
      </c>
      <c r="AM55" s="1" t="s">
        <v>617</v>
      </c>
      <c r="AN55" s="1" t="s">
        <v>71</v>
      </c>
      <c r="AO55" s="1" t="s">
        <v>1145</v>
      </c>
      <c r="AP55" s="1" t="s">
        <v>1146</v>
      </c>
      <c r="AQ55" s="1" t="s">
        <v>1147</v>
      </c>
      <c r="AR55" s="1" t="s">
        <v>114</v>
      </c>
      <c r="AS55" s="1" t="s">
        <v>315</v>
      </c>
      <c r="AT55" s="1" t="s">
        <v>1148</v>
      </c>
      <c r="AU55" s="1" t="s">
        <v>1149</v>
      </c>
      <c r="AV55" s="1" t="s">
        <v>1150</v>
      </c>
      <c r="AW55" s="1" t="s">
        <v>1151</v>
      </c>
      <c r="AX55" s="146" t="s">
        <v>65</v>
      </c>
      <c r="AY55" s="2">
        <v>4</v>
      </c>
      <c r="AZ55" s="1" t="s">
        <v>1152</v>
      </c>
      <c r="BA55" s="3">
        <v>531.97</v>
      </c>
      <c r="BB55" s="3">
        <v>1.63333325</v>
      </c>
      <c r="BC55" s="3">
        <v>4.3499999999999996</v>
      </c>
      <c r="BD55" s="3">
        <v>2.1833330000000002</v>
      </c>
      <c r="BE55" s="3">
        <v>6.5333333333333297</v>
      </c>
      <c r="BF55" s="1" t="s">
        <v>73</v>
      </c>
      <c r="BG55" s="1" t="s">
        <v>73</v>
      </c>
      <c r="BH55" s="1" t="s">
        <v>73</v>
      </c>
      <c r="BI55" s="1" t="s">
        <v>73</v>
      </c>
      <c r="BJ55" s="1" t="s">
        <v>73</v>
      </c>
      <c r="BK55" s="1" t="s">
        <v>840</v>
      </c>
      <c r="BL55" s="1" t="s">
        <v>841</v>
      </c>
      <c r="BM55" s="1" t="s">
        <v>842</v>
      </c>
    </row>
    <row r="56" spans="1:65" outlineLevel="1" x14ac:dyDescent="0.25">
      <c r="A56" s="1" t="s">
        <v>1137</v>
      </c>
      <c r="B56" s="1" t="s">
        <v>1138</v>
      </c>
      <c r="C56" s="2">
        <v>2</v>
      </c>
      <c r="D56" s="3">
        <v>3852.64</v>
      </c>
      <c r="E56" s="4">
        <v>22.844000000000001</v>
      </c>
      <c r="F56" s="1" t="s">
        <v>60</v>
      </c>
      <c r="G56" s="2" t="s">
        <v>420</v>
      </c>
      <c r="H56" s="1" t="s">
        <v>626</v>
      </c>
      <c r="I56" s="1" t="s">
        <v>81</v>
      </c>
      <c r="J56" s="2" t="s">
        <v>82</v>
      </c>
      <c r="K56" s="2" t="s">
        <v>83</v>
      </c>
      <c r="L56" s="1" t="s">
        <v>1153</v>
      </c>
      <c r="M56" s="1" t="s">
        <v>1154</v>
      </c>
      <c r="N56" s="1" t="s">
        <v>1155</v>
      </c>
      <c r="O56" s="146" t="s">
        <v>65</v>
      </c>
      <c r="P56" s="5">
        <v>45769.333333333328</v>
      </c>
      <c r="Q56" s="6">
        <v>45771</v>
      </c>
      <c r="R56" s="5">
        <v>45771.401504629626</v>
      </c>
      <c r="S56" s="1" t="s">
        <v>66</v>
      </c>
      <c r="T56" s="1" t="s">
        <v>67</v>
      </c>
      <c r="U56" s="1" t="s">
        <v>68</v>
      </c>
      <c r="V56" s="1" t="s">
        <v>69</v>
      </c>
      <c r="W56" s="1" t="s">
        <v>70</v>
      </c>
      <c r="X56" s="1" t="s">
        <v>71</v>
      </c>
      <c r="Y56" s="2" t="s">
        <v>73</v>
      </c>
      <c r="Z56" s="1" t="s">
        <v>73</v>
      </c>
      <c r="AA56" s="2" t="s">
        <v>380</v>
      </c>
      <c r="AB56" s="1" t="s">
        <v>1142</v>
      </c>
      <c r="AC56" s="2" t="s">
        <v>417</v>
      </c>
      <c r="AD56" s="2" t="s">
        <v>73</v>
      </c>
      <c r="AE56" s="2" t="s">
        <v>73</v>
      </c>
      <c r="AF56" s="5" t="s">
        <v>73</v>
      </c>
      <c r="AG56" s="5">
        <v>45771.375</v>
      </c>
      <c r="AH56" s="146" t="s">
        <v>65</v>
      </c>
      <c r="AI56" s="3">
        <v>126</v>
      </c>
      <c r="AJ56" s="1" t="s">
        <v>1143</v>
      </c>
      <c r="AK56" s="1" t="s">
        <v>1156</v>
      </c>
      <c r="AL56" s="1" t="s">
        <v>616</v>
      </c>
      <c r="AM56" s="1" t="s">
        <v>617</v>
      </c>
      <c r="AN56" s="1" t="s">
        <v>71</v>
      </c>
      <c r="AO56" s="1" t="s">
        <v>1145</v>
      </c>
      <c r="AP56" s="1" t="s">
        <v>1157</v>
      </c>
      <c r="AQ56" s="1" t="s">
        <v>234</v>
      </c>
      <c r="AR56" s="1" t="s">
        <v>114</v>
      </c>
      <c r="AS56" s="1" t="s">
        <v>315</v>
      </c>
      <c r="AT56" s="1" t="s">
        <v>1148</v>
      </c>
      <c r="AU56" s="1" t="s">
        <v>1011</v>
      </c>
      <c r="AV56" s="1" t="s">
        <v>1158</v>
      </c>
      <c r="AW56" s="1" t="s">
        <v>1159</v>
      </c>
      <c r="AX56" s="146" t="s">
        <v>65</v>
      </c>
      <c r="AY56" s="2">
        <v>4</v>
      </c>
      <c r="AZ56" s="1" t="s">
        <v>1152</v>
      </c>
      <c r="BA56" s="3">
        <v>531.97</v>
      </c>
      <c r="BB56" s="3">
        <v>7.7083332499999999</v>
      </c>
      <c r="BC56" s="3">
        <v>20.350000000000001</v>
      </c>
      <c r="BD56" s="3">
        <v>10.483333</v>
      </c>
      <c r="BE56" s="3">
        <v>30.8333333333333</v>
      </c>
      <c r="BF56" s="1" t="s">
        <v>73</v>
      </c>
      <c r="BG56" s="1" t="s">
        <v>73</v>
      </c>
      <c r="BH56" s="1" t="s">
        <v>73</v>
      </c>
      <c r="BI56" s="1" t="s">
        <v>73</v>
      </c>
      <c r="BJ56" s="1" t="s">
        <v>73</v>
      </c>
      <c r="BK56" s="1" t="s">
        <v>840</v>
      </c>
      <c r="BL56" s="1" t="s">
        <v>841</v>
      </c>
      <c r="BM56" s="1" t="s">
        <v>842</v>
      </c>
    </row>
    <row r="57" spans="1:65" x14ac:dyDescent="0.25">
      <c r="A57" s="142" t="s">
        <v>1160</v>
      </c>
      <c r="B57" s="142"/>
      <c r="C57" s="143" t="str">
        <f>CONCATENATE("Max=",TEXT(SUBTOTAL(4,C58), "0"),"")</f>
        <v>Max=0</v>
      </c>
      <c r="D57" s="144" t="str">
        <f>CONCATENATE("∑=",IF(SUBTOTAL(9,D58)=TRUNC(SUBTOTAL(9,D58)),TEXT(SUBTOTAL(9,D58), "0"),TEXT(SUBTOTAL(9,D58), "#,##")),"")</f>
        <v>∑=2658,31</v>
      </c>
      <c r="E57" s="145" t="str">
        <f>CONCATENATE("∑=",IF(SUBTOTAL(9,E58)=TRUNC(SUBTOTAL(9,E58)),TEXT(SUBTOTAL(9,E58), "0"),TEXT(SUBTOTAL(9,E58), "#,##")),"")</f>
        <v>∑=17,16</v>
      </c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</row>
    <row r="58" spans="1:65" outlineLevel="1" x14ac:dyDescent="0.25">
      <c r="A58" s="1" t="s">
        <v>1161</v>
      </c>
      <c r="B58" s="1" t="s">
        <v>1162</v>
      </c>
      <c r="C58" s="2">
        <v>0</v>
      </c>
      <c r="D58" s="3">
        <v>2658.31</v>
      </c>
      <c r="E58" s="4">
        <v>17.16</v>
      </c>
      <c r="F58" s="1" t="s">
        <v>60</v>
      </c>
      <c r="G58" s="2" t="s">
        <v>420</v>
      </c>
      <c r="H58" s="1" t="s">
        <v>626</v>
      </c>
      <c r="I58" s="1" t="s">
        <v>81</v>
      </c>
      <c r="J58" s="2" t="s">
        <v>82</v>
      </c>
      <c r="K58" s="2" t="s">
        <v>73</v>
      </c>
      <c r="L58" s="1" t="s">
        <v>1163</v>
      </c>
      <c r="M58" s="1" t="s">
        <v>1164</v>
      </c>
      <c r="N58" s="1" t="s">
        <v>1165</v>
      </c>
      <c r="O58" s="146" t="s">
        <v>65</v>
      </c>
      <c r="P58" s="5">
        <v>45771.333333333328</v>
      </c>
      <c r="Q58" s="6">
        <v>45771</v>
      </c>
      <c r="R58" s="5">
        <v>45771.333368055552</v>
      </c>
      <c r="S58" s="1" t="s">
        <v>667</v>
      </c>
      <c r="T58" s="1" t="s">
        <v>668</v>
      </c>
      <c r="U58" s="1" t="s">
        <v>617</v>
      </c>
      <c r="V58" s="1" t="s">
        <v>616</v>
      </c>
      <c r="W58" s="1" t="s">
        <v>70</v>
      </c>
      <c r="X58" s="1" t="s">
        <v>71</v>
      </c>
      <c r="Y58" s="2" t="s">
        <v>473</v>
      </c>
      <c r="Z58" s="1" t="s">
        <v>473</v>
      </c>
      <c r="AA58" s="2" t="s">
        <v>73</v>
      </c>
      <c r="AB58" s="1" t="s">
        <v>669</v>
      </c>
      <c r="AC58" s="2" t="s">
        <v>73</v>
      </c>
      <c r="AD58" s="2" t="s">
        <v>73</v>
      </c>
      <c r="AE58" s="2" t="s">
        <v>73</v>
      </c>
      <c r="AF58" s="5">
        <v>45771.333333333328</v>
      </c>
      <c r="AG58" s="5">
        <v>45771.333333333328</v>
      </c>
      <c r="AH58" s="1" t="s">
        <v>73</v>
      </c>
      <c r="AI58" s="3">
        <v>120</v>
      </c>
      <c r="AJ58" s="1" t="s">
        <v>1166</v>
      </c>
      <c r="AK58" s="1" t="s">
        <v>1167</v>
      </c>
      <c r="AL58" s="1" t="s">
        <v>616</v>
      </c>
      <c r="AM58" s="1" t="s">
        <v>617</v>
      </c>
      <c r="AN58" s="1" t="s">
        <v>71</v>
      </c>
      <c r="AO58" s="1" t="s">
        <v>1168</v>
      </c>
      <c r="AP58" s="1" t="s">
        <v>1169</v>
      </c>
      <c r="AQ58" s="1" t="s">
        <v>1170</v>
      </c>
      <c r="AR58" s="1" t="s">
        <v>114</v>
      </c>
      <c r="AS58" s="1" t="s">
        <v>1171</v>
      </c>
      <c r="AT58" s="1" t="s">
        <v>837</v>
      </c>
      <c r="AU58" s="1" t="s">
        <v>1172</v>
      </c>
      <c r="AV58" s="1" t="s">
        <v>1173</v>
      </c>
      <c r="AW58" s="1" t="s">
        <v>1174</v>
      </c>
      <c r="AX58" s="146" t="s">
        <v>65</v>
      </c>
      <c r="AY58" s="2">
        <v>4</v>
      </c>
      <c r="AZ58" s="1" t="s">
        <v>1175</v>
      </c>
      <c r="BA58" s="3">
        <v>2.36</v>
      </c>
      <c r="BB58" s="3">
        <v>4.8375000000000004</v>
      </c>
      <c r="BC58" s="3">
        <v>11.433332999999999</v>
      </c>
      <c r="BD58" s="3">
        <v>7.9166670000000003</v>
      </c>
      <c r="BE58" s="3">
        <v>19.350000000000001</v>
      </c>
      <c r="BF58" s="1" t="s">
        <v>73</v>
      </c>
      <c r="BG58" s="1" t="s">
        <v>73</v>
      </c>
      <c r="BH58" s="1" t="s">
        <v>73</v>
      </c>
      <c r="BI58" s="1" t="s">
        <v>73</v>
      </c>
      <c r="BJ58" s="1" t="s">
        <v>73</v>
      </c>
      <c r="BK58" s="1" t="s">
        <v>840</v>
      </c>
      <c r="BL58" s="1" t="s">
        <v>841</v>
      </c>
      <c r="BM58" s="1" t="s">
        <v>842</v>
      </c>
    </row>
    <row r="59" spans="1:65" x14ac:dyDescent="0.25">
      <c r="A59" s="142" t="s">
        <v>1265</v>
      </c>
      <c r="B59" s="142"/>
      <c r="C59" s="143" t="str">
        <f>CONCATENATE("Max=",TEXT(SUBTOTAL(4,C60:C68), "0"),"")</f>
        <v>Max=9</v>
      </c>
      <c r="D59" s="144" t="str">
        <f>CONCATENATE("∑=",IF(SUBTOTAL(9,D60:D68)=TRUNC(SUBTOTAL(9,D60:D68)),TEXT(SUBTOTAL(9,D60:D68), "0"),TEXT(SUBTOTAL(9,D60:D68), "#,##")),"")</f>
        <v>∑=777,81</v>
      </c>
      <c r="E59" s="145" t="str">
        <f>CONCATENATE("∑=",IF(SUBTOTAL(9,E60:E68)=TRUNC(SUBTOTAL(9,E60:E68)),TEXT(SUBTOTAL(9,E60:E68), "0"),TEXT(SUBTOTAL(9,E60:E68), "#,##")),"")</f>
        <v>∑=7,27</v>
      </c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</row>
    <row r="60" spans="1:65" outlineLevel="1" x14ac:dyDescent="0.25">
      <c r="A60" s="1" t="s">
        <v>1266</v>
      </c>
      <c r="B60" s="1" t="s">
        <v>1267</v>
      </c>
      <c r="C60" s="2">
        <v>1</v>
      </c>
      <c r="D60" s="3">
        <v>81.8</v>
      </c>
      <c r="E60" s="4">
        <v>0.68400000000000005</v>
      </c>
      <c r="F60" s="1" t="s">
        <v>60</v>
      </c>
      <c r="G60" s="2" t="s">
        <v>420</v>
      </c>
      <c r="H60" s="1" t="s">
        <v>626</v>
      </c>
      <c r="I60" s="1" t="s">
        <v>81</v>
      </c>
      <c r="J60" s="2" t="s">
        <v>82</v>
      </c>
      <c r="K60" s="2" t="s">
        <v>73</v>
      </c>
      <c r="L60" s="1" t="s">
        <v>1221</v>
      </c>
      <c r="M60" s="1" t="s">
        <v>1222</v>
      </c>
      <c r="N60" s="1" t="s">
        <v>1268</v>
      </c>
      <c r="O60" s="146" t="s">
        <v>65</v>
      </c>
      <c r="P60" s="5">
        <v>45771.333333333328</v>
      </c>
      <c r="Q60" s="6">
        <v>45775</v>
      </c>
      <c r="R60" s="5">
        <v>45775.333368055552</v>
      </c>
      <c r="S60" s="1" t="s">
        <v>667</v>
      </c>
      <c r="T60" s="1" t="s">
        <v>668</v>
      </c>
      <c r="U60" s="1" t="s">
        <v>617</v>
      </c>
      <c r="V60" s="1" t="s">
        <v>616</v>
      </c>
      <c r="W60" s="1" t="s">
        <v>70</v>
      </c>
      <c r="X60" s="1" t="s">
        <v>71</v>
      </c>
      <c r="Y60" s="2" t="s">
        <v>476</v>
      </c>
      <c r="Z60" s="1" t="s">
        <v>767</v>
      </c>
      <c r="AA60" s="2" t="s">
        <v>73</v>
      </c>
      <c r="AB60" s="1" t="s">
        <v>669</v>
      </c>
      <c r="AC60" s="2" t="s">
        <v>73</v>
      </c>
      <c r="AD60" s="2" t="s">
        <v>73</v>
      </c>
      <c r="AE60" s="2" t="s">
        <v>73</v>
      </c>
      <c r="AF60" s="5">
        <v>45775.333333333328</v>
      </c>
      <c r="AG60" s="5">
        <v>45775.333333333328</v>
      </c>
      <c r="AH60" s="1" t="s">
        <v>73</v>
      </c>
      <c r="AI60" s="3">
        <v>3</v>
      </c>
      <c r="AJ60" s="1" t="s">
        <v>1269</v>
      </c>
      <c r="AK60" s="1" t="s">
        <v>833</v>
      </c>
      <c r="AL60" s="1" t="s">
        <v>616</v>
      </c>
      <c r="AM60" s="1" t="s">
        <v>617</v>
      </c>
      <c r="AN60" s="1" t="s">
        <v>71</v>
      </c>
      <c r="AO60" s="1" t="s">
        <v>1223</v>
      </c>
      <c r="AP60" s="1" t="s">
        <v>1224</v>
      </c>
      <c r="AQ60" s="1" t="s">
        <v>1225</v>
      </c>
      <c r="AR60" s="1" t="s">
        <v>114</v>
      </c>
      <c r="AS60" s="1" t="s">
        <v>1226</v>
      </c>
      <c r="AT60" s="1" t="s">
        <v>837</v>
      </c>
      <c r="AU60" s="1" t="s">
        <v>90</v>
      </c>
      <c r="AV60" s="1" t="s">
        <v>1227</v>
      </c>
      <c r="AW60" s="1" t="s">
        <v>1228</v>
      </c>
      <c r="AX60" s="146" t="s">
        <v>65</v>
      </c>
      <c r="AY60" s="2">
        <v>2</v>
      </c>
      <c r="AZ60" s="1" t="s">
        <v>1270</v>
      </c>
      <c r="BA60" s="3">
        <v>2.57</v>
      </c>
      <c r="BB60" s="3">
        <v>0.24166650000000001</v>
      </c>
      <c r="BC60" s="3">
        <v>0.283333</v>
      </c>
      <c r="BD60" s="3">
        <v>0.2</v>
      </c>
      <c r="BE60" s="3">
        <v>0.483333333333333</v>
      </c>
      <c r="BF60" s="1" t="s">
        <v>73</v>
      </c>
      <c r="BG60" s="1" t="s">
        <v>73</v>
      </c>
      <c r="BH60" s="1" t="s">
        <v>73</v>
      </c>
      <c r="BI60" s="1" t="s">
        <v>73</v>
      </c>
      <c r="BJ60" s="1" t="s">
        <v>73</v>
      </c>
      <c r="BK60" s="1" t="s">
        <v>658</v>
      </c>
      <c r="BL60" s="1" t="s">
        <v>659</v>
      </c>
      <c r="BM60" s="1" t="s">
        <v>660</v>
      </c>
    </row>
    <row r="61" spans="1:65" outlineLevel="1" x14ac:dyDescent="0.25">
      <c r="A61" s="1" t="s">
        <v>1266</v>
      </c>
      <c r="B61" s="1" t="s">
        <v>1267</v>
      </c>
      <c r="C61" s="2">
        <v>2</v>
      </c>
      <c r="D61" s="3">
        <v>225.07</v>
      </c>
      <c r="E61" s="4">
        <v>1.603</v>
      </c>
      <c r="F61" s="1" t="s">
        <v>60</v>
      </c>
      <c r="G61" s="2" t="s">
        <v>420</v>
      </c>
      <c r="H61" s="1" t="s">
        <v>626</v>
      </c>
      <c r="I61" s="1" t="s">
        <v>81</v>
      </c>
      <c r="J61" s="2" t="s">
        <v>82</v>
      </c>
      <c r="K61" s="2" t="s">
        <v>73</v>
      </c>
      <c r="L61" s="1" t="s">
        <v>1214</v>
      </c>
      <c r="M61" s="1" t="s">
        <v>1215</v>
      </c>
      <c r="N61" s="1" t="s">
        <v>1271</v>
      </c>
      <c r="O61" s="146" t="s">
        <v>65</v>
      </c>
      <c r="P61" s="5">
        <v>45770.333333333328</v>
      </c>
      <c r="Q61" s="6">
        <v>45775</v>
      </c>
      <c r="R61" s="5">
        <v>45775.346180555556</v>
      </c>
      <c r="S61" s="1" t="s">
        <v>667</v>
      </c>
      <c r="T61" s="1" t="s">
        <v>668</v>
      </c>
      <c r="U61" s="1" t="s">
        <v>617</v>
      </c>
      <c r="V61" s="1" t="s">
        <v>616</v>
      </c>
      <c r="W61" s="1" t="s">
        <v>70</v>
      </c>
      <c r="X61" s="1" t="s">
        <v>71</v>
      </c>
      <c r="Y61" s="2" t="s">
        <v>476</v>
      </c>
      <c r="Z61" s="1" t="s">
        <v>767</v>
      </c>
      <c r="AA61" s="2" t="s">
        <v>73</v>
      </c>
      <c r="AB61" s="1" t="s">
        <v>669</v>
      </c>
      <c r="AC61" s="2" t="s">
        <v>73</v>
      </c>
      <c r="AD61" s="2" t="s">
        <v>73</v>
      </c>
      <c r="AE61" s="2" t="s">
        <v>73</v>
      </c>
      <c r="AF61" s="5" t="s">
        <v>73</v>
      </c>
      <c r="AG61" s="5">
        <v>45775.333333333328</v>
      </c>
      <c r="AH61" s="1" t="s">
        <v>73</v>
      </c>
      <c r="AI61" s="3">
        <v>6</v>
      </c>
      <c r="AJ61" s="1" t="s">
        <v>1272</v>
      </c>
      <c r="AK61" s="1" t="s">
        <v>1273</v>
      </c>
      <c r="AL61" s="1" t="s">
        <v>616</v>
      </c>
      <c r="AM61" s="1" t="s">
        <v>617</v>
      </c>
      <c r="AN61" s="1" t="s">
        <v>71</v>
      </c>
      <c r="AO61" s="1" t="s">
        <v>1216</v>
      </c>
      <c r="AP61" s="1" t="s">
        <v>1217</v>
      </c>
      <c r="AQ61" s="1" t="s">
        <v>1186</v>
      </c>
      <c r="AR61" s="1" t="s">
        <v>114</v>
      </c>
      <c r="AS61" s="1" t="s">
        <v>1218</v>
      </c>
      <c r="AT61" s="1" t="s">
        <v>1188</v>
      </c>
      <c r="AU61" s="1" t="s">
        <v>98</v>
      </c>
      <c r="AV61" s="1" t="s">
        <v>1219</v>
      </c>
      <c r="AW61" s="1" t="s">
        <v>1220</v>
      </c>
      <c r="AX61" s="146" t="s">
        <v>65</v>
      </c>
      <c r="AY61" s="2">
        <v>2</v>
      </c>
      <c r="AZ61" s="1" t="s">
        <v>1270</v>
      </c>
      <c r="BA61" s="3">
        <v>2.0499999999999998</v>
      </c>
      <c r="BB61" s="3">
        <v>0.51666650000000003</v>
      </c>
      <c r="BC61" s="3">
        <v>0.55000000000000004</v>
      </c>
      <c r="BD61" s="3">
        <v>0.48333300000000001</v>
      </c>
      <c r="BE61" s="3">
        <v>1.0333333333333301</v>
      </c>
      <c r="BF61" s="1" t="s">
        <v>73</v>
      </c>
      <c r="BG61" s="1" t="s">
        <v>73</v>
      </c>
      <c r="BH61" s="1" t="s">
        <v>73</v>
      </c>
      <c r="BI61" s="1" t="s">
        <v>73</v>
      </c>
      <c r="BJ61" s="1" t="s">
        <v>73</v>
      </c>
      <c r="BK61" s="1" t="s">
        <v>658</v>
      </c>
      <c r="BL61" s="1" t="s">
        <v>659</v>
      </c>
      <c r="BM61" s="1" t="s">
        <v>660</v>
      </c>
    </row>
    <row r="62" spans="1:65" outlineLevel="1" x14ac:dyDescent="0.25">
      <c r="A62" s="1" t="s">
        <v>1266</v>
      </c>
      <c r="B62" s="1" t="s">
        <v>1267</v>
      </c>
      <c r="C62" s="2">
        <v>3</v>
      </c>
      <c r="D62" s="3">
        <v>256.83</v>
      </c>
      <c r="E62" s="4">
        <v>1.6419999999999999</v>
      </c>
      <c r="F62" s="1" t="s">
        <v>60</v>
      </c>
      <c r="G62" s="2" t="s">
        <v>420</v>
      </c>
      <c r="H62" s="1" t="s">
        <v>626</v>
      </c>
      <c r="I62" s="1" t="s">
        <v>81</v>
      </c>
      <c r="J62" s="2" t="s">
        <v>82</v>
      </c>
      <c r="K62" s="2" t="s">
        <v>73</v>
      </c>
      <c r="L62" s="1" t="s">
        <v>1210</v>
      </c>
      <c r="M62" s="1" t="s">
        <v>1211</v>
      </c>
      <c r="N62" s="1" t="s">
        <v>1274</v>
      </c>
      <c r="O62" s="146" t="s">
        <v>65</v>
      </c>
      <c r="P62" s="5">
        <v>45770.333333333328</v>
      </c>
      <c r="Q62" s="6">
        <v>45775</v>
      </c>
      <c r="R62" s="5">
        <v>45775.368657407409</v>
      </c>
      <c r="S62" s="1" t="s">
        <v>667</v>
      </c>
      <c r="T62" s="1" t="s">
        <v>668</v>
      </c>
      <c r="U62" s="1" t="s">
        <v>617</v>
      </c>
      <c r="V62" s="1" t="s">
        <v>616</v>
      </c>
      <c r="W62" s="1" t="s">
        <v>70</v>
      </c>
      <c r="X62" s="1" t="s">
        <v>71</v>
      </c>
      <c r="Y62" s="2" t="s">
        <v>476</v>
      </c>
      <c r="Z62" s="1" t="s">
        <v>767</v>
      </c>
      <c r="AA62" s="2" t="s">
        <v>73</v>
      </c>
      <c r="AB62" s="1" t="s">
        <v>669</v>
      </c>
      <c r="AC62" s="2" t="s">
        <v>73</v>
      </c>
      <c r="AD62" s="2" t="s">
        <v>73</v>
      </c>
      <c r="AE62" s="2" t="s">
        <v>73</v>
      </c>
      <c r="AF62" s="5" t="s">
        <v>73</v>
      </c>
      <c r="AG62" s="5">
        <v>45775.333333333328</v>
      </c>
      <c r="AH62" s="1" t="s">
        <v>73</v>
      </c>
      <c r="AI62" s="3">
        <v>4</v>
      </c>
      <c r="AJ62" s="1" t="s">
        <v>1275</v>
      </c>
      <c r="AK62" s="1" t="s">
        <v>1276</v>
      </c>
      <c r="AL62" s="1" t="s">
        <v>616</v>
      </c>
      <c r="AM62" s="1" t="s">
        <v>617</v>
      </c>
      <c r="AN62" s="1" t="s">
        <v>71</v>
      </c>
      <c r="AO62" s="1" t="s">
        <v>73</v>
      </c>
      <c r="AP62" s="1" t="s">
        <v>73</v>
      </c>
      <c r="AQ62" s="1" t="s">
        <v>75</v>
      </c>
      <c r="AR62" s="1" t="s">
        <v>936</v>
      </c>
      <c r="AS62" s="1" t="s">
        <v>315</v>
      </c>
      <c r="AT62" s="1" t="s">
        <v>1199</v>
      </c>
      <c r="AU62" s="1" t="s">
        <v>127</v>
      </c>
      <c r="AV62" s="1" t="s">
        <v>1212</v>
      </c>
      <c r="AW62" s="1" t="s">
        <v>1213</v>
      </c>
      <c r="AX62" s="146" t="s">
        <v>65</v>
      </c>
      <c r="AY62" s="2">
        <v>2</v>
      </c>
      <c r="AZ62" s="1" t="s">
        <v>1270</v>
      </c>
      <c r="BA62" s="3">
        <v>2.42</v>
      </c>
      <c r="BB62" s="3">
        <v>1.5416665000000001</v>
      </c>
      <c r="BC62" s="3">
        <v>2.3333330000000001</v>
      </c>
      <c r="BD62" s="3">
        <v>0.75</v>
      </c>
      <c r="BE62" s="3">
        <v>3.0833333333333299</v>
      </c>
      <c r="BF62" s="1" t="s">
        <v>73</v>
      </c>
      <c r="BG62" s="1" t="s">
        <v>73</v>
      </c>
      <c r="BH62" s="1" t="s">
        <v>73</v>
      </c>
      <c r="BI62" s="1" t="s">
        <v>73</v>
      </c>
      <c r="BJ62" s="1" t="s">
        <v>73</v>
      </c>
      <c r="BK62" s="1" t="s">
        <v>840</v>
      </c>
      <c r="BL62" s="1" t="s">
        <v>841</v>
      </c>
      <c r="BM62" s="1" t="s">
        <v>842</v>
      </c>
    </row>
    <row r="63" spans="1:65" outlineLevel="1" x14ac:dyDescent="0.25">
      <c r="A63" s="1" t="s">
        <v>1266</v>
      </c>
      <c r="B63" s="1" t="s">
        <v>1267</v>
      </c>
      <c r="C63" s="2">
        <v>4</v>
      </c>
      <c r="D63" s="3">
        <v>22.01</v>
      </c>
      <c r="E63" s="4">
        <v>1.0529999999999999</v>
      </c>
      <c r="F63" s="1" t="s">
        <v>60</v>
      </c>
      <c r="G63" s="2" t="s">
        <v>420</v>
      </c>
      <c r="H63" s="1" t="s">
        <v>626</v>
      </c>
      <c r="I63" s="1" t="s">
        <v>81</v>
      </c>
      <c r="J63" s="2" t="s">
        <v>96</v>
      </c>
      <c r="K63" s="2" t="s">
        <v>73</v>
      </c>
      <c r="L63" s="1" t="s">
        <v>1195</v>
      </c>
      <c r="M63" s="1" t="s">
        <v>1196</v>
      </c>
      <c r="N63" s="1" t="s">
        <v>1277</v>
      </c>
      <c r="O63" s="146" t="s">
        <v>65</v>
      </c>
      <c r="P63" s="5">
        <v>45769.333333333328</v>
      </c>
      <c r="Q63" s="6">
        <v>45775</v>
      </c>
      <c r="R63" s="5">
        <v>45775.438125000001</v>
      </c>
      <c r="S63" s="1" t="s">
        <v>667</v>
      </c>
      <c r="T63" s="1" t="s">
        <v>668</v>
      </c>
      <c r="U63" s="1" t="s">
        <v>617</v>
      </c>
      <c r="V63" s="1" t="s">
        <v>616</v>
      </c>
      <c r="W63" s="1" t="s">
        <v>70</v>
      </c>
      <c r="X63" s="1" t="s">
        <v>71</v>
      </c>
      <c r="Y63" s="2" t="s">
        <v>476</v>
      </c>
      <c r="Z63" s="1" t="s">
        <v>767</v>
      </c>
      <c r="AA63" s="2" t="s">
        <v>73</v>
      </c>
      <c r="AB63" s="1" t="s">
        <v>669</v>
      </c>
      <c r="AC63" s="2" t="s">
        <v>73</v>
      </c>
      <c r="AD63" s="2" t="s">
        <v>73</v>
      </c>
      <c r="AE63" s="2" t="s">
        <v>73</v>
      </c>
      <c r="AF63" s="5" t="s">
        <v>73</v>
      </c>
      <c r="AG63" s="5">
        <v>45775.416666666664</v>
      </c>
      <c r="AH63" s="1" t="s">
        <v>73</v>
      </c>
      <c r="AI63" s="3">
        <v>23</v>
      </c>
      <c r="AJ63" s="1" t="s">
        <v>1278</v>
      </c>
      <c r="AK63" s="1" t="s">
        <v>1279</v>
      </c>
      <c r="AL63" s="1" t="s">
        <v>616</v>
      </c>
      <c r="AM63" s="1" t="s">
        <v>617</v>
      </c>
      <c r="AN63" s="1" t="s">
        <v>71</v>
      </c>
      <c r="AO63" s="1" t="s">
        <v>1197</v>
      </c>
      <c r="AP63" s="1" t="s">
        <v>1197</v>
      </c>
      <c r="AQ63" s="1" t="s">
        <v>75</v>
      </c>
      <c r="AR63" s="1" t="s">
        <v>1198</v>
      </c>
      <c r="AS63" s="1" t="s">
        <v>315</v>
      </c>
      <c r="AT63" s="1" t="s">
        <v>1199</v>
      </c>
      <c r="AU63" s="1" t="s">
        <v>1200</v>
      </c>
      <c r="AV63" s="1" t="s">
        <v>1201</v>
      </c>
      <c r="AW63" s="1" t="s">
        <v>1202</v>
      </c>
      <c r="AX63" s="146" t="s">
        <v>65</v>
      </c>
      <c r="AY63" s="2">
        <v>2</v>
      </c>
      <c r="AZ63" s="1" t="s">
        <v>1270</v>
      </c>
      <c r="BA63" s="3">
        <v>2.57</v>
      </c>
      <c r="BB63" s="3">
        <v>0</v>
      </c>
      <c r="BC63" s="3">
        <v>0</v>
      </c>
      <c r="BD63" s="3">
        <v>0</v>
      </c>
      <c r="BE63" s="3">
        <v>0</v>
      </c>
      <c r="BF63" s="1" t="s">
        <v>73</v>
      </c>
      <c r="BG63" s="1" t="s">
        <v>73</v>
      </c>
      <c r="BH63" s="1" t="s">
        <v>73</v>
      </c>
      <c r="BI63" s="1" t="s">
        <v>73</v>
      </c>
      <c r="BJ63" s="1" t="s">
        <v>73</v>
      </c>
      <c r="BK63" s="1" t="s">
        <v>840</v>
      </c>
      <c r="BL63" s="1" t="s">
        <v>841</v>
      </c>
      <c r="BM63" s="1" t="s">
        <v>842</v>
      </c>
    </row>
    <row r="64" spans="1:65" outlineLevel="1" x14ac:dyDescent="0.25">
      <c r="A64" s="1" t="s">
        <v>1266</v>
      </c>
      <c r="B64" s="1" t="s">
        <v>1267</v>
      </c>
      <c r="C64" s="2">
        <v>5</v>
      </c>
      <c r="D64" s="3">
        <v>24.2</v>
      </c>
      <c r="E64" s="4">
        <v>0</v>
      </c>
      <c r="F64" s="1" t="s">
        <v>60</v>
      </c>
      <c r="G64" s="2" t="s">
        <v>420</v>
      </c>
      <c r="H64" s="1" t="s">
        <v>626</v>
      </c>
      <c r="I64" s="1" t="s">
        <v>81</v>
      </c>
      <c r="J64" s="2" t="s">
        <v>82</v>
      </c>
      <c r="K64" s="2" t="s">
        <v>73</v>
      </c>
      <c r="L64" s="1" t="s">
        <v>1189</v>
      </c>
      <c r="M64" s="1" t="s">
        <v>1190</v>
      </c>
      <c r="N64" s="1" t="s">
        <v>1280</v>
      </c>
      <c r="O64" s="146" t="s">
        <v>65</v>
      </c>
      <c r="P64" s="5">
        <v>45769.333333333328</v>
      </c>
      <c r="Q64" s="6">
        <v>45775</v>
      </c>
      <c r="R64" s="5">
        <v>45775.442569444444</v>
      </c>
      <c r="S64" s="1" t="s">
        <v>667</v>
      </c>
      <c r="T64" s="1" t="s">
        <v>668</v>
      </c>
      <c r="U64" s="1" t="s">
        <v>617</v>
      </c>
      <c r="V64" s="1" t="s">
        <v>616</v>
      </c>
      <c r="W64" s="1" t="s">
        <v>70</v>
      </c>
      <c r="X64" s="1" t="s">
        <v>71</v>
      </c>
      <c r="Y64" s="2" t="s">
        <v>476</v>
      </c>
      <c r="Z64" s="1" t="s">
        <v>767</v>
      </c>
      <c r="AA64" s="2" t="s">
        <v>73</v>
      </c>
      <c r="AB64" s="1" t="s">
        <v>669</v>
      </c>
      <c r="AC64" s="2" t="s">
        <v>73</v>
      </c>
      <c r="AD64" s="2" t="s">
        <v>73</v>
      </c>
      <c r="AE64" s="2" t="s">
        <v>73</v>
      </c>
      <c r="AF64" s="5" t="s">
        <v>73</v>
      </c>
      <c r="AG64" s="5">
        <v>45775.416666666664</v>
      </c>
      <c r="AH64" s="1" t="s">
        <v>73</v>
      </c>
      <c r="AI64" s="3">
        <v>30</v>
      </c>
      <c r="AJ64" s="1" t="s">
        <v>1281</v>
      </c>
      <c r="AK64" s="1" t="s">
        <v>1113</v>
      </c>
      <c r="AL64" s="1" t="s">
        <v>616</v>
      </c>
      <c r="AM64" s="1" t="s">
        <v>617</v>
      </c>
      <c r="AN64" s="1" t="s">
        <v>71</v>
      </c>
      <c r="AO64" s="1" t="s">
        <v>1191</v>
      </c>
      <c r="AP64" s="1" t="s">
        <v>73</v>
      </c>
      <c r="AQ64" s="1" t="s">
        <v>261</v>
      </c>
      <c r="AR64" s="1" t="s">
        <v>114</v>
      </c>
      <c r="AS64" s="1" t="s">
        <v>315</v>
      </c>
      <c r="AT64" s="1" t="s">
        <v>1192</v>
      </c>
      <c r="AU64" s="1" t="s">
        <v>90</v>
      </c>
      <c r="AV64" s="1" t="s">
        <v>1193</v>
      </c>
      <c r="AW64" s="1" t="s">
        <v>1194</v>
      </c>
      <c r="AX64" s="146" t="s">
        <v>65</v>
      </c>
      <c r="AY64" s="2">
        <v>2</v>
      </c>
      <c r="AZ64" s="1" t="s">
        <v>1270</v>
      </c>
      <c r="BA64" s="3">
        <v>3.41</v>
      </c>
      <c r="BB64" s="3">
        <v>0.55000000000000004</v>
      </c>
      <c r="BC64" s="3">
        <v>0.58333299999999999</v>
      </c>
      <c r="BD64" s="3">
        <v>0.51666699999999999</v>
      </c>
      <c r="BE64" s="3">
        <v>1.1000000000000001</v>
      </c>
      <c r="BF64" s="1" t="s">
        <v>73</v>
      </c>
      <c r="BG64" s="1" t="s">
        <v>73</v>
      </c>
      <c r="BH64" s="1" t="s">
        <v>73</v>
      </c>
      <c r="BI64" s="1" t="s">
        <v>73</v>
      </c>
      <c r="BJ64" s="1" t="s">
        <v>73</v>
      </c>
      <c r="BK64" s="1" t="s">
        <v>619</v>
      </c>
      <c r="BL64" s="1" t="s">
        <v>620</v>
      </c>
      <c r="BM64" s="1" t="s">
        <v>621</v>
      </c>
    </row>
    <row r="65" spans="1:65" outlineLevel="1" x14ac:dyDescent="0.25">
      <c r="A65" s="1" t="s">
        <v>1266</v>
      </c>
      <c r="B65" s="1" t="s">
        <v>1267</v>
      </c>
      <c r="C65" s="2">
        <v>6</v>
      </c>
      <c r="D65" s="3">
        <v>64</v>
      </c>
      <c r="E65" s="4">
        <v>0.86</v>
      </c>
      <c r="F65" s="1" t="s">
        <v>60</v>
      </c>
      <c r="G65" s="2" t="s">
        <v>420</v>
      </c>
      <c r="H65" s="1" t="s">
        <v>626</v>
      </c>
      <c r="I65" s="1" t="s">
        <v>81</v>
      </c>
      <c r="J65" s="2" t="s">
        <v>82</v>
      </c>
      <c r="K65" s="2" t="s">
        <v>73</v>
      </c>
      <c r="L65" s="1" t="s">
        <v>1182</v>
      </c>
      <c r="M65" s="1" t="s">
        <v>1183</v>
      </c>
      <c r="N65" s="1" t="s">
        <v>1282</v>
      </c>
      <c r="O65" s="146" t="s">
        <v>65</v>
      </c>
      <c r="P65" s="5">
        <v>45769.333333333328</v>
      </c>
      <c r="Q65" s="6">
        <v>45775</v>
      </c>
      <c r="R65" s="5">
        <v>45775.470081018517</v>
      </c>
      <c r="S65" s="1" t="s">
        <v>667</v>
      </c>
      <c r="T65" s="1" t="s">
        <v>668</v>
      </c>
      <c r="U65" s="1" t="s">
        <v>617</v>
      </c>
      <c r="V65" s="1" t="s">
        <v>616</v>
      </c>
      <c r="W65" s="1" t="s">
        <v>70</v>
      </c>
      <c r="X65" s="1" t="s">
        <v>71</v>
      </c>
      <c r="Y65" s="2" t="s">
        <v>476</v>
      </c>
      <c r="Z65" s="1" t="s">
        <v>767</v>
      </c>
      <c r="AA65" s="2" t="s">
        <v>73</v>
      </c>
      <c r="AB65" s="1" t="s">
        <v>669</v>
      </c>
      <c r="AC65" s="2" t="s">
        <v>73</v>
      </c>
      <c r="AD65" s="2" t="s">
        <v>73</v>
      </c>
      <c r="AE65" s="2" t="s">
        <v>73</v>
      </c>
      <c r="AF65" s="5" t="s">
        <v>73</v>
      </c>
      <c r="AG65" s="5">
        <v>45775.458333333328</v>
      </c>
      <c r="AH65" s="1" t="s">
        <v>73</v>
      </c>
      <c r="AI65" s="3">
        <v>2</v>
      </c>
      <c r="AJ65" s="1" t="s">
        <v>1272</v>
      </c>
      <c r="AK65" s="1" t="s">
        <v>1273</v>
      </c>
      <c r="AL65" s="1" t="s">
        <v>616</v>
      </c>
      <c r="AM65" s="1" t="s">
        <v>617</v>
      </c>
      <c r="AN65" s="1" t="s">
        <v>71</v>
      </c>
      <c r="AO65" s="1" t="s">
        <v>1184</v>
      </c>
      <c r="AP65" s="1" t="s">
        <v>1185</v>
      </c>
      <c r="AQ65" s="1" t="s">
        <v>1186</v>
      </c>
      <c r="AR65" s="1" t="s">
        <v>114</v>
      </c>
      <c r="AS65" s="1" t="s">
        <v>1187</v>
      </c>
      <c r="AT65" s="1" t="s">
        <v>1188</v>
      </c>
      <c r="AU65" s="1" t="s">
        <v>108</v>
      </c>
      <c r="AV65" s="1" t="s">
        <v>346</v>
      </c>
      <c r="AW65" s="1" t="s">
        <v>346</v>
      </c>
      <c r="AX65" s="146" t="s">
        <v>65</v>
      </c>
      <c r="AY65" s="2">
        <v>2</v>
      </c>
      <c r="AZ65" s="1" t="s">
        <v>1270</v>
      </c>
      <c r="BA65" s="3">
        <v>2.0499999999999998</v>
      </c>
      <c r="BB65" s="3">
        <v>5.8333500000000003E-2</v>
      </c>
      <c r="BC65" s="3">
        <v>0</v>
      </c>
      <c r="BD65" s="3">
        <v>0.11666700000000001</v>
      </c>
      <c r="BE65" s="3">
        <v>0.116666666666667</v>
      </c>
      <c r="BF65" s="1" t="s">
        <v>73</v>
      </c>
      <c r="BG65" s="1" t="s">
        <v>73</v>
      </c>
      <c r="BH65" s="1" t="s">
        <v>73</v>
      </c>
      <c r="BI65" s="1" t="s">
        <v>73</v>
      </c>
      <c r="BJ65" s="1" t="s">
        <v>73</v>
      </c>
      <c r="BK65" s="1" t="s">
        <v>658</v>
      </c>
      <c r="BL65" s="1" t="s">
        <v>659</v>
      </c>
      <c r="BM65" s="1" t="s">
        <v>660</v>
      </c>
    </row>
    <row r="66" spans="1:65" outlineLevel="1" x14ac:dyDescent="0.25">
      <c r="A66" s="1" t="s">
        <v>1266</v>
      </c>
      <c r="B66" s="1" t="s">
        <v>1267</v>
      </c>
      <c r="C66" s="2">
        <v>7</v>
      </c>
      <c r="D66" s="3">
        <v>0.9</v>
      </c>
      <c r="E66" s="4">
        <v>0.51800000000000002</v>
      </c>
      <c r="F66" s="1" t="s">
        <v>60</v>
      </c>
      <c r="G66" s="2" t="s">
        <v>420</v>
      </c>
      <c r="H66" s="1" t="s">
        <v>626</v>
      </c>
      <c r="I66" s="1" t="s">
        <v>81</v>
      </c>
      <c r="J66" s="2" t="s">
        <v>131</v>
      </c>
      <c r="K66" s="2" t="s">
        <v>73</v>
      </c>
      <c r="L66" s="1" t="s">
        <v>1176</v>
      </c>
      <c r="M66" s="1" t="s">
        <v>1177</v>
      </c>
      <c r="N66" s="1" t="s">
        <v>1283</v>
      </c>
      <c r="O66" s="146" t="s">
        <v>65</v>
      </c>
      <c r="P66" s="5">
        <v>45769.333333333328</v>
      </c>
      <c r="Q66" s="6">
        <v>45775</v>
      </c>
      <c r="R66" s="5">
        <v>45775.476168981477</v>
      </c>
      <c r="S66" s="1" t="s">
        <v>667</v>
      </c>
      <c r="T66" s="1" t="s">
        <v>668</v>
      </c>
      <c r="U66" s="1" t="s">
        <v>617</v>
      </c>
      <c r="V66" s="1" t="s">
        <v>616</v>
      </c>
      <c r="W66" s="1" t="s">
        <v>70</v>
      </c>
      <c r="X66" s="1" t="s">
        <v>71</v>
      </c>
      <c r="Y66" s="2" t="s">
        <v>476</v>
      </c>
      <c r="Z66" s="1" t="s">
        <v>767</v>
      </c>
      <c r="AA66" s="2" t="s">
        <v>73</v>
      </c>
      <c r="AB66" s="1" t="s">
        <v>669</v>
      </c>
      <c r="AC66" s="2" t="s">
        <v>73</v>
      </c>
      <c r="AD66" s="2" t="s">
        <v>73</v>
      </c>
      <c r="AE66" s="2" t="s">
        <v>73</v>
      </c>
      <c r="AF66" s="5" t="s">
        <v>73</v>
      </c>
      <c r="AG66" s="5">
        <v>45775.458333333328</v>
      </c>
      <c r="AH66" s="1" t="s">
        <v>73</v>
      </c>
      <c r="AI66" s="3">
        <v>2</v>
      </c>
      <c r="AJ66" s="1" t="s">
        <v>1284</v>
      </c>
      <c r="AK66" s="1" t="s">
        <v>1285</v>
      </c>
      <c r="AL66" s="1" t="s">
        <v>616</v>
      </c>
      <c r="AM66" s="1" t="s">
        <v>617</v>
      </c>
      <c r="AN66" s="1" t="s">
        <v>71</v>
      </c>
      <c r="AO66" s="1" t="s">
        <v>1178</v>
      </c>
      <c r="AP66" s="1" t="s">
        <v>1179</v>
      </c>
      <c r="AQ66" s="1" t="s">
        <v>136</v>
      </c>
      <c r="AR66" s="1" t="s">
        <v>137</v>
      </c>
      <c r="AS66" s="1" t="s">
        <v>138</v>
      </c>
      <c r="AT66" s="1" t="s">
        <v>728</v>
      </c>
      <c r="AU66" s="1" t="s">
        <v>127</v>
      </c>
      <c r="AV66" s="1" t="s">
        <v>1180</v>
      </c>
      <c r="AW66" s="1" t="s">
        <v>1181</v>
      </c>
      <c r="AX66" s="146" t="s">
        <v>65</v>
      </c>
      <c r="AY66" s="2">
        <v>2</v>
      </c>
      <c r="AZ66" s="1" t="s">
        <v>1270</v>
      </c>
      <c r="BA66" s="3">
        <v>3</v>
      </c>
      <c r="BB66" s="3">
        <v>0</v>
      </c>
      <c r="BC66" s="3">
        <v>0</v>
      </c>
      <c r="BD66" s="3">
        <v>0</v>
      </c>
      <c r="BE66" s="3">
        <v>0</v>
      </c>
      <c r="BF66" s="1" t="s">
        <v>73</v>
      </c>
      <c r="BG66" s="1" t="s">
        <v>73</v>
      </c>
      <c r="BH66" s="1" t="s">
        <v>73</v>
      </c>
      <c r="BI66" s="1" t="s">
        <v>73</v>
      </c>
      <c r="BJ66" s="1" t="s">
        <v>73</v>
      </c>
      <c r="BK66" s="1" t="s">
        <v>619</v>
      </c>
      <c r="BL66" s="1" t="s">
        <v>620</v>
      </c>
      <c r="BM66" s="1" t="s">
        <v>621</v>
      </c>
    </row>
    <row r="67" spans="1:65" outlineLevel="1" x14ac:dyDescent="0.25">
      <c r="A67" s="1" t="s">
        <v>1266</v>
      </c>
      <c r="B67" s="1" t="s">
        <v>1267</v>
      </c>
      <c r="C67" s="2">
        <v>8</v>
      </c>
      <c r="D67" s="3">
        <v>65</v>
      </c>
      <c r="E67" s="4">
        <v>0.72</v>
      </c>
      <c r="F67" s="1" t="s">
        <v>60</v>
      </c>
      <c r="G67" s="2" t="s">
        <v>420</v>
      </c>
      <c r="H67" s="1" t="s">
        <v>626</v>
      </c>
      <c r="I67" s="1" t="s">
        <v>81</v>
      </c>
      <c r="J67" s="2" t="s">
        <v>82</v>
      </c>
      <c r="K67" s="2" t="s">
        <v>399</v>
      </c>
      <c r="L67" s="1" t="s">
        <v>1255</v>
      </c>
      <c r="M67" s="1" t="s">
        <v>1256</v>
      </c>
      <c r="N67" s="1" t="s">
        <v>1286</v>
      </c>
      <c r="O67" s="146" t="s">
        <v>65</v>
      </c>
      <c r="P67" s="5">
        <v>45770.333333333328</v>
      </c>
      <c r="Q67" s="6">
        <v>45775</v>
      </c>
      <c r="R67" s="5">
        <v>45775.479386574072</v>
      </c>
      <c r="S67" s="1" t="s">
        <v>667</v>
      </c>
      <c r="T67" s="1" t="s">
        <v>668</v>
      </c>
      <c r="U67" s="1" t="s">
        <v>617</v>
      </c>
      <c r="V67" s="1" t="s">
        <v>616</v>
      </c>
      <c r="W67" s="1" t="s">
        <v>70</v>
      </c>
      <c r="X67" s="1" t="s">
        <v>71</v>
      </c>
      <c r="Y67" s="2" t="s">
        <v>476</v>
      </c>
      <c r="Z67" s="1" t="s">
        <v>767</v>
      </c>
      <c r="AA67" s="2" t="s">
        <v>73</v>
      </c>
      <c r="AB67" s="1" t="s">
        <v>669</v>
      </c>
      <c r="AC67" s="2" t="s">
        <v>73</v>
      </c>
      <c r="AD67" s="2" t="s">
        <v>73</v>
      </c>
      <c r="AE67" s="2" t="s">
        <v>73</v>
      </c>
      <c r="AF67" s="5" t="s">
        <v>73</v>
      </c>
      <c r="AG67" s="5">
        <v>45775.458333333328</v>
      </c>
      <c r="AH67" s="1" t="s">
        <v>73</v>
      </c>
      <c r="AI67" s="3">
        <v>4</v>
      </c>
      <c r="AJ67" s="1" t="s">
        <v>1287</v>
      </c>
      <c r="AK67" s="1" t="s">
        <v>1288</v>
      </c>
      <c r="AL67" s="1" t="s">
        <v>616</v>
      </c>
      <c r="AM67" s="1" t="s">
        <v>617</v>
      </c>
      <c r="AN67" s="1" t="s">
        <v>71</v>
      </c>
      <c r="AO67" s="1" t="s">
        <v>1257</v>
      </c>
      <c r="AP67" s="1" t="s">
        <v>1258</v>
      </c>
      <c r="AQ67" s="1" t="s">
        <v>1259</v>
      </c>
      <c r="AR67" s="1" t="s">
        <v>114</v>
      </c>
      <c r="AS67" s="1" t="s">
        <v>1260</v>
      </c>
      <c r="AT67" s="1" t="s">
        <v>1240</v>
      </c>
      <c r="AU67" s="1" t="s">
        <v>90</v>
      </c>
      <c r="AV67" s="1" t="s">
        <v>1261</v>
      </c>
      <c r="AW67" s="1" t="s">
        <v>1262</v>
      </c>
      <c r="AX67" s="146" t="s">
        <v>65</v>
      </c>
      <c r="AY67" s="2">
        <v>2</v>
      </c>
      <c r="AZ67" s="1" t="s">
        <v>1270</v>
      </c>
      <c r="BA67" s="3">
        <v>2.2999999999999998</v>
      </c>
      <c r="BB67" s="3">
        <v>0.85</v>
      </c>
      <c r="BC67" s="3">
        <v>1.2833330000000001</v>
      </c>
      <c r="BD67" s="3">
        <v>0.41666700000000001</v>
      </c>
      <c r="BE67" s="3">
        <v>1.7</v>
      </c>
      <c r="BF67" s="1" t="s">
        <v>73</v>
      </c>
      <c r="BG67" s="1" t="s">
        <v>73</v>
      </c>
      <c r="BH67" s="1" t="s">
        <v>73</v>
      </c>
      <c r="BI67" s="1" t="s">
        <v>73</v>
      </c>
      <c r="BJ67" s="1" t="s">
        <v>73</v>
      </c>
      <c r="BK67" s="1" t="s">
        <v>658</v>
      </c>
      <c r="BL67" s="1" t="s">
        <v>659</v>
      </c>
      <c r="BM67" s="1" t="s">
        <v>660</v>
      </c>
    </row>
    <row r="68" spans="1:65" outlineLevel="1" x14ac:dyDescent="0.25">
      <c r="A68" s="1" t="s">
        <v>1266</v>
      </c>
      <c r="B68" s="1" t="s">
        <v>1267</v>
      </c>
      <c r="C68" s="2">
        <v>9</v>
      </c>
      <c r="D68" s="3">
        <v>38</v>
      </c>
      <c r="E68" s="4">
        <v>0.19400000000000001</v>
      </c>
      <c r="F68" s="1" t="s">
        <v>60</v>
      </c>
      <c r="G68" s="2" t="s">
        <v>420</v>
      </c>
      <c r="H68" s="1" t="s">
        <v>626</v>
      </c>
      <c r="I68" s="1" t="s">
        <v>81</v>
      </c>
      <c r="J68" s="2" t="s">
        <v>82</v>
      </c>
      <c r="K68" s="2" t="s">
        <v>399</v>
      </c>
      <c r="L68" s="1" t="s">
        <v>1263</v>
      </c>
      <c r="M68" s="1" t="s">
        <v>1264</v>
      </c>
      <c r="N68" s="1" t="s">
        <v>1289</v>
      </c>
      <c r="O68" s="146" t="s">
        <v>65</v>
      </c>
      <c r="P68" s="5">
        <v>45769.333333333328</v>
      </c>
      <c r="Q68" s="6">
        <v>45775</v>
      </c>
      <c r="R68" s="5">
        <v>45775.519479166665</v>
      </c>
      <c r="S68" s="1" t="s">
        <v>667</v>
      </c>
      <c r="T68" s="1" t="s">
        <v>668</v>
      </c>
      <c r="U68" s="1" t="s">
        <v>617</v>
      </c>
      <c r="V68" s="1" t="s">
        <v>616</v>
      </c>
      <c r="W68" s="1" t="s">
        <v>70</v>
      </c>
      <c r="X68" s="1" t="s">
        <v>71</v>
      </c>
      <c r="Y68" s="2" t="s">
        <v>476</v>
      </c>
      <c r="Z68" s="1" t="s">
        <v>767</v>
      </c>
      <c r="AA68" s="2" t="s">
        <v>73</v>
      </c>
      <c r="AB68" s="1" t="s">
        <v>669</v>
      </c>
      <c r="AC68" s="2" t="s">
        <v>73</v>
      </c>
      <c r="AD68" s="2" t="s">
        <v>73</v>
      </c>
      <c r="AE68" s="2" t="s">
        <v>73</v>
      </c>
      <c r="AF68" s="5" t="s">
        <v>73</v>
      </c>
      <c r="AG68" s="5">
        <v>45775.5</v>
      </c>
      <c r="AH68" s="1" t="s">
        <v>73</v>
      </c>
      <c r="AI68" s="3">
        <v>1</v>
      </c>
      <c r="AJ68" s="1" t="s">
        <v>1133</v>
      </c>
      <c r="AK68" s="1" t="s">
        <v>1134</v>
      </c>
      <c r="AL68" s="1" t="s">
        <v>616</v>
      </c>
      <c r="AM68" s="1" t="s">
        <v>617</v>
      </c>
      <c r="AN68" s="1" t="s">
        <v>71</v>
      </c>
      <c r="AO68" s="1" t="s">
        <v>1069</v>
      </c>
      <c r="AP68" s="1" t="s">
        <v>1069</v>
      </c>
      <c r="AQ68" s="1" t="s">
        <v>75</v>
      </c>
      <c r="AR68" s="1" t="s">
        <v>114</v>
      </c>
      <c r="AS68" s="1" t="s">
        <v>315</v>
      </c>
      <c r="AT68" s="1" t="s">
        <v>1070</v>
      </c>
      <c r="AU68" s="1" t="s">
        <v>108</v>
      </c>
      <c r="AV68" s="1" t="s">
        <v>1071</v>
      </c>
      <c r="AW68" s="1" t="s">
        <v>1071</v>
      </c>
      <c r="AX68" s="146" t="s">
        <v>65</v>
      </c>
      <c r="AY68" s="2">
        <v>2</v>
      </c>
      <c r="AZ68" s="1" t="s">
        <v>1270</v>
      </c>
      <c r="BA68" s="3">
        <v>1.53</v>
      </c>
      <c r="BB68" s="3">
        <v>7.4999999999999997E-2</v>
      </c>
      <c r="BC68" s="3">
        <v>0.05</v>
      </c>
      <c r="BD68" s="3">
        <v>0.1</v>
      </c>
      <c r="BE68" s="3">
        <v>0.15</v>
      </c>
      <c r="BF68" s="1" t="s">
        <v>73</v>
      </c>
      <c r="BG68" s="1" t="s">
        <v>73</v>
      </c>
      <c r="BH68" s="1" t="s">
        <v>73</v>
      </c>
      <c r="BI68" s="1" t="s">
        <v>73</v>
      </c>
      <c r="BJ68" s="1" t="s">
        <v>73</v>
      </c>
      <c r="BK68" s="1" t="s">
        <v>619</v>
      </c>
      <c r="BL68" s="1" t="s">
        <v>620</v>
      </c>
      <c r="BM68" s="1" t="s">
        <v>621</v>
      </c>
    </row>
    <row r="69" spans="1:65" x14ac:dyDescent="0.25">
      <c r="A69" s="142" t="s">
        <v>1290</v>
      </c>
      <c r="B69" s="142"/>
      <c r="C69" s="143" t="str">
        <f>CONCATENATE("Max=",TEXT(SUBTOTAL(4,C70:C72), "0"),"")</f>
        <v>Max=3</v>
      </c>
      <c r="D69" s="144" t="str">
        <f>CONCATENATE("∑=",IF(SUBTOTAL(9,D70:D72)=TRUNC(SUBTOTAL(9,D70:D72)),TEXT(SUBTOTAL(9,D70:D72), "0"),TEXT(SUBTOTAL(9,D70:D72), "#,##")),"")</f>
        <v>∑=204,55</v>
      </c>
      <c r="E69" s="145" t="str">
        <f>CONCATENATE("∑=",IF(SUBTOTAL(9,E70:E72)=TRUNC(SUBTOTAL(9,E70:E72)),TEXT(SUBTOTAL(9,E70:E72), "0"),TEXT(SUBTOTAL(9,E70:E72), "#,##")),"")</f>
        <v>∑=1,81</v>
      </c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</row>
    <row r="70" spans="1:65" outlineLevel="1" x14ac:dyDescent="0.25">
      <c r="A70" s="1" t="s">
        <v>1291</v>
      </c>
      <c r="B70" s="1" t="s">
        <v>1292</v>
      </c>
      <c r="C70" s="2">
        <v>1</v>
      </c>
      <c r="D70" s="3">
        <v>87.55</v>
      </c>
      <c r="E70" s="4">
        <v>0.63700000000000001</v>
      </c>
      <c r="F70" s="1" t="s">
        <v>60</v>
      </c>
      <c r="G70" s="2" t="s">
        <v>420</v>
      </c>
      <c r="H70" s="1" t="s">
        <v>642</v>
      </c>
      <c r="I70" s="1" t="s">
        <v>81</v>
      </c>
      <c r="J70" s="2" t="s">
        <v>82</v>
      </c>
      <c r="K70" s="2" t="s">
        <v>73</v>
      </c>
      <c r="L70" s="1" t="s">
        <v>1242</v>
      </c>
      <c r="M70" s="1" t="s">
        <v>1243</v>
      </c>
      <c r="N70" s="1" t="s">
        <v>1293</v>
      </c>
      <c r="O70" s="146" t="s">
        <v>65</v>
      </c>
      <c r="P70" s="5">
        <v>45763.333333333328</v>
      </c>
      <c r="Q70" s="6">
        <v>45771</v>
      </c>
      <c r="R70" s="5">
        <v>45771.019421296296</v>
      </c>
      <c r="S70" s="1" t="s">
        <v>667</v>
      </c>
      <c r="T70" s="1" t="s">
        <v>668</v>
      </c>
      <c r="U70" s="1" t="s">
        <v>617</v>
      </c>
      <c r="V70" s="1" t="s">
        <v>616</v>
      </c>
      <c r="W70" s="1" t="s">
        <v>70</v>
      </c>
      <c r="X70" s="1" t="s">
        <v>71</v>
      </c>
      <c r="Y70" s="2" t="s">
        <v>477</v>
      </c>
      <c r="Z70" s="1" t="s">
        <v>1118</v>
      </c>
      <c r="AA70" s="2" t="s">
        <v>73</v>
      </c>
      <c r="AB70" s="1" t="s">
        <v>669</v>
      </c>
      <c r="AC70" s="2" t="s">
        <v>73</v>
      </c>
      <c r="AD70" s="2" t="s">
        <v>73</v>
      </c>
      <c r="AE70" s="2" t="s">
        <v>73</v>
      </c>
      <c r="AF70" s="5" t="s">
        <v>73</v>
      </c>
      <c r="AG70" s="5">
        <v>45771</v>
      </c>
      <c r="AH70" s="1" t="s">
        <v>73</v>
      </c>
      <c r="AI70" s="3">
        <v>3</v>
      </c>
      <c r="AJ70" s="1" t="s">
        <v>1294</v>
      </c>
      <c r="AK70" s="1" t="s">
        <v>1295</v>
      </c>
      <c r="AL70" s="1" t="s">
        <v>1296</v>
      </c>
      <c r="AM70" s="1" t="s">
        <v>1297</v>
      </c>
      <c r="AN70" s="1" t="s">
        <v>71</v>
      </c>
      <c r="AO70" s="1" t="s">
        <v>1244</v>
      </c>
      <c r="AP70" s="1" t="s">
        <v>1245</v>
      </c>
      <c r="AQ70" s="1" t="s">
        <v>1246</v>
      </c>
      <c r="AR70" s="1" t="s">
        <v>114</v>
      </c>
      <c r="AS70" s="1" t="s">
        <v>1247</v>
      </c>
      <c r="AT70" s="1" t="s">
        <v>1240</v>
      </c>
      <c r="AU70" s="1" t="s">
        <v>90</v>
      </c>
      <c r="AV70" s="1" t="s">
        <v>1248</v>
      </c>
      <c r="AW70" s="1" t="s">
        <v>1249</v>
      </c>
      <c r="AX70" s="146" t="s">
        <v>65</v>
      </c>
      <c r="AY70" s="2">
        <v>2</v>
      </c>
      <c r="AZ70" s="1" t="s">
        <v>1298</v>
      </c>
      <c r="BA70" s="3">
        <v>13.47</v>
      </c>
      <c r="BB70" s="3">
        <v>0.9</v>
      </c>
      <c r="BC70" s="3">
        <v>1.4166669999999999</v>
      </c>
      <c r="BD70" s="3">
        <v>0.38333299999999998</v>
      </c>
      <c r="BE70" s="3">
        <v>1.8</v>
      </c>
      <c r="BF70" s="1" t="s">
        <v>73</v>
      </c>
      <c r="BG70" s="1" t="s">
        <v>73</v>
      </c>
      <c r="BH70" s="1" t="s">
        <v>73</v>
      </c>
      <c r="BI70" s="1" t="s">
        <v>73</v>
      </c>
      <c r="BJ70" s="1" t="s">
        <v>73</v>
      </c>
      <c r="BK70" s="1" t="s">
        <v>658</v>
      </c>
      <c r="BL70" s="1" t="s">
        <v>659</v>
      </c>
      <c r="BM70" s="1" t="s">
        <v>660</v>
      </c>
    </row>
    <row r="71" spans="1:65" outlineLevel="1" x14ac:dyDescent="0.25">
      <c r="A71" s="1" t="s">
        <v>1291</v>
      </c>
      <c r="B71" s="1" t="s">
        <v>1292</v>
      </c>
      <c r="C71" s="2">
        <v>2</v>
      </c>
      <c r="D71" s="3">
        <v>116</v>
      </c>
      <c r="E71" s="4">
        <v>1.1519999999999999</v>
      </c>
      <c r="F71" s="1" t="s">
        <v>60</v>
      </c>
      <c r="G71" s="2" t="s">
        <v>420</v>
      </c>
      <c r="H71" s="1" t="s">
        <v>642</v>
      </c>
      <c r="I71" s="1" t="s">
        <v>81</v>
      </c>
      <c r="J71" s="2" t="s">
        <v>82</v>
      </c>
      <c r="K71" s="2" t="s">
        <v>73</v>
      </c>
      <c r="L71" s="1" t="s">
        <v>1250</v>
      </c>
      <c r="M71" s="1" t="s">
        <v>1251</v>
      </c>
      <c r="N71" s="1" t="s">
        <v>1299</v>
      </c>
      <c r="O71" s="146" t="s">
        <v>65</v>
      </c>
      <c r="P71" s="5">
        <v>45764.333333333328</v>
      </c>
      <c r="Q71" s="6">
        <v>45771</v>
      </c>
      <c r="R71" s="5">
        <v>45771.064328703702</v>
      </c>
      <c r="S71" s="1" t="s">
        <v>667</v>
      </c>
      <c r="T71" s="1" t="s">
        <v>668</v>
      </c>
      <c r="U71" s="1" t="s">
        <v>617</v>
      </c>
      <c r="V71" s="1" t="s">
        <v>616</v>
      </c>
      <c r="W71" s="1" t="s">
        <v>70</v>
      </c>
      <c r="X71" s="1" t="s">
        <v>71</v>
      </c>
      <c r="Y71" s="2" t="s">
        <v>477</v>
      </c>
      <c r="Z71" s="1" t="s">
        <v>1118</v>
      </c>
      <c r="AA71" s="2" t="s">
        <v>73</v>
      </c>
      <c r="AB71" s="1" t="s">
        <v>669</v>
      </c>
      <c r="AC71" s="2" t="s">
        <v>73</v>
      </c>
      <c r="AD71" s="2" t="s">
        <v>73</v>
      </c>
      <c r="AE71" s="2" t="s">
        <v>73</v>
      </c>
      <c r="AF71" s="5" t="s">
        <v>73</v>
      </c>
      <c r="AG71" s="5">
        <v>45771.041666666664</v>
      </c>
      <c r="AH71" s="1" t="s">
        <v>73</v>
      </c>
      <c r="AI71" s="3">
        <v>2</v>
      </c>
      <c r="AJ71" s="1" t="s">
        <v>1300</v>
      </c>
      <c r="AK71" s="1" t="s">
        <v>976</v>
      </c>
      <c r="AL71" s="1" t="s">
        <v>1301</v>
      </c>
      <c r="AM71" s="1" t="s">
        <v>978</v>
      </c>
      <c r="AN71" s="1" t="s">
        <v>71</v>
      </c>
      <c r="AO71" s="1" t="s">
        <v>1252</v>
      </c>
      <c r="AP71" s="1" t="s">
        <v>1253</v>
      </c>
      <c r="AQ71" s="1" t="s">
        <v>261</v>
      </c>
      <c r="AR71" s="1" t="s">
        <v>114</v>
      </c>
      <c r="AS71" s="1" t="s">
        <v>315</v>
      </c>
      <c r="AT71" s="1" t="s">
        <v>1254</v>
      </c>
      <c r="AU71" s="1" t="s">
        <v>108</v>
      </c>
      <c r="AV71" s="1" t="s">
        <v>951</v>
      </c>
      <c r="AW71" s="1" t="s">
        <v>951</v>
      </c>
      <c r="AX71" s="146" t="s">
        <v>65</v>
      </c>
      <c r="AY71" s="2">
        <v>2</v>
      </c>
      <c r="AZ71" s="1" t="s">
        <v>1298</v>
      </c>
      <c r="BA71" s="3">
        <v>8.67</v>
      </c>
      <c r="BB71" s="3">
        <v>0.58333349999999995</v>
      </c>
      <c r="BC71" s="3">
        <v>0.66666700000000001</v>
      </c>
      <c r="BD71" s="3">
        <v>0.5</v>
      </c>
      <c r="BE71" s="3">
        <v>1.1666666666666701</v>
      </c>
      <c r="BF71" s="1" t="s">
        <v>73</v>
      </c>
      <c r="BG71" s="1" t="s">
        <v>73</v>
      </c>
      <c r="BH71" s="1" t="s">
        <v>73</v>
      </c>
      <c r="BI71" s="1" t="s">
        <v>73</v>
      </c>
      <c r="BJ71" s="1" t="s">
        <v>73</v>
      </c>
      <c r="BK71" s="1" t="s">
        <v>840</v>
      </c>
      <c r="BL71" s="1" t="s">
        <v>841</v>
      </c>
      <c r="BM71" s="1" t="s">
        <v>842</v>
      </c>
    </row>
    <row r="72" spans="1:65" outlineLevel="1" x14ac:dyDescent="0.25">
      <c r="A72" s="1" t="s">
        <v>1291</v>
      </c>
      <c r="B72" s="1" t="s">
        <v>1292</v>
      </c>
      <c r="C72" s="2">
        <v>3</v>
      </c>
      <c r="D72" s="3">
        <v>1</v>
      </c>
      <c r="E72" s="4">
        <v>1.7000000000000001E-2</v>
      </c>
      <c r="F72" s="1" t="s">
        <v>60</v>
      </c>
      <c r="G72" s="2" t="s">
        <v>420</v>
      </c>
      <c r="H72" s="1" t="s">
        <v>626</v>
      </c>
      <c r="I72" s="1" t="s">
        <v>81</v>
      </c>
      <c r="J72" s="2" t="s">
        <v>82</v>
      </c>
      <c r="K72" s="2" t="s">
        <v>73</v>
      </c>
      <c r="L72" s="1" t="s">
        <v>1229</v>
      </c>
      <c r="M72" s="1" t="s">
        <v>1230</v>
      </c>
      <c r="N72" s="1" t="s">
        <v>1302</v>
      </c>
      <c r="O72" s="146" t="s">
        <v>65</v>
      </c>
      <c r="P72" s="5">
        <v>45769.333333333328</v>
      </c>
      <c r="Q72" s="6">
        <v>45771</v>
      </c>
      <c r="R72" s="5">
        <v>45771.108437499999</v>
      </c>
      <c r="S72" s="1" t="s">
        <v>667</v>
      </c>
      <c r="T72" s="1" t="s">
        <v>668</v>
      </c>
      <c r="U72" s="1" t="s">
        <v>617</v>
      </c>
      <c r="V72" s="1" t="s">
        <v>616</v>
      </c>
      <c r="W72" s="1" t="s">
        <v>70</v>
      </c>
      <c r="X72" s="1" t="s">
        <v>71</v>
      </c>
      <c r="Y72" s="2" t="s">
        <v>477</v>
      </c>
      <c r="Z72" s="1" t="s">
        <v>1118</v>
      </c>
      <c r="AA72" s="2" t="s">
        <v>73</v>
      </c>
      <c r="AB72" s="1" t="s">
        <v>669</v>
      </c>
      <c r="AC72" s="2" t="s">
        <v>73</v>
      </c>
      <c r="AD72" s="2" t="s">
        <v>73</v>
      </c>
      <c r="AE72" s="2" t="s">
        <v>73</v>
      </c>
      <c r="AF72" s="5" t="s">
        <v>73</v>
      </c>
      <c r="AG72" s="5">
        <v>45771.083333333328</v>
      </c>
      <c r="AH72" s="1" t="s">
        <v>73</v>
      </c>
      <c r="AI72" s="3">
        <v>8</v>
      </c>
      <c r="AJ72" s="1" t="s">
        <v>1303</v>
      </c>
      <c r="AK72" s="1" t="s">
        <v>1120</v>
      </c>
      <c r="AL72" s="1" t="s">
        <v>1121</v>
      </c>
      <c r="AM72" s="1" t="s">
        <v>1122</v>
      </c>
      <c r="AN72" s="1" t="s">
        <v>71</v>
      </c>
      <c r="AO72" s="1" t="s">
        <v>1231</v>
      </c>
      <c r="AP72" s="1" t="s">
        <v>1232</v>
      </c>
      <c r="AQ72" s="1" t="s">
        <v>111</v>
      </c>
      <c r="AR72" s="1" t="s">
        <v>114</v>
      </c>
      <c r="AS72" s="1" t="s">
        <v>315</v>
      </c>
      <c r="AT72" s="1" t="s">
        <v>1018</v>
      </c>
      <c r="AU72" s="1" t="s">
        <v>1233</v>
      </c>
      <c r="AV72" s="1" t="s">
        <v>1234</v>
      </c>
      <c r="AW72" s="1" t="s">
        <v>1235</v>
      </c>
      <c r="AX72" s="146" t="s">
        <v>65</v>
      </c>
      <c r="AY72" s="2">
        <v>3</v>
      </c>
      <c r="AZ72" s="1" t="s">
        <v>1298</v>
      </c>
      <c r="BA72" s="3">
        <v>17.34</v>
      </c>
      <c r="BB72" s="3">
        <v>2.7944443333</v>
      </c>
      <c r="BC72" s="3">
        <v>7.6666670000000003</v>
      </c>
      <c r="BD72" s="3">
        <v>0.71666700000000005</v>
      </c>
      <c r="BE72" s="3">
        <v>8.3833333333333293</v>
      </c>
      <c r="BF72" s="1" t="s">
        <v>73</v>
      </c>
      <c r="BG72" s="1" t="s">
        <v>73</v>
      </c>
      <c r="BH72" s="1" t="s">
        <v>73</v>
      </c>
      <c r="BI72" s="1" t="s">
        <v>73</v>
      </c>
      <c r="BJ72" s="1" t="s">
        <v>73</v>
      </c>
      <c r="BK72" s="1" t="s">
        <v>840</v>
      </c>
      <c r="BL72" s="1" t="s">
        <v>841</v>
      </c>
      <c r="BM72" s="1" t="s">
        <v>842</v>
      </c>
    </row>
    <row r="73" spans="1:65" x14ac:dyDescent="0.25">
      <c r="A73" s="142" t="s">
        <v>1304</v>
      </c>
      <c r="B73" s="142"/>
      <c r="C73" s="143" t="str">
        <f>CONCATENATE("Max=",TEXT(SUBTOTAL(4,C74), "0"),"")</f>
        <v>Max=0</v>
      </c>
      <c r="D73" s="144" t="str">
        <f>CONCATENATE("∑=",IF(SUBTOTAL(9,D74)=TRUNC(SUBTOTAL(9,D74)),TEXT(SUBTOTAL(9,D74), "0"),TEXT(SUBTOTAL(9,D74), "#,##")),"")</f>
        <v>∑=271,88</v>
      </c>
      <c r="E73" s="145" t="str">
        <f>CONCATENATE("∑=",IF(SUBTOTAL(9,E74)=TRUNC(SUBTOTAL(9,E74)),TEXT(SUBTOTAL(9,E74), "0"),TEXT(SUBTOTAL(9,E74), "#,##")),"")</f>
        <v>∑=1,86</v>
      </c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</row>
    <row r="74" spans="1:65" outlineLevel="1" x14ac:dyDescent="0.25">
      <c r="A74" s="1" t="s">
        <v>1305</v>
      </c>
      <c r="B74" s="1" t="s">
        <v>1306</v>
      </c>
      <c r="C74" s="2">
        <v>0</v>
      </c>
      <c r="D74" s="3">
        <v>271.88</v>
      </c>
      <c r="E74" s="4">
        <v>1.8640000000000001</v>
      </c>
      <c r="F74" s="1" t="s">
        <v>60</v>
      </c>
      <c r="G74" s="2" t="s">
        <v>420</v>
      </c>
      <c r="H74" s="1" t="s">
        <v>1307</v>
      </c>
      <c r="I74" s="1" t="s">
        <v>81</v>
      </c>
      <c r="J74" s="2" t="s">
        <v>82</v>
      </c>
      <c r="K74" s="2" t="s">
        <v>399</v>
      </c>
      <c r="L74" s="1" t="s">
        <v>1308</v>
      </c>
      <c r="M74" s="1" t="s">
        <v>1309</v>
      </c>
      <c r="N74" s="1" t="s">
        <v>1310</v>
      </c>
      <c r="O74" s="146" t="s">
        <v>65</v>
      </c>
      <c r="P74" s="5">
        <v>45776.333333333328</v>
      </c>
      <c r="Q74" s="6">
        <v>45776</v>
      </c>
      <c r="R74" s="5">
        <v>45776.333368055552</v>
      </c>
      <c r="S74" s="1" t="s">
        <v>667</v>
      </c>
      <c r="T74" s="1" t="s">
        <v>668</v>
      </c>
      <c r="U74" s="1" t="s">
        <v>617</v>
      </c>
      <c r="V74" s="1" t="s">
        <v>616</v>
      </c>
      <c r="W74" s="1" t="s">
        <v>70</v>
      </c>
      <c r="X74" s="1" t="s">
        <v>71</v>
      </c>
      <c r="Y74" s="2" t="s">
        <v>477</v>
      </c>
      <c r="Z74" s="1" t="s">
        <v>1118</v>
      </c>
      <c r="AA74" s="2" t="s">
        <v>73</v>
      </c>
      <c r="AB74" s="1" t="s">
        <v>811</v>
      </c>
      <c r="AC74" s="2" t="s">
        <v>73</v>
      </c>
      <c r="AD74" s="2" t="s">
        <v>73</v>
      </c>
      <c r="AE74" s="2" t="s">
        <v>73</v>
      </c>
      <c r="AF74" s="5" t="s">
        <v>73</v>
      </c>
      <c r="AG74" s="5" t="s">
        <v>73</v>
      </c>
      <c r="AH74" s="1" t="s">
        <v>73</v>
      </c>
      <c r="AI74" s="3">
        <v>5</v>
      </c>
      <c r="AJ74" s="1" t="s">
        <v>1311</v>
      </c>
      <c r="AK74" s="1" t="s">
        <v>1312</v>
      </c>
      <c r="AL74" s="1" t="s">
        <v>1313</v>
      </c>
      <c r="AM74" s="1" t="s">
        <v>1314</v>
      </c>
      <c r="AN74" s="1" t="s">
        <v>71</v>
      </c>
      <c r="AO74" s="1" t="s">
        <v>1315</v>
      </c>
      <c r="AP74" s="1" t="s">
        <v>1316</v>
      </c>
      <c r="AQ74" s="1" t="s">
        <v>75</v>
      </c>
      <c r="AR74" s="1" t="s">
        <v>114</v>
      </c>
      <c r="AS74" s="1" t="s">
        <v>1317</v>
      </c>
      <c r="AT74" s="1" t="s">
        <v>1135</v>
      </c>
      <c r="AU74" s="1" t="s">
        <v>1318</v>
      </c>
      <c r="AV74" s="1" t="s">
        <v>1319</v>
      </c>
      <c r="AW74" s="1" t="s">
        <v>1320</v>
      </c>
      <c r="AX74" s="146" t="s">
        <v>65</v>
      </c>
      <c r="AY74" s="2" t="s">
        <v>73</v>
      </c>
      <c r="AZ74" s="1" t="s">
        <v>1321</v>
      </c>
      <c r="BA74" s="3">
        <v>95.51</v>
      </c>
      <c r="BB74" s="3">
        <v>0.96666700000000005</v>
      </c>
      <c r="BC74" s="3">
        <v>0.466667</v>
      </c>
      <c r="BD74" s="3">
        <v>0.5</v>
      </c>
      <c r="BE74" s="3">
        <v>0.96666666666666701</v>
      </c>
      <c r="BF74" s="1" t="s">
        <v>73</v>
      </c>
      <c r="BG74" s="1" t="s">
        <v>73</v>
      </c>
      <c r="BH74" s="1" t="s">
        <v>73</v>
      </c>
      <c r="BI74" s="1" t="s">
        <v>73</v>
      </c>
      <c r="BJ74" s="1" t="s">
        <v>73</v>
      </c>
      <c r="BK74" s="1" t="s">
        <v>658</v>
      </c>
      <c r="BL74" s="1" t="s">
        <v>659</v>
      </c>
      <c r="BM74" s="1" t="s">
        <v>660</v>
      </c>
    </row>
    <row r="75" spans="1:65" x14ac:dyDescent="0.25">
      <c r="A75" s="142" t="s">
        <v>1322</v>
      </c>
      <c r="B75" s="142"/>
      <c r="C75" s="143" t="str">
        <f>CONCATENATE("Max=",TEXT(SUBTOTAL(4,C76:C90), "0"),"")</f>
        <v>Max=15</v>
      </c>
      <c r="D75" s="144" t="str">
        <f>CONCATENATE("∑=",IF(SUBTOTAL(9,D76:D90)=TRUNC(SUBTOTAL(9,D76:D90)),TEXT(SUBTOTAL(9,D76:D90), "0"),TEXT(SUBTOTAL(9,D76:D90), "#,##")),"")</f>
        <v>∑=1229,38</v>
      </c>
      <c r="E75" s="145" t="str">
        <f>CONCATENATE("∑=",IF(SUBTOTAL(9,E76:E90)=TRUNC(SUBTOTAL(9,E76:E90)),TEXT(SUBTOTAL(9,E76:E90), "0"),TEXT(SUBTOTAL(9,E76:E90), "#,##")),"")</f>
        <v>∑=12,61</v>
      </c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</row>
    <row r="76" spans="1:65" outlineLevel="1" x14ac:dyDescent="0.25">
      <c r="A76" s="1" t="s">
        <v>1323</v>
      </c>
      <c r="B76" s="1" t="s">
        <v>1324</v>
      </c>
      <c r="C76" s="2">
        <v>1</v>
      </c>
      <c r="D76" s="3">
        <v>0</v>
      </c>
      <c r="E76" s="4">
        <v>2E-3</v>
      </c>
      <c r="F76" s="1" t="s">
        <v>60</v>
      </c>
      <c r="G76" s="2" t="s">
        <v>420</v>
      </c>
      <c r="H76" s="1" t="s">
        <v>1307</v>
      </c>
      <c r="I76" s="1" t="s">
        <v>81</v>
      </c>
      <c r="J76" s="2" t="s">
        <v>82</v>
      </c>
      <c r="K76" s="2" t="s">
        <v>399</v>
      </c>
      <c r="L76" s="1" t="s">
        <v>1325</v>
      </c>
      <c r="M76" s="1" t="s">
        <v>1326</v>
      </c>
      <c r="N76" s="1" t="s">
        <v>1327</v>
      </c>
      <c r="O76" s="146" t="s">
        <v>65</v>
      </c>
      <c r="P76" s="5">
        <v>45775.333333333328</v>
      </c>
      <c r="Q76" s="6">
        <v>45776</v>
      </c>
      <c r="R76" s="5">
        <v>45776.333368055552</v>
      </c>
      <c r="S76" s="1" t="s">
        <v>667</v>
      </c>
      <c r="T76" s="1" t="s">
        <v>668</v>
      </c>
      <c r="U76" s="1" t="s">
        <v>617</v>
      </c>
      <c r="V76" s="1" t="s">
        <v>616</v>
      </c>
      <c r="W76" s="1" t="s">
        <v>70</v>
      </c>
      <c r="X76" s="1" t="s">
        <v>71</v>
      </c>
      <c r="Y76" s="2" t="s">
        <v>473</v>
      </c>
      <c r="Z76" s="1" t="s">
        <v>473</v>
      </c>
      <c r="AA76" s="2" t="s">
        <v>73</v>
      </c>
      <c r="AB76" s="1" t="s">
        <v>811</v>
      </c>
      <c r="AC76" s="2" t="s">
        <v>73</v>
      </c>
      <c r="AD76" s="2" t="s">
        <v>73</v>
      </c>
      <c r="AE76" s="2" t="s">
        <v>73</v>
      </c>
      <c r="AF76" s="5">
        <v>45776.333333333328</v>
      </c>
      <c r="AG76" s="5">
        <v>45776.333333333328</v>
      </c>
      <c r="AH76" s="1" t="s">
        <v>73</v>
      </c>
      <c r="AI76" s="3">
        <v>3</v>
      </c>
      <c r="AJ76" s="1" t="s">
        <v>1328</v>
      </c>
      <c r="AK76" s="1" t="s">
        <v>1329</v>
      </c>
      <c r="AL76" s="1" t="s">
        <v>969</v>
      </c>
      <c r="AM76" s="1" t="s">
        <v>970</v>
      </c>
      <c r="AN76" s="1" t="s">
        <v>71</v>
      </c>
      <c r="AO76" s="1" t="s">
        <v>1330</v>
      </c>
      <c r="AP76" s="1" t="s">
        <v>1330</v>
      </c>
      <c r="AQ76" s="1" t="s">
        <v>195</v>
      </c>
      <c r="AR76" s="1" t="s">
        <v>123</v>
      </c>
      <c r="AS76" s="1" t="s">
        <v>1331</v>
      </c>
      <c r="AT76" s="1" t="s">
        <v>1332</v>
      </c>
      <c r="AU76" s="1" t="s">
        <v>127</v>
      </c>
      <c r="AV76" s="1" t="s">
        <v>1333</v>
      </c>
      <c r="AW76" s="1" t="s">
        <v>1334</v>
      </c>
      <c r="AX76" s="146" t="s">
        <v>65</v>
      </c>
      <c r="AY76" s="2">
        <v>2</v>
      </c>
      <c r="AZ76" s="1" t="s">
        <v>1335</v>
      </c>
      <c r="BA76" s="3">
        <v>59.29</v>
      </c>
      <c r="BB76" s="3">
        <v>0.59166649999999998</v>
      </c>
      <c r="BC76" s="3">
        <v>1</v>
      </c>
      <c r="BD76" s="3">
        <v>0.183333</v>
      </c>
      <c r="BE76" s="3">
        <v>1.18333333333333</v>
      </c>
      <c r="BF76" s="1" t="s">
        <v>73</v>
      </c>
      <c r="BG76" s="1" t="s">
        <v>73</v>
      </c>
      <c r="BH76" s="1" t="s">
        <v>73</v>
      </c>
      <c r="BI76" s="1" t="s">
        <v>73</v>
      </c>
      <c r="BJ76" s="1" t="s">
        <v>73</v>
      </c>
      <c r="BK76" s="1" t="s">
        <v>840</v>
      </c>
      <c r="BL76" s="1" t="s">
        <v>841</v>
      </c>
      <c r="BM76" s="1" t="s">
        <v>842</v>
      </c>
    </row>
    <row r="77" spans="1:65" outlineLevel="1" x14ac:dyDescent="0.25">
      <c r="A77" s="1" t="s">
        <v>1323</v>
      </c>
      <c r="B77" s="1" t="s">
        <v>1324</v>
      </c>
      <c r="C77" s="2">
        <v>2</v>
      </c>
      <c r="D77" s="3">
        <v>58</v>
      </c>
      <c r="E77" s="4">
        <v>0.57599999999999996</v>
      </c>
      <c r="F77" s="1" t="s">
        <v>60</v>
      </c>
      <c r="G77" s="2" t="s">
        <v>420</v>
      </c>
      <c r="H77" s="1" t="s">
        <v>1307</v>
      </c>
      <c r="I77" s="1" t="s">
        <v>81</v>
      </c>
      <c r="J77" s="2" t="s">
        <v>82</v>
      </c>
      <c r="K77" s="2" t="s">
        <v>399</v>
      </c>
      <c r="L77" s="1" t="s">
        <v>1336</v>
      </c>
      <c r="M77" s="1" t="s">
        <v>1337</v>
      </c>
      <c r="N77" s="1" t="s">
        <v>1338</v>
      </c>
      <c r="O77" s="146" t="s">
        <v>65</v>
      </c>
      <c r="P77" s="5">
        <v>45775.333333333328</v>
      </c>
      <c r="Q77" s="6">
        <v>45776</v>
      </c>
      <c r="R77" s="5">
        <v>45776.359282407408</v>
      </c>
      <c r="S77" s="1" t="s">
        <v>667</v>
      </c>
      <c r="T77" s="1" t="s">
        <v>668</v>
      </c>
      <c r="U77" s="1" t="s">
        <v>617</v>
      </c>
      <c r="V77" s="1" t="s">
        <v>616</v>
      </c>
      <c r="W77" s="1" t="s">
        <v>70</v>
      </c>
      <c r="X77" s="1" t="s">
        <v>71</v>
      </c>
      <c r="Y77" s="2" t="s">
        <v>473</v>
      </c>
      <c r="Z77" s="1" t="s">
        <v>473</v>
      </c>
      <c r="AA77" s="2" t="s">
        <v>73</v>
      </c>
      <c r="AB77" s="1" t="s">
        <v>811</v>
      </c>
      <c r="AC77" s="2" t="s">
        <v>73</v>
      </c>
      <c r="AD77" s="2" t="s">
        <v>73</v>
      </c>
      <c r="AE77" s="2" t="s">
        <v>73</v>
      </c>
      <c r="AF77" s="5" t="s">
        <v>73</v>
      </c>
      <c r="AG77" s="5">
        <v>45776.333333333328</v>
      </c>
      <c r="AH77" s="1" t="s">
        <v>73</v>
      </c>
      <c r="AI77" s="3">
        <v>4</v>
      </c>
      <c r="AJ77" s="1" t="s">
        <v>1339</v>
      </c>
      <c r="AK77" s="1" t="s">
        <v>1340</v>
      </c>
      <c r="AL77" s="1" t="s">
        <v>969</v>
      </c>
      <c r="AM77" s="1" t="s">
        <v>970</v>
      </c>
      <c r="AN77" s="1" t="s">
        <v>71</v>
      </c>
      <c r="AO77" s="1" t="s">
        <v>1341</v>
      </c>
      <c r="AP77" s="1" t="s">
        <v>1342</v>
      </c>
      <c r="AQ77" s="1" t="s">
        <v>1343</v>
      </c>
      <c r="AR77" s="1" t="s">
        <v>114</v>
      </c>
      <c r="AS77" s="1" t="s">
        <v>1344</v>
      </c>
      <c r="AT77" s="1" t="s">
        <v>1240</v>
      </c>
      <c r="AU77" s="1" t="s">
        <v>90</v>
      </c>
      <c r="AV77" s="1" t="s">
        <v>1345</v>
      </c>
      <c r="AW77" s="1" t="s">
        <v>1346</v>
      </c>
      <c r="AX77" s="146" t="s">
        <v>65</v>
      </c>
      <c r="AY77" s="2">
        <v>2</v>
      </c>
      <c r="AZ77" s="1" t="s">
        <v>1335</v>
      </c>
      <c r="BA77" s="3">
        <v>59.57</v>
      </c>
      <c r="BB77" s="3">
        <v>0.85</v>
      </c>
      <c r="BC77" s="3">
        <v>1.2833330000000001</v>
      </c>
      <c r="BD77" s="3">
        <v>0.41666700000000001</v>
      </c>
      <c r="BE77" s="3">
        <v>1.7</v>
      </c>
      <c r="BF77" s="1" t="s">
        <v>73</v>
      </c>
      <c r="BG77" s="1" t="s">
        <v>73</v>
      </c>
      <c r="BH77" s="1" t="s">
        <v>73</v>
      </c>
      <c r="BI77" s="1" t="s">
        <v>73</v>
      </c>
      <c r="BJ77" s="1" t="s">
        <v>73</v>
      </c>
      <c r="BK77" s="1" t="s">
        <v>658</v>
      </c>
      <c r="BL77" s="1" t="s">
        <v>659</v>
      </c>
      <c r="BM77" s="1" t="s">
        <v>660</v>
      </c>
    </row>
    <row r="78" spans="1:65" outlineLevel="1" x14ac:dyDescent="0.25">
      <c r="A78" s="1" t="s">
        <v>1323</v>
      </c>
      <c r="B78" s="1" t="s">
        <v>1324</v>
      </c>
      <c r="C78" s="2">
        <v>3</v>
      </c>
      <c r="D78" s="3">
        <v>65</v>
      </c>
      <c r="E78" s="4">
        <v>0.72</v>
      </c>
      <c r="F78" s="1" t="s">
        <v>60</v>
      </c>
      <c r="G78" s="2" t="s">
        <v>420</v>
      </c>
      <c r="H78" s="1" t="s">
        <v>626</v>
      </c>
      <c r="I78" s="1" t="s">
        <v>81</v>
      </c>
      <c r="J78" s="2" t="s">
        <v>82</v>
      </c>
      <c r="K78" s="2" t="s">
        <v>399</v>
      </c>
      <c r="L78" s="1" t="s">
        <v>1347</v>
      </c>
      <c r="M78" s="1" t="s">
        <v>1348</v>
      </c>
      <c r="N78" s="1" t="s">
        <v>1349</v>
      </c>
      <c r="O78" s="146" t="s">
        <v>65</v>
      </c>
      <c r="P78" s="5">
        <v>45772.333333333328</v>
      </c>
      <c r="Q78" s="6">
        <v>45776</v>
      </c>
      <c r="R78" s="5">
        <v>45776.395740740736</v>
      </c>
      <c r="S78" s="1" t="s">
        <v>667</v>
      </c>
      <c r="T78" s="1" t="s">
        <v>668</v>
      </c>
      <c r="U78" s="1" t="s">
        <v>617</v>
      </c>
      <c r="V78" s="1" t="s">
        <v>616</v>
      </c>
      <c r="W78" s="1" t="s">
        <v>70</v>
      </c>
      <c r="X78" s="1" t="s">
        <v>71</v>
      </c>
      <c r="Y78" s="2" t="s">
        <v>473</v>
      </c>
      <c r="Z78" s="1" t="s">
        <v>473</v>
      </c>
      <c r="AA78" s="2" t="s">
        <v>73</v>
      </c>
      <c r="AB78" s="1" t="s">
        <v>811</v>
      </c>
      <c r="AC78" s="2" t="s">
        <v>73</v>
      </c>
      <c r="AD78" s="2" t="s">
        <v>73</v>
      </c>
      <c r="AE78" s="2" t="s">
        <v>73</v>
      </c>
      <c r="AF78" s="5" t="s">
        <v>73</v>
      </c>
      <c r="AG78" s="5">
        <v>45776.375</v>
      </c>
      <c r="AH78" s="1" t="s">
        <v>73</v>
      </c>
      <c r="AI78" s="3">
        <v>1</v>
      </c>
      <c r="AJ78" s="1" t="s">
        <v>1350</v>
      </c>
      <c r="AK78" s="1" t="s">
        <v>1351</v>
      </c>
      <c r="AL78" s="1" t="s">
        <v>969</v>
      </c>
      <c r="AM78" s="1" t="s">
        <v>970</v>
      </c>
      <c r="AN78" s="1" t="s">
        <v>71</v>
      </c>
      <c r="AO78" s="1" t="s">
        <v>1352</v>
      </c>
      <c r="AP78" s="1" t="s">
        <v>1353</v>
      </c>
      <c r="AQ78" s="1" t="s">
        <v>1343</v>
      </c>
      <c r="AR78" s="1" t="s">
        <v>114</v>
      </c>
      <c r="AS78" s="1" t="s">
        <v>1354</v>
      </c>
      <c r="AT78" s="1" t="s">
        <v>1240</v>
      </c>
      <c r="AU78" s="1" t="s">
        <v>108</v>
      </c>
      <c r="AV78" s="1" t="s">
        <v>1355</v>
      </c>
      <c r="AW78" s="1" t="s">
        <v>1355</v>
      </c>
      <c r="AX78" s="146" t="s">
        <v>65</v>
      </c>
      <c r="AY78" s="2">
        <v>2</v>
      </c>
      <c r="AZ78" s="1" t="s">
        <v>1335</v>
      </c>
      <c r="BA78" s="3">
        <v>60.02</v>
      </c>
      <c r="BB78" s="3">
        <v>0.1083335</v>
      </c>
      <c r="BC78" s="3">
        <v>0.11666700000000001</v>
      </c>
      <c r="BD78" s="3">
        <v>0.1</v>
      </c>
      <c r="BE78" s="3">
        <v>0.21666666666666701</v>
      </c>
      <c r="BF78" s="1" t="s">
        <v>73</v>
      </c>
      <c r="BG78" s="1" t="s">
        <v>73</v>
      </c>
      <c r="BH78" s="1" t="s">
        <v>73</v>
      </c>
      <c r="BI78" s="1" t="s">
        <v>73</v>
      </c>
      <c r="BJ78" s="1" t="s">
        <v>73</v>
      </c>
      <c r="BK78" s="1" t="s">
        <v>658</v>
      </c>
      <c r="BL78" s="1" t="s">
        <v>659</v>
      </c>
      <c r="BM78" s="1" t="s">
        <v>660</v>
      </c>
    </row>
    <row r="79" spans="1:65" outlineLevel="1" x14ac:dyDescent="0.25">
      <c r="A79" s="1" t="s">
        <v>1323</v>
      </c>
      <c r="B79" s="1" t="s">
        <v>1324</v>
      </c>
      <c r="C79" s="2">
        <v>4</v>
      </c>
      <c r="D79" s="3">
        <v>80.05</v>
      </c>
      <c r="E79" s="4">
        <v>0.754</v>
      </c>
      <c r="F79" s="1" t="s">
        <v>60</v>
      </c>
      <c r="G79" s="2" t="s">
        <v>420</v>
      </c>
      <c r="H79" s="1" t="s">
        <v>626</v>
      </c>
      <c r="I79" s="1" t="s">
        <v>81</v>
      </c>
      <c r="J79" s="2" t="s">
        <v>82</v>
      </c>
      <c r="K79" s="2" t="s">
        <v>399</v>
      </c>
      <c r="L79" s="1" t="s">
        <v>1356</v>
      </c>
      <c r="M79" s="1" t="s">
        <v>1357</v>
      </c>
      <c r="N79" s="1" t="s">
        <v>1358</v>
      </c>
      <c r="O79" s="146" t="s">
        <v>65</v>
      </c>
      <c r="P79" s="5">
        <v>45770.333333333328</v>
      </c>
      <c r="Q79" s="6">
        <v>45776</v>
      </c>
      <c r="R79" s="5">
        <v>45776.401296296295</v>
      </c>
      <c r="S79" s="1" t="s">
        <v>667</v>
      </c>
      <c r="T79" s="1" t="s">
        <v>668</v>
      </c>
      <c r="U79" s="1" t="s">
        <v>617</v>
      </c>
      <c r="V79" s="1" t="s">
        <v>616</v>
      </c>
      <c r="W79" s="1" t="s">
        <v>70</v>
      </c>
      <c r="X79" s="1" t="s">
        <v>71</v>
      </c>
      <c r="Y79" s="2" t="s">
        <v>473</v>
      </c>
      <c r="Z79" s="1" t="s">
        <v>473</v>
      </c>
      <c r="AA79" s="2" t="s">
        <v>73</v>
      </c>
      <c r="AB79" s="1" t="s">
        <v>811</v>
      </c>
      <c r="AC79" s="2" t="s">
        <v>73</v>
      </c>
      <c r="AD79" s="2" t="s">
        <v>73</v>
      </c>
      <c r="AE79" s="2" t="s">
        <v>73</v>
      </c>
      <c r="AF79" s="5" t="s">
        <v>73</v>
      </c>
      <c r="AG79" s="5">
        <v>45776.375</v>
      </c>
      <c r="AH79" s="1" t="s">
        <v>73</v>
      </c>
      <c r="AI79" s="3">
        <v>5</v>
      </c>
      <c r="AJ79" s="1" t="s">
        <v>1359</v>
      </c>
      <c r="AK79" s="1" t="s">
        <v>1340</v>
      </c>
      <c r="AL79" s="1" t="s">
        <v>969</v>
      </c>
      <c r="AM79" s="1" t="s">
        <v>970</v>
      </c>
      <c r="AN79" s="1" t="s">
        <v>71</v>
      </c>
      <c r="AO79" s="1" t="s">
        <v>1360</v>
      </c>
      <c r="AP79" s="1" t="s">
        <v>1361</v>
      </c>
      <c r="AQ79" s="1" t="s">
        <v>1362</v>
      </c>
      <c r="AR79" s="1" t="s">
        <v>114</v>
      </c>
      <c r="AS79" s="1" t="s">
        <v>1363</v>
      </c>
      <c r="AT79" s="1" t="s">
        <v>1240</v>
      </c>
      <c r="AU79" s="1" t="s">
        <v>98</v>
      </c>
      <c r="AV79" s="1" t="s">
        <v>1364</v>
      </c>
      <c r="AW79" s="1" t="s">
        <v>1365</v>
      </c>
      <c r="AX79" s="146" t="s">
        <v>65</v>
      </c>
      <c r="AY79" s="2">
        <v>2</v>
      </c>
      <c r="AZ79" s="1" t="s">
        <v>1335</v>
      </c>
      <c r="BA79" s="3">
        <v>59.57</v>
      </c>
      <c r="BB79" s="3">
        <v>0.89166650000000003</v>
      </c>
      <c r="BC79" s="3">
        <v>1.3</v>
      </c>
      <c r="BD79" s="3">
        <v>0.48333300000000001</v>
      </c>
      <c r="BE79" s="3">
        <v>1.7833333333333301</v>
      </c>
      <c r="BF79" s="1" t="s">
        <v>73</v>
      </c>
      <c r="BG79" s="1" t="s">
        <v>73</v>
      </c>
      <c r="BH79" s="1" t="s">
        <v>73</v>
      </c>
      <c r="BI79" s="1" t="s">
        <v>73</v>
      </c>
      <c r="BJ79" s="1" t="s">
        <v>73</v>
      </c>
      <c r="BK79" s="1" t="s">
        <v>658</v>
      </c>
      <c r="BL79" s="1" t="s">
        <v>659</v>
      </c>
      <c r="BM79" s="1" t="s">
        <v>660</v>
      </c>
    </row>
    <row r="80" spans="1:65" outlineLevel="1" x14ac:dyDescent="0.25">
      <c r="A80" s="1" t="s">
        <v>1323</v>
      </c>
      <c r="B80" s="1" t="s">
        <v>1324</v>
      </c>
      <c r="C80" s="2">
        <v>5</v>
      </c>
      <c r="D80" s="3">
        <v>59.25</v>
      </c>
      <c r="E80" s="4">
        <v>0.58299999999999996</v>
      </c>
      <c r="F80" s="1" t="s">
        <v>60</v>
      </c>
      <c r="G80" s="2" t="s">
        <v>420</v>
      </c>
      <c r="H80" s="1" t="s">
        <v>626</v>
      </c>
      <c r="I80" s="1" t="s">
        <v>81</v>
      </c>
      <c r="J80" s="2" t="s">
        <v>82</v>
      </c>
      <c r="K80" s="2" t="s">
        <v>399</v>
      </c>
      <c r="L80" s="1" t="s">
        <v>1366</v>
      </c>
      <c r="M80" s="1" t="s">
        <v>1367</v>
      </c>
      <c r="N80" s="1" t="s">
        <v>1368</v>
      </c>
      <c r="O80" s="146" t="s">
        <v>65</v>
      </c>
      <c r="P80" s="5">
        <v>45772.333333333328</v>
      </c>
      <c r="Q80" s="6">
        <v>45776</v>
      </c>
      <c r="R80" s="5">
        <v>45776.481840277775</v>
      </c>
      <c r="S80" s="1" t="s">
        <v>667</v>
      </c>
      <c r="T80" s="1" t="s">
        <v>668</v>
      </c>
      <c r="U80" s="1" t="s">
        <v>617</v>
      </c>
      <c r="V80" s="1" t="s">
        <v>616</v>
      </c>
      <c r="W80" s="1" t="s">
        <v>70</v>
      </c>
      <c r="X80" s="1" t="s">
        <v>71</v>
      </c>
      <c r="Y80" s="2" t="s">
        <v>473</v>
      </c>
      <c r="Z80" s="1" t="s">
        <v>473</v>
      </c>
      <c r="AA80" s="2" t="s">
        <v>73</v>
      </c>
      <c r="AB80" s="1" t="s">
        <v>811</v>
      </c>
      <c r="AC80" s="2" t="s">
        <v>73</v>
      </c>
      <c r="AD80" s="2" t="s">
        <v>73</v>
      </c>
      <c r="AE80" s="2" t="s">
        <v>73</v>
      </c>
      <c r="AF80" s="5" t="s">
        <v>73</v>
      </c>
      <c r="AG80" s="5">
        <v>45776.458333333328</v>
      </c>
      <c r="AH80" s="1" t="s">
        <v>73</v>
      </c>
      <c r="AI80" s="3">
        <v>2</v>
      </c>
      <c r="AJ80" s="1" t="s">
        <v>1369</v>
      </c>
      <c r="AK80" s="1" t="s">
        <v>1370</v>
      </c>
      <c r="AL80" s="1" t="s">
        <v>616</v>
      </c>
      <c r="AM80" s="1" t="s">
        <v>617</v>
      </c>
      <c r="AN80" s="1" t="s">
        <v>71</v>
      </c>
      <c r="AO80" s="1" t="s">
        <v>1371</v>
      </c>
      <c r="AP80" s="1" t="s">
        <v>73</v>
      </c>
      <c r="AQ80" s="1" t="s">
        <v>111</v>
      </c>
      <c r="AR80" s="1" t="s">
        <v>114</v>
      </c>
      <c r="AS80" s="1" t="s">
        <v>315</v>
      </c>
      <c r="AT80" s="1" t="s">
        <v>700</v>
      </c>
      <c r="AU80" s="1" t="s">
        <v>127</v>
      </c>
      <c r="AV80" s="1" t="s">
        <v>1372</v>
      </c>
      <c r="AW80" s="1" t="s">
        <v>1373</v>
      </c>
      <c r="AX80" s="146" t="s">
        <v>65</v>
      </c>
      <c r="AY80" s="2">
        <v>2</v>
      </c>
      <c r="AZ80" s="1" t="s">
        <v>1335</v>
      </c>
      <c r="BA80" s="3">
        <v>5.42</v>
      </c>
      <c r="BB80" s="3">
        <v>0.1083335</v>
      </c>
      <c r="BC80" s="3">
        <v>0.11666700000000001</v>
      </c>
      <c r="BD80" s="3">
        <v>0.1</v>
      </c>
      <c r="BE80" s="3">
        <v>0.21666666666666701</v>
      </c>
      <c r="BF80" s="1" t="s">
        <v>73</v>
      </c>
      <c r="BG80" s="1" t="s">
        <v>73</v>
      </c>
      <c r="BH80" s="1" t="s">
        <v>73</v>
      </c>
      <c r="BI80" s="1" t="s">
        <v>73</v>
      </c>
      <c r="BJ80" s="1" t="s">
        <v>73</v>
      </c>
      <c r="BK80" s="1" t="s">
        <v>619</v>
      </c>
      <c r="BL80" s="1" t="s">
        <v>620</v>
      </c>
      <c r="BM80" s="1" t="s">
        <v>621</v>
      </c>
    </row>
    <row r="81" spans="1:65" outlineLevel="1" x14ac:dyDescent="0.25">
      <c r="A81" s="1" t="s">
        <v>1323</v>
      </c>
      <c r="B81" s="1" t="s">
        <v>1324</v>
      </c>
      <c r="C81" s="2">
        <v>6</v>
      </c>
      <c r="D81" s="3">
        <v>65</v>
      </c>
      <c r="E81" s="4">
        <v>0.72</v>
      </c>
      <c r="F81" s="1" t="s">
        <v>60</v>
      </c>
      <c r="G81" s="2" t="s">
        <v>420</v>
      </c>
      <c r="H81" s="1" t="s">
        <v>626</v>
      </c>
      <c r="I81" s="1" t="s">
        <v>81</v>
      </c>
      <c r="J81" s="2" t="s">
        <v>82</v>
      </c>
      <c r="K81" s="2" t="s">
        <v>399</v>
      </c>
      <c r="L81" s="1" t="s">
        <v>1374</v>
      </c>
      <c r="M81" s="1" t="s">
        <v>1375</v>
      </c>
      <c r="N81" s="1" t="s">
        <v>1376</v>
      </c>
      <c r="O81" s="146" t="s">
        <v>65</v>
      </c>
      <c r="P81" s="5">
        <v>45772.333333333328</v>
      </c>
      <c r="Q81" s="6">
        <v>45776</v>
      </c>
      <c r="R81" s="5">
        <v>45776.496168981481</v>
      </c>
      <c r="S81" s="1" t="s">
        <v>667</v>
      </c>
      <c r="T81" s="1" t="s">
        <v>668</v>
      </c>
      <c r="U81" s="1" t="s">
        <v>617</v>
      </c>
      <c r="V81" s="1" t="s">
        <v>616</v>
      </c>
      <c r="W81" s="1" t="s">
        <v>70</v>
      </c>
      <c r="X81" s="1" t="s">
        <v>71</v>
      </c>
      <c r="Y81" s="2" t="s">
        <v>473</v>
      </c>
      <c r="Z81" s="1" t="s">
        <v>473</v>
      </c>
      <c r="AA81" s="2" t="s">
        <v>73</v>
      </c>
      <c r="AB81" s="1" t="s">
        <v>811</v>
      </c>
      <c r="AC81" s="2" t="s">
        <v>73</v>
      </c>
      <c r="AD81" s="2" t="s">
        <v>73</v>
      </c>
      <c r="AE81" s="2" t="s">
        <v>73</v>
      </c>
      <c r="AF81" s="5" t="s">
        <v>73</v>
      </c>
      <c r="AG81" s="5">
        <v>45776.458333333328</v>
      </c>
      <c r="AH81" s="1" t="s">
        <v>73</v>
      </c>
      <c r="AI81" s="3">
        <v>1</v>
      </c>
      <c r="AJ81" s="1" t="s">
        <v>1377</v>
      </c>
      <c r="AK81" s="1" t="s">
        <v>1288</v>
      </c>
      <c r="AL81" s="1" t="s">
        <v>616</v>
      </c>
      <c r="AM81" s="1" t="s">
        <v>617</v>
      </c>
      <c r="AN81" s="1" t="s">
        <v>71</v>
      </c>
      <c r="AO81" s="1" t="s">
        <v>1378</v>
      </c>
      <c r="AP81" s="1" t="s">
        <v>1379</v>
      </c>
      <c r="AQ81" s="1" t="s">
        <v>1343</v>
      </c>
      <c r="AR81" s="1" t="s">
        <v>114</v>
      </c>
      <c r="AS81" s="1" t="s">
        <v>1380</v>
      </c>
      <c r="AT81" s="1" t="s">
        <v>1240</v>
      </c>
      <c r="AU81" s="1" t="s">
        <v>108</v>
      </c>
      <c r="AV81" s="1" t="s">
        <v>1381</v>
      </c>
      <c r="AW81" s="1" t="s">
        <v>1381</v>
      </c>
      <c r="AX81" s="146" t="s">
        <v>65</v>
      </c>
      <c r="AY81" s="2">
        <v>2</v>
      </c>
      <c r="AZ81" s="1" t="s">
        <v>1335</v>
      </c>
      <c r="BA81" s="3">
        <v>2.2999999999999998</v>
      </c>
      <c r="BB81" s="3">
        <v>0.1083335</v>
      </c>
      <c r="BC81" s="3">
        <v>0.11666700000000001</v>
      </c>
      <c r="BD81" s="3">
        <v>0.1</v>
      </c>
      <c r="BE81" s="3">
        <v>0.21666666666666701</v>
      </c>
      <c r="BF81" s="1" t="s">
        <v>73</v>
      </c>
      <c r="BG81" s="1" t="s">
        <v>73</v>
      </c>
      <c r="BH81" s="1" t="s">
        <v>73</v>
      </c>
      <c r="BI81" s="1" t="s">
        <v>73</v>
      </c>
      <c r="BJ81" s="1" t="s">
        <v>73</v>
      </c>
      <c r="BK81" s="1" t="s">
        <v>658</v>
      </c>
      <c r="BL81" s="1" t="s">
        <v>659</v>
      </c>
      <c r="BM81" s="1" t="s">
        <v>660</v>
      </c>
    </row>
    <row r="82" spans="1:65" outlineLevel="1" x14ac:dyDescent="0.25">
      <c r="A82" s="1" t="s">
        <v>1323</v>
      </c>
      <c r="B82" s="1" t="s">
        <v>1324</v>
      </c>
      <c r="C82" s="2">
        <v>7</v>
      </c>
      <c r="D82" s="3">
        <v>75.650000000000006</v>
      </c>
      <c r="E82" s="4">
        <v>0.754</v>
      </c>
      <c r="F82" s="1" t="s">
        <v>60</v>
      </c>
      <c r="G82" s="2" t="s">
        <v>420</v>
      </c>
      <c r="H82" s="1" t="s">
        <v>626</v>
      </c>
      <c r="I82" s="1" t="s">
        <v>81</v>
      </c>
      <c r="J82" s="2" t="s">
        <v>82</v>
      </c>
      <c r="K82" s="2" t="s">
        <v>399</v>
      </c>
      <c r="L82" s="1" t="s">
        <v>1382</v>
      </c>
      <c r="M82" s="1" t="s">
        <v>1383</v>
      </c>
      <c r="N82" s="1" t="s">
        <v>1384</v>
      </c>
      <c r="O82" s="146" t="s">
        <v>65</v>
      </c>
      <c r="P82" s="5">
        <v>45772.333333333328</v>
      </c>
      <c r="Q82" s="6">
        <v>45776</v>
      </c>
      <c r="R82" s="5">
        <v>45776.502337962964</v>
      </c>
      <c r="S82" s="1" t="s">
        <v>667</v>
      </c>
      <c r="T82" s="1" t="s">
        <v>668</v>
      </c>
      <c r="U82" s="1" t="s">
        <v>617</v>
      </c>
      <c r="V82" s="1" t="s">
        <v>616</v>
      </c>
      <c r="W82" s="1" t="s">
        <v>70</v>
      </c>
      <c r="X82" s="1" t="s">
        <v>71</v>
      </c>
      <c r="Y82" s="2" t="s">
        <v>473</v>
      </c>
      <c r="Z82" s="1" t="s">
        <v>473</v>
      </c>
      <c r="AA82" s="2" t="s">
        <v>73</v>
      </c>
      <c r="AB82" s="1" t="s">
        <v>811</v>
      </c>
      <c r="AC82" s="2" t="s">
        <v>73</v>
      </c>
      <c r="AD82" s="2" t="s">
        <v>73</v>
      </c>
      <c r="AE82" s="2" t="s">
        <v>73</v>
      </c>
      <c r="AF82" s="5" t="s">
        <v>73</v>
      </c>
      <c r="AG82" s="5">
        <v>45776.5</v>
      </c>
      <c r="AH82" s="1" t="s">
        <v>73</v>
      </c>
      <c r="AI82" s="3">
        <v>4</v>
      </c>
      <c r="AJ82" s="1" t="s">
        <v>1385</v>
      </c>
      <c r="AK82" s="1" t="s">
        <v>1386</v>
      </c>
      <c r="AL82" s="1" t="s">
        <v>616</v>
      </c>
      <c r="AM82" s="1" t="s">
        <v>617</v>
      </c>
      <c r="AN82" s="1" t="s">
        <v>71</v>
      </c>
      <c r="AO82" s="1" t="s">
        <v>1387</v>
      </c>
      <c r="AP82" s="1" t="s">
        <v>1388</v>
      </c>
      <c r="AQ82" s="1" t="s">
        <v>1389</v>
      </c>
      <c r="AR82" s="1" t="s">
        <v>114</v>
      </c>
      <c r="AS82" s="1" t="s">
        <v>1390</v>
      </c>
      <c r="AT82" s="1" t="s">
        <v>1240</v>
      </c>
      <c r="AU82" s="1" t="s">
        <v>90</v>
      </c>
      <c r="AV82" s="1" t="s">
        <v>1391</v>
      </c>
      <c r="AW82" s="1" t="s">
        <v>1392</v>
      </c>
      <c r="AX82" s="146" t="s">
        <v>65</v>
      </c>
      <c r="AY82" s="2">
        <v>2</v>
      </c>
      <c r="AZ82" s="1" t="s">
        <v>1335</v>
      </c>
      <c r="BA82" s="3">
        <v>1.86</v>
      </c>
      <c r="BB82" s="3">
        <v>0.43333349999999998</v>
      </c>
      <c r="BC82" s="3">
        <v>0.58333299999999999</v>
      </c>
      <c r="BD82" s="3">
        <v>0.283333</v>
      </c>
      <c r="BE82" s="3">
        <v>0.86666666666666703</v>
      </c>
      <c r="BF82" s="1" t="s">
        <v>73</v>
      </c>
      <c r="BG82" s="1" t="s">
        <v>73</v>
      </c>
      <c r="BH82" s="1" t="s">
        <v>73</v>
      </c>
      <c r="BI82" s="1" t="s">
        <v>73</v>
      </c>
      <c r="BJ82" s="1" t="s">
        <v>73</v>
      </c>
      <c r="BK82" s="1" t="s">
        <v>658</v>
      </c>
      <c r="BL82" s="1" t="s">
        <v>659</v>
      </c>
      <c r="BM82" s="1" t="s">
        <v>660</v>
      </c>
    </row>
    <row r="83" spans="1:65" outlineLevel="1" x14ac:dyDescent="0.25">
      <c r="A83" s="1" t="s">
        <v>1323</v>
      </c>
      <c r="B83" s="1" t="s">
        <v>1324</v>
      </c>
      <c r="C83" s="2">
        <v>8</v>
      </c>
      <c r="D83" s="3">
        <v>57.8</v>
      </c>
      <c r="E83" s="4">
        <v>0.46200000000000002</v>
      </c>
      <c r="F83" s="1" t="s">
        <v>60</v>
      </c>
      <c r="G83" s="2" t="s">
        <v>420</v>
      </c>
      <c r="H83" s="1" t="s">
        <v>626</v>
      </c>
      <c r="I83" s="1" t="s">
        <v>81</v>
      </c>
      <c r="J83" s="2" t="s">
        <v>82</v>
      </c>
      <c r="K83" s="2" t="s">
        <v>399</v>
      </c>
      <c r="L83" s="1" t="s">
        <v>1393</v>
      </c>
      <c r="M83" s="1" t="s">
        <v>1394</v>
      </c>
      <c r="N83" s="1" t="s">
        <v>1395</v>
      </c>
      <c r="O83" s="146" t="s">
        <v>65</v>
      </c>
      <c r="P83" s="5">
        <v>45772.333333333328</v>
      </c>
      <c r="Q83" s="6">
        <v>45776</v>
      </c>
      <c r="R83" s="5">
        <v>45776.523321759254</v>
      </c>
      <c r="S83" s="1" t="s">
        <v>667</v>
      </c>
      <c r="T83" s="1" t="s">
        <v>668</v>
      </c>
      <c r="U83" s="1" t="s">
        <v>617</v>
      </c>
      <c r="V83" s="1" t="s">
        <v>616</v>
      </c>
      <c r="W83" s="1" t="s">
        <v>70</v>
      </c>
      <c r="X83" s="1" t="s">
        <v>71</v>
      </c>
      <c r="Y83" s="2" t="s">
        <v>473</v>
      </c>
      <c r="Z83" s="1" t="s">
        <v>473</v>
      </c>
      <c r="AA83" s="2" t="s">
        <v>73</v>
      </c>
      <c r="AB83" s="1" t="s">
        <v>811</v>
      </c>
      <c r="AC83" s="2" t="s">
        <v>73</v>
      </c>
      <c r="AD83" s="2" t="s">
        <v>73</v>
      </c>
      <c r="AE83" s="2" t="s">
        <v>73</v>
      </c>
      <c r="AF83" s="5" t="s">
        <v>73</v>
      </c>
      <c r="AG83" s="5">
        <v>45776.5</v>
      </c>
      <c r="AH83" s="1" t="s">
        <v>73</v>
      </c>
      <c r="AI83" s="3">
        <v>3</v>
      </c>
      <c r="AJ83" s="1" t="s">
        <v>1396</v>
      </c>
      <c r="AK83" s="1" t="s">
        <v>833</v>
      </c>
      <c r="AL83" s="1" t="s">
        <v>616</v>
      </c>
      <c r="AM83" s="1" t="s">
        <v>617</v>
      </c>
      <c r="AN83" s="1" t="s">
        <v>71</v>
      </c>
      <c r="AO83" s="1" t="s">
        <v>1397</v>
      </c>
      <c r="AP83" s="1" t="s">
        <v>1398</v>
      </c>
      <c r="AQ83" s="1" t="s">
        <v>115</v>
      </c>
      <c r="AR83" s="1" t="s">
        <v>114</v>
      </c>
      <c r="AS83" s="1" t="s">
        <v>1399</v>
      </c>
      <c r="AT83" s="1" t="s">
        <v>837</v>
      </c>
      <c r="AU83" s="1" t="s">
        <v>90</v>
      </c>
      <c r="AV83" s="1" t="s">
        <v>1040</v>
      </c>
      <c r="AW83" s="1" t="s">
        <v>1041</v>
      </c>
      <c r="AX83" s="146" t="s">
        <v>65</v>
      </c>
      <c r="AY83" s="2">
        <v>2</v>
      </c>
      <c r="AZ83" s="1" t="s">
        <v>1335</v>
      </c>
      <c r="BA83" s="3">
        <v>2.57</v>
      </c>
      <c r="BB83" s="3">
        <v>0.17499999999999999</v>
      </c>
      <c r="BC83" s="3">
        <v>0.183333</v>
      </c>
      <c r="BD83" s="3">
        <v>0.16666700000000001</v>
      </c>
      <c r="BE83" s="3">
        <v>0.35</v>
      </c>
      <c r="BF83" s="1" t="s">
        <v>73</v>
      </c>
      <c r="BG83" s="1" t="s">
        <v>73</v>
      </c>
      <c r="BH83" s="1" t="s">
        <v>73</v>
      </c>
      <c r="BI83" s="1" t="s">
        <v>73</v>
      </c>
      <c r="BJ83" s="1" t="s">
        <v>73</v>
      </c>
      <c r="BK83" s="1" t="s">
        <v>658</v>
      </c>
      <c r="BL83" s="1" t="s">
        <v>659</v>
      </c>
      <c r="BM83" s="1" t="s">
        <v>660</v>
      </c>
    </row>
    <row r="84" spans="1:65" outlineLevel="1" x14ac:dyDescent="0.25">
      <c r="A84" s="1" t="s">
        <v>1323</v>
      </c>
      <c r="B84" s="1" t="s">
        <v>1324</v>
      </c>
      <c r="C84" s="2">
        <v>9</v>
      </c>
      <c r="D84" s="3">
        <v>61.5</v>
      </c>
      <c r="E84" s="4">
        <v>0.64800000000000002</v>
      </c>
      <c r="F84" s="1" t="s">
        <v>60</v>
      </c>
      <c r="G84" s="2" t="s">
        <v>420</v>
      </c>
      <c r="H84" s="1" t="s">
        <v>626</v>
      </c>
      <c r="I84" s="1" t="s">
        <v>81</v>
      </c>
      <c r="J84" s="2" t="s">
        <v>82</v>
      </c>
      <c r="K84" s="2" t="s">
        <v>399</v>
      </c>
      <c r="L84" s="1" t="s">
        <v>1400</v>
      </c>
      <c r="M84" s="1" t="s">
        <v>1401</v>
      </c>
      <c r="N84" s="1" t="s">
        <v>1402</v>
      </c>
      <c r="O84" s="146" t="s">
        <v>65</v>
      </c>
      <c r="P84" s="5">
        <v>45772.333333333328</v>
      </c>
      <c r="Q84" s="6">
        <v>45776</v>
      </c>
      <c r="R84" s="5">
        <v>45776.535416666666</v>
      </c>
      <c r="S84" s="1" t="s">
        <v>667</v>
      </c>
      <c r="T84" s="1" t="s">
        <v>668</v>
      </c>
      <c r="U84" s="1" t="s">
        <v>617</v>
      </c>
      <c r="V84" s="1" t="s">
        <v>616</v>
      </c>
      <c r="W84" s="1" t="s">
        <v>70</v>
      </c>
      <c r="X84" s="1" t="s">
        <v>71</v>
      </c>
      <c r="Y84" s="2" t="s">
        <v>473</v>
      </c>
      <c r="Z84" s="1" t="s">
        <v>473</v>
      </c>
      <c r="AA84" s="2" t="s">
        <v>73</v>
      </c>
      <c r="AB84" s="1" t="s">
        <v>811</v>
      </c>
      <c r="AC84" s="2" t="s">
        <v>73</v>
      </c>
      <c r="AD84" s="2" t="s">
        <v>73</v>
      </c>
      <c r="AE84" s="2" t="s">
        <v>73</v>
      </c>
      <c r="AF84" s="5" t="s">
        <v>73</v>
      </c>
      <c r="AG84" s="5">
        <v>45776.5</v>
      </c>
      <c r="AH84" s="1" t="s">
        <v>73</v>
      </c>
      <c r="AI84" s="3">
        <v>1</v>
      </c>
      <c r="AJ84" s="1" t="s">
        <v>1133</v>
      </c>
      <c r="AK84" s="1" t="s">
        <v>1134</v>
      </c>
      <c r="AL84" s="1" t="s">
        <v>616</v>
      </c>
      <c r="AM84" s="1" t="s">
        <v>617</v>
      </c>
      <c r="AN84" s="1" t="s">
        <v>71</v>
      </c>
      <c r="AO84" s="1" t="s">
        <v>73</v>
      </c>
      <c r="AP84" s="1" t="s">
        <v>73</v>
      </c>
      <c r="AQ84" s="1" t="s">
        <v>75</v>
      </c>
      <c r="AR84" s="1" t="s">
        <v>114</v>
      </c>
      <c r="AS84" s="1" t="s">
        <v>315</v>
      </c>
      <c r="AT84" s="1" t="s">
        <v>1070</v>
      </c>
      <c r="AU84" s="1" t="s">
        <v>108</v>
      </c>
      <c r="AV84" s="1" t="s">
        <v>1403</v>
      </c>
      <c r="AW84" s="1" t="s">
        <v>1403</v>
      </c>
      <c r="AX84" s="146" t="s">
        <v>65</v>
      </c>
      <c r="AY84" s="2">
        <v>2</v>
      </c>
      <c r="AZ84" s="1" t="s">
        <v>1335</v>
      </c>
      <c r="BA84" s="3">
        <v>1.53</v>
      </c>
      <c r="BB84" s="3">
        <v>0.1083335</v>
      </c>
      <c r="BC84" s="3">
        <v>0.11666700000000001</v>
      </c>
      <c r="BD84" s="3">
        <v>0.1</v>
      </c>
      <c r="BE84" s="3">
        <v>0.21666666666666701</v>
      </c>
      <c r="BF84" s="1" t="s">
        <v>73</v>
      </c>
      <c r="BG84" s="1" t="s">
        <v>73</v>
      </c>
      <c r="BH84" s="1" t="s">
        <v>73</v>
      </c>
      <c r="BI84" s="1" t="s">
        <v>73</v>
      </c>
      <c r="BJ84" s="1" t="s">
        <v>73</v>
      </c>
      <c r="BK84" s="1" t="s">
        <v>619</v>
      </c>
      <c r="BL84" s="1" t="s">
        <v>620</v>
      </c>
      <c r="BM84" s="1" t="s">
        <v>621</v>
      </c>
    </row>
    <row r="85" spans="1:65" outlineLevel="1" x14ac:dyDescent="0.25">
      <c r="A85" s="1" t="s">
        <v>1323</v>
      </c>
      <c r="B85" s="1" t="s">
        <v>1324</v>
      </c>
      <c r="C85" s="2">
        <v>10</v>
      </c>
      <c r="D85" s="3">
        <v>58.9</v>
      </c>
      <c r="E85" s="4">
        <v>0.57599999999999996</v>
      </c>
      <c r="F85" s="1" t="s">
        <v>60</v>
      </c>
      <c r="G85" s="2" t="s">
        <v>420</v>
      </c>
      <c r="H85" s="1" t="s">
        <v>626</v>
      </c>
      <c r="I85" s="1" t="s">
        <v>81</v>
      </c>
      <c r="J85" s="2" t="s">
        <v>82</v>
      </c>
      <c r="K85" s="2" t="s">
        <v>399</v>
      </c>
      <c r="L85" s="1" t="s">
        <v>1404</v>
      </c>
      <c r="M85" s="1" t="s">
        <v>1405</v>
      </c>
      <c r="N85" s="1" t="s">
        <v>1406</v>
      </c>
      <c r="O85" s="146" t="s">
        <v>65</v>
      </c>
      <c r="P85" s="5">
        <v>45772.333333333328</v>
      </c>
      <c r="Q85" s="6">
        <v>45776</v>
      </c>
      <c r="R85" s="5">
        <v>45776.545497685183</v>
      </c>
      <c r="S85" s="1" t="s">
        <v>667</v>
      </c>
      <c r="T85" s="1" t="s">
        <v>668</v>
      </c>
      <c r="U85" s="1" t="s">
        <v>617</v>
      </c>
      <c r="V85" s="1" t="s">
        <v>616</v>
      </c>
      <c r="W85" s="1" t="s">
        <v>70</v>
      </c>
      <c r="X85" s="1" t="s">
        <v>71</v>
      </c>
      <c r="Y85" s="2" t="s">
        <v>473</v>
      </c>
      <c r="Z85" s="1" t="s">
        <v>473</v>
      </c>
      <c r="AA85" s="2" t="s">
        <v>73</v>
      </c>
      <c r="AB85" s="1" t="s">
        <v>811</v>
      </c>
      <c r="AC85" s="2" t="s">
        <v>73</v>
      </c>
      <c r="AD85" s="2" t="s">
        <v>73</v>
      </c>
      <c r="AE85" s="2" t="s">
        <v>73</v>
      </c>
      <c r="AF85" s="5" t="s">
        <v>73</v>
      </c>
      <c r="AG85" s="5">
        <v>45776.541666666664</v>
      </c>
      <c r="AH85" s="1" t="s">
        <v>73</v>
      </c>
      <c r="AI85" s="3">
        <v>2</v>
      </c>
      <c r="AJ85" s="1" t="s">
        <v>1407</v>
      </c>
      <c r="AK85" s="1" t="s">
        <v>1408</v>
      </c>
      <c r="AL85" s="1" t="s">
        <v>616</v>
      </c>
      <c r="AM85" s="1" t="s">
        <v>617</v>
      </c>
      <c r="AN85" s="1" t="s">
        <v>71</v>
      </c>
      <c r="AO85" s="1" t="s">
        <v>1409</v>
      </c>
      <c r="AP85" s="1" t="s">
        <v>1410</v>
      </c>
      <c r="AQ85" s="1" t="s">
        <v>1411</v>
      </c>
      <c r="AR85" s="1" t="s">
        <v>114</v>
      </c>
      <c r="AS85" s="1" t="s">
        <v>315</v>
      </c>
      <c r="AT85" s="1" t="s">
        <v>728</v>
      </c>
      <c r="AU85" s="1" t="s">
        <v>127</v>
      </c>
      <c r="AV85" s="1" t="s">
        <v>1412</v>
      </c>
      <c r="AW85" s="1" t="s">
        <v>1413</v>
      </c>
      <c r="AX85" s="146" t="s">
        <v>65</v>
      </c>
      <c r="AY85" s="2">
        <v>2</v>
      </c>
      <c r="AZ85" s="1" t="s">
        <v>1335</v>
      </c>
      <c r="BA85" s="3">
        <v>3</v>
      </c>
      <c r="BB85" s="3">
        <v>0.1083335</v>
      </c>
      <c r="BC85" s="3">
        <v>0.11666700000000001</v>
      </c>
      <c r="BD85" s="3">
        <v>0.1</v>
      </c>
      <c r="BE85" s="3">
        <v>0.21666666666666701</v>
      </c>
      <c r="BF85" s="1" t="s">
        <v>73</v>
      </c>
      <c r="BG85" s="1" t="s">
        <v>73</v>
      </c>
      <c r="BH85" s="1" t="s">
        <v>73</v>
      </c>
      <c r="BI85" s="1" t="s">
        <v>73</v>
      </c>
      <c r="BJ85" s="1" t="s">
        <v>73</v>
      </c>
      <c r="BK85" s="1" t="s">
        <v>619</v>
      </c>
      <c r="BL85" s="1" t="s">
        <v>620</v>
      </c>
      <c r="BM85" s="1" t="s">
        <v>621</v>
      </c>
    </row>
    <row r="86" spans="1:65" outlineLevel="1" x14ac:dyDescent="0.25">
      <c r="A86" s="1" t="s">
        <v>1323</v>
      </c>
      <c r="B86" s="1" t="s">
        <v>1324</v>
      </c>
      <c r="C86" s="2">
        <v>11</v>
      </c>
      <c r="D86" s="3">
        <v>52.3</v>
      </c>
      <c r="E86" s="4">
        <v>0.40400000000000003</v>
      </c>
      <c r="F86" s="1" t="s">
        <v>60</v>
      </c>
      <c r="G86" s="2" t="s">
        <v>420</v>
      </c>
      <c r="H86" s="1" t="s">
        <v>1307</v>
      </c>
      <c r="I86" s="1" t="s">
        <v>81</v>
      </c>
      <c r="J86" s="2" t="s">
        <v>82</v>
      </c>
      <c r="K86" s="2" t="s">
        <v>399</v>
      </c>
      <c r="L86" s="1" t="s">
        <v>1414</v>
      </c>
      <c r="M86" s="1" t="s">
        <v>1415</v>
      </c>
      <c r="N86" s="1" t="s">
        <v>1416</v>
      </c>
      <c r="O86" s="146" t="s">
        <v>65</v>
      </c>
      <c r="P86" s="5">
        <v>45775.333333333328</v>
      </c>
      <c r="Q86" s="6">
        <v>45776</v>
      </c>
      <c r="R86" s="5">
        <v>45776.550046296295</v>
      </c>
      <c r="S86" s="1" t="s">
        <v>667</v>
      </c>
      <c r="T86" s="1" t="s">
        <v>668</v>
      </c>
      <c r="U86" s="1" t="s">
        <v>617</v>
      </c>
      <c r="V86" s="1" t="s">
        <v>616</v>
      </c>
      <c r="W86" s="1" t="s">
        <v>70</v>
      </c>
      <c r="X86" s="1" t="s">
        <v>71</v>
      </c>
      <c r="Y86" s="2" t="s">
        <v>473</v>
      </c>
      <c r="Z86" s="1" t="s">
        <v>473</v>
      </c>
      <c r="AA86" s="2" t="s">
        <v>73</v>
      </c>
      <c r="AB86" s="1" t="s">
        <v>811</v>
      </c>
      <c r="AC86" s="2" t="s">
        <v>73</v>
      </c>
      <c r="AD86" s="2" t="s">
        <v>73</v>
      </c>
      <c r="AE86" s="2" t="s">
        <v>73</v>
      </c>
      <c r="AF86" s="5" t="s">
        <v>73</v>
      </c>
      <c r="AG86" s="5">
        <v>45776.541666666664</v>
      </c>
      <c r="AH86" s="1" t="s">
        <v>73</v>
      </c>
      <c r="AI86" s="3">
        <v>4</v>
      </c>
      <c r="AJ86" s="1" t="s">
        <v>1417</v>
      </c>
      <c r="AK86" s="1" t="s">
        <v>1418</v>
      </c>
      <c r="AL86" s="1" t="s">
        <v>616</v>
      </c>
      <c r="AM86" s="1" t="s">
        <v>617</v>
      </c>
      <c r="AN86" s="1" t="s">
        <v>71</v>
      </c>
      <c r="AO86" s="1" t="s">
        <v>1419</v>
      </c>
      <c r="AP86" s="1" t="s">
        <v>1420</v>
      </c>
      <c r="AQ86" s="1" t="s">
        <v>111</v>
      </c>
      <c r="AR86" s="1" t="s">
        <v>114</v>
      </c>
      <c r="AS86" s="1" t="s">
        <v>1421</v>
      </c>
      <c r="AT86" s="1" t="s">
        <v>728</v>
      </c>
      <c r="AU86" s="1" t="s">
        <v>98</v>
      </c>
      <c r="AV86" s="1" t="s">
        <v>1422</v>
      </c>
      <c r="AW86" s="1" t="s">
        <v>1423</v>
      </c>
      <c r="AX86" s="146" t="s">
        <v>65</v>
      </c>
      <c r="AY86" s="2">
        <v>2</v>
      </c>
      <c r="AZ86" s="1" t="s">
        <v>1335</v>
      </c>
      <c r="BA86" s="3">
        <v>3</v>
      </c>
      <c r="BB86" s="3">
        <v>0.95833349999999995</v>
      </c>
      <c r="BC86" s="3">
        <v>1.75</v>
      </c>
      <c r="BD86" s="3">
        <v>0.16666700000000001</v>
      </c>
      <c r="BE86" s="3">
        <v>1.9166666666666701</v>
      </c>
      <c r="BF86" s="1" t="s">
        <v>73</v>
      </c>
      <c r="BG86" s="1" t="s">
        <v>73</v>
      </c>
      <c r="BH86" s="1" t="s">
        <v>73</v>
      </c>
      <c r="BI86" s="1" t="s">
        <v>73</v>
      </c>
      <c r="BJ86" s="1" t="s">
        <v>73</v>
      </c>
      <c r="BK86" s="1" t="s">
        <v>619</v>
      </c>
      <c r="BL86" s="1" t="s">
        <v>620</v>
      </c>
      <c r="BM86" s="1" t="s">
        <v>621</v>
      </c>
    </row>
    <row r="87" spans="1:65" outlineLevel="1" x14ac:dyDescent="0.25">
      <c r="A87" s="1" t="s">
        <v>1323</v>
      </c>
      <c r="B87" s="1" t="s">
        <v>1324</v>
      </c>
      <c r="C87" s="2">
        <v>12</v>
      </c>
      <c r="D87" s="3">
        <v>32</v>
      </c>
      <c r="E87" s="4">
        <v>0.43</v>
      </c>
      <c r="F87" s="1" t="s">
        <v>60</v>
      </c>
      <c r="G87" s="2" t="s">
        <v>420</v>
      </c>
      <c r="H87" s="1" t="s">
        <v>1307</v>
      </c>
      <c r="I87" s="1" t="s">
        <v>81</v>
      </c>
      <c r="J87" s="2" t="s">
        <v>82</v>
      </c>
      <c r="K87" s="2" t="s">
        <v>399</v>
      </c>
      <c r="L87" s="1" t="s">
        <v>1424</v>
      </c>
      <c r="M87" s="1" t="s">
        <v>1425</v>
      </c>
      <c r="N87" s="1" t="s">
        <v>1426</v>
      </c>
      <c r="O87" s="146" t="s">
        <v>65</v>
      </c>
      <c r="P87" s="5">
        <v>45775.333333333328</v>
      </c>
      <c r="Q87" s="6">
        <v>45776</v>
      </c>
      <c r="R87" s="5">
        <v>45776.600300925922</v>
      </c>
      <c r="S87" s="1" t="s">
        <v>667</v>
      </c>
      <c r="T87" s="1" t="s">
        <v>668</v>
      </c>
      <c r="U87" s="1" t="s">
        <v>617</v>
      </c>
      <c r="V87" s="1" t="s">
        <v>616</v>
      </c>
      <c r="W87" s="1" t="s">
        <v>70</v>
      </c>
      <c r="X87" s="1" t="s">
        <v>71</v>
      </c>
      <c r="Y87" s="2" t="s">
        <v>473</v>
      </c>
      <c r="Z87" s="1" t="s">
        <v>473</v>
      </c>
      <c r="AA87" s="2" t="s">
        <v>73</v>
      </c>
      <c r="AB87" s="1" t="s">
        <v>811</v>
      </c>
      <c r="AC87" s="2" t="s">
        <v>73</v>
      </c>
      <c r="AD87" s="2" t="s">
        <v>73</v>
      </c>
      <c r="AE87" s="2" t="s">
        <v>73</v>
      </c>
      <c r="AF87" s="5" t="s">
        <v>73</v>
      </c>
      <c r="AG87" s="5">
        <v>45776.583333333328</v>
      </c>
      <c r="AH87" s="1" t="s">
        <v>73</v>
      </c>
      <c r="AI87" s="3">
        <v>1</v>
      </c>
      <c r="AJ87" s="1" t="s">
        <v>1427</v>
      </c>
      <c r="AK87" s="1" t="s">
        <v>682</v>
      </c>
      <c r="AL87" s="1" t="s">
        <v>616</v>
      </c>
      <c r="AM87" s="1" t="s">
        <v>617</v>
      </c>
      <c r="AN87" s="1" t="s">
        <v>71</v>
      </c>
      <c r="AO87" s="1" t="s">
        <v>1428</v>
      </c>
      <c r="AP87" s="1" t="s">
        <v>1429</v>
      </c>
      <c r="AQ87" s="1" t="s">
        <v>75</v>
      </c>
      <c r="AR87" s="1" t="s">
        <v>114</v>
      </c>
      <c r="AS87" s="1" t="s">
        <v>685</v>
      </c>
      <c r="AT87" s="1" t="s">
        <v>182</v>
      </c>
      <c r="AU87" s="1" t="s">
        <v>108</v>
      </c>
      <c r="AV87" s="1" t="s">
        <v>327</v>
      </c>
      <c r="AW87" s="1" t="s">
        <v>327</v>
      </c>
      <c r="AX87" s="146" t="s">
        <v>65</v>
      </c>
      <c r="AY87" s="2">
        <v>2</v>
      </c>
      <c r="AZ87" s="1" t="s">
        <v>1335</v>
      </c>
      <c r="BA87" s="3">
        <v>5.7</v>
      </c>
      <c r="BB87" s="3">
        <v>3.3333500000000002E-2</v>
      </c>
      <c r="BC87" s="3">
        <v>0</v>
      </c>
      <c r="BD87" s="3">
        <v>6.6667000000000004E-2</v>
      </c>
      <c r="BE87" s="3">
        <v>6.6666666666666693E-2</v>
      </c>
      <c r="BF87" s="1" t="s">
        <v>73</v>
      </c>
      <c r="BG87" s="1" t="s">
        <v>73</v>
      </c>
      <c r="BH87" s="1" t="s">
        <v>73</v>
      </c>
      <c r="BI87" s="1" t="s">
        <v>73</v>
      </c>
      <c r="BJ87" s="1" t="s">
        <v>73</v>
      </c>
      <c r="BK87" s="1" t="s">
        <v>658</v>
      </c>
      <c r="BL87" s="1" t="s">
        <v>659</v>
      </c>
      <c r="BM87" s="1" t="s">
        <v>660</v>
      </c>
    </row>
    <row r="88" spans="1:65" outlineLevel="1" x14ac:dyDescent="0.25">
      <c r="A88" s="1" t="s">
        <v>1323</v>
      </c>
      <c r="B88" s="1" t="s">
        <v>1324</v>
      </c>
      <c r="C88" s="2">
        <v>13</v>
      </c>
      <c r="D88" s="3">
        <v>55.2</v>
      </c>
      <c r="E88" s="4">
        <v>0.51800000000000002</v>
      </c>
      <c r="F88" s="1" t="s">
        <v>60</v>
      </c>
      <c r="G88" s="2" t="s">
        <v>420</v>
      </c>
      <c r="H88" s="1" t="s">
        <v>1307</v>
      </c>
      <c r="I88" s="1" t="s">
        <v>81</v>
      </c>
      <c r="J88" s="2" t="s">
        <v>82</v>
      </c>
      <c r="K88" s="2" t="s">
        <v>399</v>
      </c>
      <c r="L88" s="1" t="s">
        <v>1430</v>
      </c>
      <c r="M88" s="1" t="s">
        <v>1431</v>
      </c>
      <c r="N88" s="1" t="s">
        <v>1432</v>
      </c>
      <c r="O88" s="146" t="s">
        <v>65</v>
      </c>
      <c r="P88" s="5">
        <v>45775.333333333328</v>
      </c>
      <c r="Q88" s="6">
        <v>45776</v>
      </c>
      <c r="R88" s="5">
        <v>45776.61032407407</v>
      </c>
      <c r="S88" s="1" t="s">
        <v>667</v>
      </c>
      <c r="T88" s="1" t="s">
        <v>668</v>
      </c>
      <c r="U88" s="1" t="s">
        <v>617</v>
      </c>
      <c r="V88" s="1" t="s">
        <v>616</v>
      </c>
      <c r="W88" s="1" t="s">
        <v>70</v>
      </c>
      <c r="X88" s="1" t="s">
        <v>71</v>
      </c>
      <c r="Y88" s="2" t="s">
        <v>473</v>
      </c>
      <c r="Z88" s="1" t="s">
        <v>473</v>
      </c>
      <c r="AA88" s="2" t="s">
        <v>73</v>
      </c>
      <c r="AB88" s="1" t="s">
        <v>811</v>
      </c>
      <c r="AC88" s="2" t="s">
        <v>73</v>
      </c>
      <c r="AD88" s="2" t="s">
        <v>73</v>
      </c>
      <c r="AE88" s="2" t="s">
        <v>73</v>
      </c>
      <c r="AF88" s="5" t="s">
        <v>73</v>
      </c>
      <c r="AG88" s="5">
        <v>45776.583333333328</v>
      </c>
      <c r="AH88" s="1" t="s">
        <v>73</v>
      </c>
      <c r="AI88" s="3">
        <v>1</v>
      </c>
      <c r="AJ88" s="1" t="s">
        <v>1433</v>
      </c>
      <c r="AK88" s="1" t="s">
        <v>1434</v>
      </c>
      <c r="AL88" s="1" t="s">
        <v>1435</v>
      </c>
      <c r="AM88" s="1" t="s">
        <v>617</v>
      </c>
      <c r="AN88" s="1" t="s">
        <v>71</v>
      </c>
      <c r="AO88" s="1" t="s">
        <v>1436</v>
      </c>
      <c r="AP88" s="1" t="s">
        <v>1437</v>
      </c>
      <c r="AQ88" s="1" t="s">
        <v>120</v>
      </c>
      <c r="AR88" s="1" t="s">
        <v>114</v>
      </c>
      <c r="AS88" s="1" t="s">
        <v>1438</v>
      </c>
      <c r="AT88" s="1" t="s">
        <v>182</v>
      </c>
      <c r="AU88" s="1" t="s">
        <v>108</v>
      </c>
      <c r="AV88" s="1" t="s">
        <v>1439</v>
      </c>
      <c r="AW88" s="1" t="s">
        <v>1439</v>
      </c>
      <c r="AX88" s="146" t="s">
        <v>65</v>
      </c>
      <c r="AY88" s="2">
        <v>2</v>
      </c>
      <c r="AZ88" s="1" t="s">
        <v>1335</v>
      </c>
      <c r="BA88" s="3">
        <v>1.97</v>
      </c>
      <c r="BB88" s="3">
        <v>0.1</v>
      </c>
      <c r="BC88" s="3">
        <v>0.1</v>
      </c>
      <c r="BD88" s="3">
        <v>0.1</v>
      </c>
      <c r="BE88" s="3">
        <v>0.2</v>
      </c>
      <c r="BF88" s="1" t="s">
        <v>73</v>
      </c>
      <c r="BG88" s="1" t="s">
        <v>73</v>
      </c>
      <c r="BH88" s="1" t="s">
        <v>73</v>
      </c>
      <c r="BI88" s="1" t="s">
        <v>73</v>
      </c>
      <c r="BJ88" s="1" t="s">
        <v>73</v>
      </c>
      <c r="BK88" s="1" t="s">
        <v>658</v>
      </c>
      <c r="BL88" s="1" t="s">
        <v>659</v>
      </c>
      <c r="BM88" s="1" t="s">
        <v>660</v>
      </c>
    </row>
    <row r="89" spans="1:65" outlineLevel="1" x14ac:dyDescent="0.25">
      <c r="A89" s="1" t="s">
        <v>1323</v>
      </c>
      <c r="B89" s="1" t="s">
        <v>1324</v>
      </c>
      <c r="C89" s="2">
        <v>14</v>
      </c>
      <c r="D89" s="3">
        <v>0</v>
      </c>
      <c r="E89" s="4">
        <v>1.728</v>
      </c>
      <c r="F89" s="1" t="s">
        <v>60</v>
      </c>
      <c r="G89" s="2" t="s">
        <v>420</v>
      </c>
      <c r="H89" s="1" t="s">
        <v>1307</v>
      </c>
      <c r="I89" s="1" t="s">
        <v>81</v>
      </c>
      <c r="J89" s="2" t="s">
        <v>82</v>
      </c>
      <c r="K89" s="2" t="s">
        <v>399</v>
      </c>
      <c r="L89" s="1" t="s">
        <v>1440</v>
      </c>
      <c r="M89" s="1" t="s">
        <v>1441</v>
      </c>
      <c r="N89" s="1" t="s">
        <v>1442</v>
      </c>
      <c r="O89" s="146" t="s">
        <v>65</v>
      </c>
      <c r="P89" s="5">
        <v>45775.333333333328</v>
      </c>
      <c r="Q89" s="6">
        <v>45776</v>
      </c>
      <c r="R89" s="5">
        <v>45776.617847222224</v>
      </c>
      <c r="S89" s="1" t="s">
        <v>667</v>
      </c>
      <c r="T89" s="1" t="s">
        <v>668</v>
      </c>
      <c r="U89" s="1" t="s">
        <v>617</v>
      </c>
      <c r="V89" s="1" t="s">
        <v>616</v>
      </c>
      <c r="W89" s="1" t="s">
        <v>70</v>
      </c>
      <c r="X89" s="1" t="s">
        <v>71</v>
      </c>
      <c r="Y89" s="2" t="s">
        <v>473</v>
      </c>
      <c r="Z89" s="1" t="s">
        <v>473</v>
      </c>
      <c r="AA89" s="2" t="s">
        <v>73</v>
      </c>
      <c r="AB89" s="1" t="s">
        <v>811</v>
      </c>
      <c r="AC89" s="2" t="s">
        <v>73</v>
      </c>
      <c r="AD89" s="2" t="s">
        <v>73</v>
      </c>
      <c r="AE89" s="2" t="s">
        <v>73</v>
      </c>
      <c r="AF89" s="5" t="s">
        <v>73</v>
      </c>
      <c r="AG89" s="5">
        <v>45776.583333333328</v>
      </c>
      <c r="AH89" s="1" t="s">
        <v>73</v>
      </c>
      <c r="AI89" s="3">
        <v>3</v>
      </c>
      <c r="AJ89" s="1" t="s">
        <v>1443</v>
      </c>
      <c r="AK89" s="1" t="s">
        <v>1444</v>
      </c>
      <c r="AL89" s="1" t="s">
        <v>616</v>
      </c>
      <c r="AM89" s="1" t="s">
        <v>617</v>
      </c>
      <c r="AN89" s="1" t="s">
        <v>71</v>
      </c>
      <c r="AO89" s="1" t="s">
        <v>1445</v>
      </c>
      <c r="AP89" s="1" t="s">
        <v>73</v>
      </c>
      <c r="AQ89" s="1" t="s">
        <v>111</v>
      </c>
      <c r="AR89" s="1" t="s">
        <v>114</v>
      </c>
      <c r="AS89" s="1" t="s">
        <v>758</v>
      </c>
      <c r="AT89" s="1" t="s">
        <v>1446</v>
      </c>
      <c r="AU89" s="1" t="s">
        <v>127</v>
      </c>
      <c r="AV89" s="1" t="s">
        <v>1447</v>
      </c>
      <c r="AW89" s="1" t="s">
        <v>1448</v>
      </c>
      <c r="AX89" s="146" t="s">
        <v>65</v>
      </c>
      <c r="AY89" s="2">
        <v>2</v>
      </c>
      <c r="AZ89" s="1" t="s">
        <v>1335</v>
      </c>
      <c r="BA89" s="3">
        <v>2.19</v>
      </c>
      <c r="BB89" s="3">
        <v>0.2</v>
      </c>
      <c r="BC89" s="3">
        <v>0.216667</v>
      </c>
      <c r="BD89" s="3">
        <v>0.183333</v>
      </c>
      <c r="BE89" s="3">
        <v>0.4</v>
      </c>
      <c r="BF89" s="1" t="s">
        <v>73</v>
      </c>
      <c r="BG89" s="1" t="s">
        <v>73</v>
      </c>
      <c r="BH89" s="1" t="s">
        <v>73</v>
      </c>
      <c r="BI89" s="1" t="s">
        <v>73</v>
      </c>
      <c r="BJ89" s="1" t="s">
        <v>73</v>
      </c>
      <c r="BK89" s="1" t="s">
        <v>619</v>
      </c>
      <c r="BL89" s="1" t="s">
        <v>620</v>
      </c>
      <c r="BM89" s="1" t="s">
        <v>621</v>
      </c>
    </row>
    <row r="90" spans="1:65" outlineLevel="1" x14ac:dyDescent="0.25">
      <c r="A90" s="1" t="s">
        <v>1323</v>
      </c>
      <c r="B90" s="1" t="s">
        <v>1324</v>
      </c>
      <c r="C90" s="2">
        <v>15</v>
      </c>
      <c r="D90" s="3">
        <v>508.73</v>
      </c>
      <c r="E90" s="4">
        <v>3.734</v>
      </c>
      <c r="F90" s="1" t="s">
        <v>60</v>
      </c>
      <c r="G90" s="2" t="s">
        <v>420</v>
      </c>
      <c r="H90" s="1" t="s">
        <v>1307</v>
      </c>
      <c r="I90" s="1" t="s">
        <v>81</v>
      </c>
      <c r="J90" s="2" t="s">
        <v>82</v>
      </c>
      <c r="K90" s="2" t="s">
        <v>399</v>
      </c>
      <c r="L90" s="1" t="s">
        <v>1449</v>
      </c>
      <c r="M90" s="1" t="s">
        <v>1450</v>
      </c>
      <c r="N90" s="1" t="s">
        <v>1451</v>
      </c>
      <c r="O90" s="146" t="s">
        <v>65</v>
      </c>
      <c r="P90" s="5">
        <v>45776.333333333328</v>
      </c>
      <c r="Q90" s="6">
        <v>45776</v>
      </c>
      <c r="R90" s="5">
        <v>45776.631597222222</v>
      </c>
      <c r="S90" s="1" t="s">
        <v>667</v>
      </c>
      <c r="T90" s="1" t="s">
        <v>668</v>
      </c>
      <c r="U90" s="1" t="s">
        <v>617</v>
      </c>
      <c r="V90" s="1" t="s">
        <v>616</v>
      </c>
      <c r="W90" s="1" t="s">
        <v>70</v>
      </c>
      <c r="X90" s="1" t="s">
        <v>71</v>
      </c>
      <c r="Y90" s="2" t="s">
        <v>473</v>
      </c>
      <c r="Z90" s="1" t="s">
        <v>473</v>
      </c>
      <c r="AA90" s="2" t="s">
        <v>73</v>
      </c>
      <c r="AB90" s="1" t="s">
        <v>811</v>
      </c>
      <c r="AC90" s="2" t="s">
        <v>73</v>
      </c>
      <c r="AD90" s="2" t="s">
        <v>73</v>
      </c>
      <c r="AE90" s="2" t="s">
        <v>73</v>
      </c>
      <c r="AF90" s="5" t="s">
        <v>73</v>
      </c>
      <c r="AG90" s="5">
        <v>45776.625</v>
      </c>
      <c r="AH90" s="1" t="s">
        <v>73</v>
      </c>
      <c r="AI90" s="3">
        <v>9</v>
      </c>
      <c r="AJ90" s="1" t="s">
        <v>996</v>
      </c>
      <c r="AK90" s="1" t="s">
        <v>724</v>
      </c>
      <c r="AL90" s="1" t="s">
        <v>616</v>
      </c>
      <c r="AM90" s="1" t="s">
        <v>617</v>
      </c>
      <c r="AN90" s="1" t="s">
        <v>71</v>
      </c>
      <c r="AO90" s="1" t="s">
        <v>1452</v>
      </c>
      <c r="AP90" s="1" t="s">
        <v>1453</v>
      </c>
      <c r="AQ90" s="1" t="s">
        <v>1454</v>
      </c>
      <c r="AR90" s="1" t="s">
        <v>114</v>
      </c>
      <c r="AS90" s="1" t="s">
        <v>315</v>
      </c>
      <c r="AT90" s="1" t="s">
        <v>1001</v>
      </c>
      <c r="AU90" s="1" t="s">
        <v>358</v>
      </c>
      <c r="AV90" s="1" t="s">
        <v>1455</v>
      </c>
      <c r="AW90" s="1" t="s">
        <v>1456</v>
      </c>
      <c r="AX90" s="146" t="s">
        <v>65</v>
      </c>
      <c r="AY90" s="2">
        <v>2</v>
      </c>
      <c r="AZ90" s="1" t="s">
        <v>1335</v>
      </c>
      <c r="BA90" s="3">
        <v>2.5299999999999998</v>
      </c>
      <c r="BB90" s="3">
        <v>1.0416665000000001</v>
      </c>
      <c r="BC90" s="3">
        <v>1.233333</v>
      </c>
      <c r="BD90" s="3">
        <v>0.85</v>
      </c>
      <c r="BE90" s="3">
        <v>2.0833333333333299</v>
      </c>
      <c r="BF90" s="1" t="s">
        <v>73</v>
      </c>
      <c r="BG90" s="1" t="s">
        <v>73</v>
      </c>
      <c r="BH90" s="1" t="s">
        <v>73</v>
      </c>
      <c r="BI90" s="1" t="s">
        <v>73</v>
      </c>
      <c r="BJ90" s="1" t="s">
        <v>73</v>
      </c>
      <c r="BK90" s="1" t="s">
        <v>619</v>
      </c>
      <c r="BL90" s="1" t="s">
        <v>620</v>
      </c>
      <c r="BM90" s="1" t="s">
        <v>621</v>
      </c>
    </row>
    <row r="91" spans="1:65" x14ac:dyDescent="0.25">
      <c r="A91" s="142" t="s">
        <v>1457</v>
      </c>
      <c r="B91" s="142"/>
      <c r="C91" s="143" t="str">
        <f>CONCATENATE("Max=",TEXT(SUBTOTAL(4,C92:C93), "0"),"")</f>
        <v>Max=2</v>
      </c>
      <c r="D91" s="144" t="str">
        <f>CONCATENATE("∑=",IF(SUBTOTAL(9,D92:D93)=TRUNC(SUBTOTAL(9,D92:D93)),TEXT(SUBTOTAL(9,D92:D93), "0"),TEXT(SUBTOTAL(9,D92:D93), "#,##")),"")</f>
        <v>∑=126,04</v>
      </c>
      <c r="E91" s="145" t="str">
        <f>CONCATENATE("∑=",IF(SUBTOTAL(9,E92:E93)=TRUNC(SUBTOTAL(9,E92:E93)),TEXT(SUBTOTAL(9,E92:E93), "0"),TEXT(SUBTOTAL(9,E92:E93), "#,##")),"")</f>
        <v>∑=,92</v>
      </c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</row>
    <row r="92" spans="1:65" outlineLevel="1" x14ac:dyDescent="0.25">
      <c r="A92" s="1" t="s">
        <v>1458</v>
      </c>
      <c r="B92" s="1" t="s">
        <v>1459</v>
      </c>
      <c r="C92" s="2">
        <v>1</v>
      </c>
      <c r="D92" s="3">
        <v>70.84</v>
      </c>
      <c r="E92" s="4">
        <v>0.39900000000000002</v>
      </c>
      <c r="F92" s="1" t="s">
        <v>60</v>
      </c>
      <c r="G92" s="2" t="s">
        <v>420</v>
      </c>
      <c r="H92" s="1" t="s">
        <v>626</v>
      </c>
      <c r="I92" s="1" t="s">
        <v>81</v>
      </c>
      <c r="J92" s="2" t="s">
        <v>82</v>
      </c>
      <c r="K92" s="2" t="s">
        <v>73</v>
      </c>
      <c r="L92" s="1" t="s">
        <v>1203</v>
      </c>
      <c r="M92" s="1" t="s">
        <v>1204</v>
      </c>
      <c r="N92" s="1" t="s">
        <v>1460</v>
      </c>
      <c r="O92" s="146" t="s">
        <v>65</v>
      </c>
      <c r="P92" s="5">
        <v>45769.333333333328</v>
      </c>
      <c r="Q92" s="6">
        <v>45771</v>
      </c>
      <c r="R92" s="5">
        <v>45771.089571759258</v>
      </c>
      <c r="S92" s="1" t="s">
        <v>667</v>
      </c>
      <c r="T92" s="1" t="s">
        <v>668</v>
      </c>
      <c r="U92" s="1" t="s">
        <v>617</v>
      </c>
      <c r="V92" s="1" t="s">
        <v>616</v>
      </c>
      <c r="W92" s="1" t="s">
        <v>70</v>
      </c>
      <c r="X92" s="1" t="s">
        <v>71</v>
      </c>
      <c r="Y92" s="2" t="s">
        <v>477</v>
      </c>
      <c r="Z92" s="1" t="s">
        <v>1118</v>
      </c>
      <c r="AA92" s="2" t="s">
        <v>73</v>
      </c>
      <c r="AB92" s="1" t="s">
        <v>669</v>
      </c>
      <c r="AC92" s="2" t="s">
        <v>73</v>
      </c>
      <c r="AD92" s="2" t="s">
        <v>73</v>
      </c>
      <c r="AE92" s="2" t="s">
        <v>73</v>
      </c>
      <c r="AF92" s="5" t="s">
        <v>73</v>
      </c>
      <c r="AG92" s="5" t="s">
        <v>73</v>
      </c>
      <c r="AH92" s="1" t="s">
        <v>73</v>
      </c>
      <c r="AI92" s="3">
        <v>2</v>
      </c>
      <c r="AJ92" s="1" t="s">
        <v>1461</v>
      </c>
      <c r="AK92" s="1" t="s">
        <v>1462</v>
      </c>
      <c r="AL92" s="1" t="s">
        <v>1463</v>
      </c>
      <c r="AM92" s="1" t="s">
        <v>1464</v>
      </c>
      <c r="AN92" s="1" t="s">
        <v>71</v>
      </c>
      <c r="AO92" s="1" t="s">
        <v>1205</v>
      </c>
      <c r="AP92" s="1" t="s">
        <v>1206</v>
      </c>
      <c r="AQ92" s="1" t="s">
        <v>120</v>
      </c>
      <c r="AR92" s="1" t="s">
        <v>114</v>
      </c>
      <c r="AS92" s="1" t="s">
        <v>1207</v>
      </c>
      <c r="AT92" s="1" t="s">
        <v>1208</v>
      </c>
      <c r="AU92" s="1" t="s">
        <v>950</v>
      </c>
      <c r="AV92" s="1" t="s">
        <v>1209</v>
      </c>
      <c r="AW92" s="1" t="s">
        <v>1209</v>
      </c>
      <c r="AX92" s="146" t="s">
        <v>65</v>
      </c>
      <c r="AY92" s="2">
        <v>2</v>
      </c>
      <c r="AZ92" s="1" t="s">
        <v>1465</v>
      </c>
      <c r="BA92" s="3" t="s">
        <v>73</v>
      </c>
      <c r="BB92" s="3">
        <v>0.1666665</v>
      </c>
      <c r="BC92" s="3">
        <v>0.11666700000000001</v>
      </c>
      <c r="BD92" s="3">
        <v>0.216667</v>
      </c>
      <c r="BE92" s="3">
        <v>0.33333333333333298</v>
      </c>
      <c r="BF92" s="1" t="s">
        <v>73</v>
      </c>
      <c r="BG92" s="1" t="s">
        <v>73</v>
      </c>
      <c r="BH92" s="1" t="s">
        <v>73</v>
      </c>
      <c r="BI92" s="1" t="s">
        <v>73</v>
      </c>
      <c r="BJ92" s="1" t="s">
        <v>73</v>
      </c>
      <c r="BK92" s="1" t="s">
        <v>658</v>
      </c>
      <c r="BL92" s="1" t="s">
        <v>659</v>
      </c>
      <c r="BM92" s="1" t="s">
        <v>660</v>
      </c>
    </row>
    <row r="93" spans="1:65" outlineLevel="1" x14ac:dyDescent="0.25">
      <c r="A93" s="1" t="s">
        <v>1458</v>
      </c>
      <c r="B93" s="1" t="s">
        <v>1459</v>
      </c>
      <c r="C93" s="2">
        <v>2</v>
      </c>
      <c r="D93" s="3">
        <v>55.2</v>
      </c>
      <c r="E93" s="4">
        <v>0.51800000000000002</v>
      </c>
      <c r="F93" s="1" t="s">
        <v>60</v>
      </c>
      <c r="G93" s="2" t="s">
        <v>420</v>
      </c>
      <c r="H93" s="1" t="s">
        <v>626</v>
      </c>
      <c r="I93" s="1" t="s">
        <v>81</v>
      </c>
      <c r="J93" s="2" t="s">
        <v>131</v>
      </c>
      <c r="K93" s="2" t="s">
        <v>73</v>
      </c>
      <c r="L93" s="1" t="s">
        <v>1236</v>
      </c>
      <c r="M93" s="1" t="s">
        <v>1237</v>
      </c>
      <c r="N93" s="1" t="s">
        <v>1466</v>
      </c>
      <c r="O93" s="146" t="s">
        <v>65</v>
      </c>
      <c r="P93" s="5">
        <v>45770.333333333328</v>
      </c>
      <c r="Q93" s="6">
        <v>45771</v>
      </c>
      <c r="R93" s="5">
        <v>45771.096550925926</v>
      </c>
      <c r="S93" s="1" t="s">
        <v>667</v>
      </c>
      <c r="T93" s="1" t="s">
        <v>668</v>
      </c>
      <c r="U93" s="1" t="s">
        <v>617</v>
      </c>
      <c r="V93" s="1" t="s">
        <v>616</v>
      </c>
      <c r="W93" s="1" t="s">
        <v>70</v>
      </c>
      <c r="X93" s="1" t="s">
        <v>71</v>
      </c>
      <c r="Y93" s="2" t="s">
        <v>477</v>
      </c>
      <c r="Z93" s="1" t="s">
        <v>1118</v>
      </c>
      <c r="AA93" s="2" t="s">
        <v>73</v>
      </c>
      <c r="AB93" s="1" t="s">
        <v>669</v>
      </c>
      <c r="AC93" s="2" t="s">
        <v>73</v>
      </c>
      <c r="AD93" s="2" t="s">
        <v>73</v>
      </c>
      <c r="AE93" s="2" t="s">
        <v>73</v>
      </c>
      <c r="AF93" s="5" t="s">
        <v>73</v>
      </c>
      <c r="AG93" s="5" t="s">
        <v>73</v>
      </c>
      <c r="AH93" s="1" t="s">
        <v>73</v>
      </c>
      <c r="AI93" s="3">
        <v>1</v>
      </c>
      <c r="AJ93" s="1" t="s">
        <v>1467</v>
      </c>
      <c r="AK93" s="1" t="s">
        <v>1462</v>
      </c>
      <c r="AL93" s="1" t="s">
        <v>1463</v>
      </c>
      <c r="AM93" s="1" t="s">
        <v>1464</v>
      </c>
      <c r="AN93" s="1" t="s">
        <v>71</v>
      </c>
      <c r="AO93" s="1" t="s">
        <v>1238</v>
      </c>
      <c r="AP93" s="1" t="s">
        <v>1239</v>
      </c>
      <c r="AQ93" s="1" t="s">
        <v>136</v>
      </c>
      <c r="AR93" s="1" t="s">
        <v>137</v>
      </c>
      <c r="AS93" s="1" t="s">
        <v>138</v>
      </c>
      <c r="AT93" s="1" t="s">
        <v>1240</v>
      </c>
      <c r="AU93" s="1" t="s">
        <v>108</v>
      </c>
      <c r="AV93" s="1" t="s">
        <v>1241</v>
      </c>
      <c r="AW93" s="1" t="s">
        <v>1241</v>
      </c>
      <c r="AX93" s="146" t="s">
        <v>65</v>
      </c>
      <c r="AY93" s="2">
        <v>2</v>
      </c>
      <c r="AZ93" s="1" t="s">
        <v>1465</v>
      </c>
      <c r="BA93" s="3" t="s">
        <v>73</v>
      </c>
      <c r="BB93" s="3">
        <v>0</v>
      </c>
      <c r="BC93" s="3">
        <v>0</v>
      </c>
      <c r="BD93" s="3">
        <v>0</v>
      </c>
      <c r="BE93" s="3">
        <v>0</v>
      </c>
      <c r="BF93" s="1" t="s">
        <v>73</v>
      </c>
      <c r="BG93" s="1" t="s">
        <v>73</v>
      </c>
      <c r="BH93" s="1" t="s">
        <v>73</v>
      </c>
      <c r="BI93" s="1" t="s">
        <v>73</v>
      </c>
      <c r="BJ93" s="1" t="s">
        <v>73</v>
      </c>
      <c r="BK93" s="1" t="s">
        <v>658</v>
      </c>
      <c r="BL93" s="1" t="s">
        <v>659</v>
      </c>
      <c r="BM93" s="1" t="s">
        <v>660</v>
      </c>
    </row>
    <row r="94" spans="1:65" x14ac:dyDescent="0.25">
      <c r="A94" s="142" t="s">
        <v>1468</v>
      </c>
      <c r="B94" s="142"/>
      <c r="C94" s="143" t="str">
        <f>CONCATENATE("Max=",TEXT(SUBTOTAL(4,C95:C101), "0"),"")</f>
        <v>Max=7</v>
      </c>
      <c r="D94" s="144" t="str">
        <f>CONCATENATE("∑=",IF(SUBTOTAL(9,D95:D101)=TRUNC(SUBTOTAL(9,D95:D101)),TEXT(SUBTOTAL(9,D95:D101), "0"),TEXT(SUBTOTAL(9,D95:D101), "#,##")),"")</f>
        <v>∑=614,75</v>
      </c>
      <c r="E94" s="145" t="str">
        <f>CONCATENATE("∑=",IF(SUBTOTAL(9,E95:E101)=TRUNC(SUBTOTAL(9,E95:E101)),TEXT(SUBTOTAL(9,E95:E101), "0"),TEXT(SUBTOTAL(9,E95:E101), "#,##")),"")</f>
        <v>∑=4,7</v>
      </c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</row>
    <row r="95" spans="1:65" outlineLevel="1" x14ac:dyDescent="0.25">
      <c r="A95" s="1" t="s">
        <v>1469</v>
      </c>
      <c r="B95" s="1" t="s">
        <v>1470</v>
      </c>
      <c r="C95" s="2">
        <v>1</v>
      </c>
      <c r="D95" s="3">
        <v>112.2</v>
      </c>
      <c r="E95" s="4">
        <v>1.0369999999999999</v>
      </c>
      <c r="F95" s="1" t="s">
        <v>60</v>
      </c>
      <c r="G95" s="2" t="s">
        <v>420</v>
      </c>
      <c r="H95" s="1" t="s">
        <v>626</v>
      </c>
      <c r="I95" s="1" t="s">
        <v>81</v>
      </c>
      <c r="J95" s="2" t="s">
        <v>82</v>
      </c>
      <c r="K95" s="2" t="s">
        <v>399</v>
      </c>
      <c r="L95" s="1" t="s">
        <v>1471</v>
      </c>
      <c r="M95" s="1" t="s">
        <v>1472</v>
      </c>
      <c r="N95" s="1" t="s">
        <v>1473</v>
      </c>
      <c r="O95" s="146" t="s">
        <v>65</v>
      </c>
      <c r="P95" s="5">
        <v>45772.333333333328</v>
      </c>
      <c r="Q95" s="6">
        <v>45777</v>
      </c>
      <c r="R95" s="5">
        <v>45777.333368055552</v>
      </c>
      <c r="S95" s="1" t="s">
        <v>667</v>
      </c>
      <c r="T95" s="1" t="s">
        <v>668</v>
      </c>
      <c r="U95" s="1" t="s">
        <v>617</v>
      </c>
      <c r="V95" s="1" t="s">
        <v>616</v>
      </c>
      <c r="W95" s="1" t="s">
        <v>70</v>
      </c>
      <c r="X95" s="1" t="s">
        <v>71</v>
      </c>
      <c r="Y95" s="2" t="s">
        <v>476</v>
      </c>
      <c r="Z95" s="1" t="s">
        <v>767</v>
      </c>
      <c r="AA95" s="2" t="s">
        <v>73</v>
      </c>
      <c r="AB95" s="1" t="s">
        <v>811</v>
      </c>
      <c r="AC95" s="2" t="s">
        <v>73</v>
      </c>
      <c r="AD95" s="2" t="s">
        <v>73</v>
      </c>
      <c r="AE95" s="2" t="s">
        <v>73</v>
      </c>
      <c r="AF95" s="5">
        <v>45777.333333333328</v>
      </c>
      <c r="AG95" s="5">
        <v>45777.333333333328</v>
      </c>
      <c r="AH95" s="1" t="s">
        <v>73</v>
      </c>
      <c r="AI95" s="3">
        <v>2</v>
      </c>
      <c r="AJ95" s="1" t="s">
        <v>1474</v>
      </c>
      <c r="AK95" s="1" t="s">
        <v>1475</v>
      </c>
      <c r="AL95" s="1" t="s">
        <v>890</v>
      </c>
      <c r="AM95" s="1" t="s">
        <v>891</v>
      </c>
      <c r="AN95" s="1" t="s">
        <v>71</v>
      </c>
      <c r="AO95" s="1" t="s">
        <v>1476</v>
      </c>
      <c r="AP95" s="1" t="s">
        <v>1477</v>
      </c>
      <c r="AQ95" s="1" t="s">
        <v>195</v>
      </c>
      <c r="AR95" s="1" t="s">
        <v>114</v>
      </c>
      <c r="AS95" s="1" t="s">
        <v>1478</v>
      </c>
      <c r="AT95" s="1" t="s">
        <v>1479</v>
      </c>
      <c r="AU95" s="1" t="s">
        <v>108</v>
      </c>
      <c r="AV95" s="1" t="s">
        <v>1480</v>
      </c>
      <c r="AW95" s="1" t="s">
        <v>1480</v>
      </c>
      <c r="AX95" s="146" t="s">
        <v>65</v>
      </c>
      <c r="AY95" s="2">
        <v>2</v>
      </c>
      <c r="AZ95" s="1" t="s">
        <v>1481</v>
      </c>
      <c r="BA95" s="3">
        <v>76.72</v>
      </c>
      <c r="BB95" s="3">
        <v>0.2083335</v>
      </c>
      <c r="BC95" s="3">
        <v>0.23333300000000001</v>
      </c>
      <c r="BD95" s="3">
        <v>0.183333</v>
      </c>
      <c r="BE95" s="3">
        <v>0.41666666666666702</v>
      </c>
      <c r="BF95" s="1" t="s">
        <v>73</v>
      </c>
      <c r="BG95" s="1" t="s">
        <v>73</v>
      </c>
      <c r="BH95" s="1" t="s">
        <v>73</v>
      </c>
      <c r="BI95" s="1" t="s">
        <v>73</v>
      </c>
      <c r="BJ95" s="1" t="s">
        <v>73</v>
      </c>
      <c r="BK95" s="1" t="s">
        <v>658</v>
      </c>
      <c r="BL95" s="1" t="s">
        <v>659</v>
      </c>
      <c r="BM95" s="1" t="s">
        <v>660</v>
      </c>
    </row>
    <row r="96" spans="1:65" outlineLevel="1" x14ac:dyDescent="0.25">
      <c r="A96" s="1" t="s">
        <v>1469</v>
      </c>
      <c r="B96" s="1" t="s">
        <v>1470</v>
      </c>
      <c r="C96" s="2">
        <v>2</v>
      </c>
      <c r="D96" s="3">
        <v>1</v>
      </c>
      <c r="E96" s="4">
        <v>2.8000000000000001E-2</v>
      </c>
      <c r="F96" s="1" t="s">
        <v>60</v>
      </c>
      <c r="G96" s="2" t="s">
        <v>420</v>
      </c>
      <c r="H96" s="1" t="s">
        <v>1307</v>
      </c>
      <c r="I96" s="1" t="s">
        <v>81</v>
      </c>
      <c r="J96" s="2" t="s">
        <v>82</v>
      </c>
      <c r="K96" s="2" t="s">
        <v>399</v>
      </c>
      <c r="L96" s="1" t="s">
        <v>1482</v>
      </c>
      <c r="M96" s="1" t="s">
        <v>1483</v>
      </c>
      <c r="N96" s="1" t="s">
        <v>1484</v>
      </c>
      <c r="O96" s="146" t="s">
        <v>65</v>
      </c>
      <c r="P96" s="5">
        <v>45775.333333333328</v>
      </c>
      <c r="Q96" s="6">
        <v>45777</v>
      </c>
      <c r="R96" s="5">
        <v>45777.364328703705</v>
      </c>
      <c r="S96" s="1" t="s">
        <v>667</v>
      </c>
      <c r="T96" s="1" t="s">
        <v>668</v>
      </c>
      <c r="U96" s="1" t="s">
        <v>617</v>
      </c>
      <c r="V96" s="1" t="s">
        <v>616</v>
      </c>
      <c r="W96" s="1" t="s">
        <v>70</v>
      </c>
      <c r="X96" s="1" t="s">
        <v>71</v>
      </c>
      <c r="Y96" s="2" t="s">
        <v>476</v>
      </c>
      <c r="Z96" s="1" t="s">
        <v>767</v>
      </c>
      <c r="AA96" s="2" t="s">
        <v>73</v>
      </c>
      <c r="AB96" s="1" t="s">
        <v>811</v>
      </c>
      <c r="AC96" s="2" t="s">
        <v>73</v>
      </c>
      <c r="AD96" s="2" t="s">
        <v>73</v>
      </c>
      <c r="AE96" s="2" t="s">
        <v>73</v>
      </c>
      <c r="AF96" s="5" t="s">
        <v>73</v>
      </c>
      <c r="AG96" s="5">
        <v>45777.333333333328</v>
      </c>
      <c r="AH96" s="1" t="s">
        <v>73</v>
      </c>
      <c r="AI96" s="3">
        <v>19</v>
      </c>
      <c r="AJ96" s="1" t="s">
        <v>1485</v>
      </c>
      <c r="AK96" s="1" t="s">
        <v>1486</v>
      </c>
      <c r="AL96" s="1" t="s">
        <v>1487</v>
      </c>
      <c r="AM96" s="1" t="s">
        <v>1488</v>
      </c>
      <c r="AN96" s="1" t="s">
        <v>71</v>
      </c>
      <c r="AO96" s="1" t="s">
        <v>1489</v>
      </c>
      <c r="AP96" s="1" t="s">
        <v>1490</v>
      </c>
      <c r="AQ96" s="1" t="s">
        <v>195</v>
      </c>
      <c r="AR96" s="1" t="s">
        <v>652</v>
      </c>
      <c r="AS96" s="1" t="s">
        <v>1491</v>
      </c>
      <c r="AT96" s="1" t="s">
        <v>1492</v>
      </c>
      <c r="AU96" s="1" t="s">
        <v>729</v>
      </c>
      <c r="AV96" s="1" t="s">
        <v>1493</v>
      </c>
      <c r="AW96" s="1" t="s">
        <v>1494</v>
      </c>
      <c r="AX96" s="146" t="s">
        <v>65</v>
      </c>
      <c r="AY96" s="2">
        <v>2</v>
      </c>
      <c r="AZ96" s="1" t="s">
        <v>1481</v>
      </c>
      <c r="BA96" s="3">
        <v>63.38</v>
      </c>
      <c r="BB96" s="3">
        <v>0.875</v>
      </c>
      <c r="BC96" s="3">
        <v>0</v>
      </c>
      <c r="BD96" s="3">
        <v>1.75</v>
      </c>
      <c r="BE96" s="3">
        <v>1.75</v>
      </c>
      <c r="BF96" s="1" t="s">
        <v>73</v>
      </c>
      <c r="BG96" s="1" t="s">
        <v>73</v>
      </c>
      <c r="BH96" s="1" t="s">
        <v>73</v>
      </c>
      <c r="BI96" s="1" t="s">
        <v>73</v>
      </c>
      <c r="BJ96" s="1" t="s">
        <v>73</v>
      </c>
      <c r="BK96" s="1" t="s">
        <v>619</v>
      </c>
      <c r="BL96" s="1" t="s">
        <v>620</v>
      </c>
      <c r="BM96" s="1" t="s">
        <v>621</v>
      </c>
    </row>
    <row r="97" spans="1:65" outlineLevel="1" x14ac:dyDescent="0.25">
      <c r="A97" s="1" t="s">
        <v>1469</v>
      </c>
      <c r="B97" s="1" t="s">
        <v>1470</v>
      </c>
      <c r="C97" s="2">
        <v>3</v>
      </c>
      <c r="D97" s="3">
        <v>97.58</v>
      </c>
      <c r="E97" s="4">
        <v>0.95599999999999996</v>
      </c>
      <c r="F97" s="1" t="s">
        <v>60</v>
      </c>
      <c r="G97" s="2" t="s">
        <v>420</v>
      </c>
      <c r="H97" s="1" t="s">
        <v>626</v>
      </c>
      <c r="I97" s="1" t="s">
        <v>81</v>
      </c>
      <c r="J97" s="2" t="s">
        <v>82</v>
      </c>
      <c r="K97" s="2" t="s">
        <v>399</v>
      </c>
      <c r="L97" s="1" t="s">
        <v>1495</v>
      </c>
      <c r="M97" s="1" t="s">
        <v>1496</v>
      </c>
      <c r="N97" s="1" t="s">
        <v>1497</v>
      </c>
      <c r="O97" s="146" t="s">
        <v>65</v>
      </c>
      <c r="P97" s="5">
        <v>45772.333333333328</v>
      </c>
      <c r="Q97" s="6">
        <v>45777</v>
      </c>
      <c r="R97" s="5">
        <v>45777.418912037036</v>
      </c>
      <c r="S97" s="1" t="s">
        <v>667</v>
      </c>
      <c r="T97" s="1" t="s">
        <v>668</v>
      </c>
      <c r="U97" s="1" t="s">
        <v>617</v>
      </c>
      <c r="V97" s="1" t="s">
        <v>616</v>
      </c>
      <c r="W97" s="1" t="s">
        <v>70</v>
      </c>
      <c r="X97" s="1" t="s">
        <v>71</v>
      </c>
      <c r="Y97" s="2" t="s">
        <v>476</v>
      </c>
      <c r="Z97" s="1" t="s">
        <v>767</v>
      </c>
      <c r="AA97" s="2" t="s">
        <v>73</v>
      </c>
      <c r="AB97" s="1" t="s">
        <v>811</v>
      </c>
      <c r="AC97" s="2" t="s">
        <v>73</v>
      </c>
      <c r="AD97" s="2" t="s">
        <v>73</v>
      </c>
      <c r="AE97" s="2" t="s">
        <v>73</v>
      </c>
      <c r="AF97" s="5" t="s">
        <v>73</v>
      </c>
      <c r="AG97" s="5">
        <v>45777.416666666664</v>
      </c>
      <c r="AH97" s="1" t="s">
        <v>73</v>
      </c>
      <c r="AI97" s="3">
        <v>4</v>
      </c>
      <c r="AJ97" s="1" t="s">
        <v>1498</v>
      </c>
      <c r="AK97" s="1" t="s">
        <v>1499</v>
      </c>
      <c r="AL97" s="1" t="s">
        <v>1500</v>
      </c>
      <c r="AM97" s="1" t="s">
        <v>1501</v>
      </c>
      <c r="AN97" s="1" t="s">
        <v>71</v>
      </c>
      <c r="AO97" s="1" t="s">
        <v>863</v>
      </c>
      <c r="AP97" s="1" t="s">
        <v>1502</v>
      </c>
      <c r="AQ97" s="1" t="s">
        <v>75</v>
      </c>
      <c r="AR97" s="1" t="s">
        <v>114</v>
      </c>
      <c r="AS97" s="1" t="s">
        <v>315</v>
      </c>
      <c r="AT97" s="1" t="s">
        <v>1503</v>
      </c>
      <c r="AU97" s="1" t="s">
        <v>98</v>
      </c>
      <c r="AV97" s="1" t="s">
        <v>1504</v>
      </c>
      <c r="AW97" s="1" t="s">
        <v>1505</v>
      </c>
      <c r="AX97" s="146" t="s">
        <v>65</v>
      </c>
      <c r="AY97" s="2">
        <v>2</v>
      </c>
      <c r="AZ97" s="1" t="s">
        <v>1481</v>
      </c>
      <c r="BA97" s="3">
        <v>48.71</v>
      </c>
      <c r="BB97" s="3">
        <v>0.15</v>
      </c>
      <c r="BC97" s="3">
        <v>8.3333000000000004E-2</v>
      </c>
      <c r="BD97" s="3">
        <v>0.216667</v>
      </c>
      <c r="BE97" s="3">
        <v>0.3</v>
      </c>
      <c r="BF97" s="1" t="s">
        <v>73</v>
      </c>
      <c r="BG97" s="1" t="s">
        <v>73</v>
      </c>
      <c r="BH97" s="1" t="s">
        <v>73</v>
      </c>
      <c r="BI97" s="1" t="s">
        <v>73</v>
      </c>
      <c r="BJ97" s="1" t="s">
        <v>73</v>
      </c>
      <c r="BK97" s="1" t="s">
        <v>1506</v>
      </c>
      <c r="BL97" s="1" t="s">
        <v>1507</v>
      </c>
      <c r="BM97" s="1" t="s">
        <v>1508</v>
      </c>
    </row>
    <row r="98" spans="1:65" outlineLevel="1" x14ac:dyDescent="0.25">
      <c r="A98" s="1" t="s">
        <v>1469</v>
      </c>
      <c r="B98" s="1" t="s">
        <v>1470</v>
      </c>
      <c r="C98" s="2">
        <v>4</v>
      </c>
      <c r="D98" s="3">
        <v>5.36</v>
      </c>
      <c r="E98" s="4">
        <v>8.0000000000000002E-3</v>
      </c>
      <c r="F98" s="1" t="s">
        <v>60</v>
      </c>
      <c r="G98" s="2" t="s">
        <v>420</v>
      </c>
      <c r="H98" s="1" t="s">
        <v>1307</v>
      </c>
      <c r="I98" s="1" t="s">
        <v>81</v>
      </c>
      <c r="J98" s="2" t="s">
        <v>390</v>
      </c>
      <c r="K98" s="2" t="s">
        <v>399</v>
      </c>
      <c r="L98" s="1" t="s">
        <v>1509</v>
      </c>
      <c r="M98" s="1" t="s">
        <v>1510</v>
      </c>
      <c r="N98" s="1" t="s">
        <v>1511</v>
      </c>
      <c r="O98" s="146" t="s">
        <v>65</v>
      </c>
      <c r="P98" s="5">
        <v>45775.333333333328</v>
      </c>
      <c r="Q98" s="6">
        <v>45777</v>
      </c>
      <c r="R98" s="5">
        <v>45777.44195601852</v>
      </c>
      <c r="S98" s="1" t="s">
        <v>667</v>
      </c>
      <c r="T98" s="1" t="s">
        <v>668</v>
      </c>
      <c r="U98" s="1" t="s">
        <v>617</v>
      </c>
      <c r="V98" s="1" t="s">
        <v>616</v>
      </c>
      <c r="W98" s="1" t="s">
        <v>70</v>
      </c>
      <c r="X98" s="1" t="s">
        <v>71</v>
      </c>
      <c r="Y98" s="2" t="s">
        <v>476</v>
      </c>
      <c r="Z98" s="1" t="s">
        <v>767</v>
      </c>
      <c r="AA98" s="2" t="s">
        <v>73</v>
      </c>
      <c r="AB98" s="1" t="s">
        <v>811</v>
      </c>
      <c r="AC98" s="2" t="s">
        <v>73</v>
      </c>
      <c r="AD98" s="2" t="s">
        <v>73</v>
      </c>
      <c r="AE98" s="2" t="s">
        <v>73</v>
      </c>
      <c r="AF98" s="5" t="s">
        <v>73</v>
      </c>
      <c r="AG98" s="5">
        <v>45777.416666666664</v>
      </c>
      <c r="AH98" s="1" t="s">
        <v>73</v>
      </c>
      <c r="AI98" s="3">
        <v>9</v>
      </c>
      <c r="AJ98" s="1" t="s">
        <v>1512</v>
      </c>
      <c r="AK98" s="1" t="s">
        <v>1513</v>
      </c>
      <c r="AL98" s="1" t="s">
        <v>781</v>
      </c>
      <c r="AM98" s="1" t="s">
        <v>782</v>
      </c>
      <c r="AN98" s="1" t="s">
        <v>71</v>
      </c>
      <c r="AO98" s="1" t="s">
        <v>1514</v>
      </c>
      <c r="AP98" s="1" t="s">
        <v>1514</v>
      </c>
      <c r="AQ98" s="1" t="s">
        <v>195</v>
      </c>
      <c r="AR98" s="1" t="s">
        <v>878</v>
      </c>
      <c r="AS98" s="1" t="s">
        <v>1515</v>
      </c>
      <c r="AT98" s="1" t="s">
        <v>1516</v>
      </c>
      <c r="AU98" s="1" t="s">
        <v>317</v>
      </c>
      <c r="AV98" s="1" t="s">
        <v>1517</v>
      </c>
      <c r="AW98" s="1" t="s">
        <v>1518</v>
      </c>
      <c r="AX98" s="146" t="s">
        <v>65</v>
      </c>
      <c r="AY98" s="2">
        <v>2</v>
      </c>
      <c r="AZ98" s="1" t="s">
        <v>1481</v>
      </c>
      <c r="BA98" s="3">
        <v>30.3</v>
      </c>
      <c r="BB98" s="3">
        <v>1.6666665000000001</v>
      </c>
      <c r="BC98" s="3">
        <v>2.9666670000000002</v>
      </c>
      <c r="BD98" s="3">
        <v>0.36666700000000002</v>
      </c>
      <c r="BE98" s="3">
        <v>3.3333333333333299</v>
      </c>
      <c r="BF98" s="1" t="s">
        <v>73</v>
      </c>
      <c r="BG98" s="1" t="s">
        <v>73</v>
      </c>
      <c r="BH98" s="1" t="s">
        <v>73</v>
      </c>
      <c r="BI98" s="1" t="s">
        <v>73</v>
      </c>
      <c r="BJ98" s="1" t="s">
        <v>73</v>
      </c>
      <c r="BK98" s="1" t="s">
        <v>619</v>
      </c>
      <c r="BL98" s="1" t="s">
        <v>620</v>
      </c>
      <c r="BM98" s="1" t="s">
        <v>621</v>
      </c>
    </row>
    <row r="99" spans="1:65" outlineLevel="1" x14ac:dyDescent="0.25">
      <c r="A99" s="1" t="s">
        <v>1469</v>
      </c>
      <c r="B99" s="1" t="s">
        <v>1470</v>
      </c>
      <c r="C99" s="2">
        <v>5</v>
      </c>
      <c r="D99" s="3">
        <v>61.5</v>
      </c>
      <c r="E99" s="4">
        <v>0.64800000000000002</v>
      </c>
      <c r="F99" s="1" t="s">
        <v>60</v>
      </c>
      <c r="G99" s="2" t="s">
        <v>420</v>
      </c>
      <c r="H99" s="1" t="s">
        <v>626</v>
      </c>
      <c r="I99" s="1" t="s">
        <v>81</v>
      </c>
      <c r="J99" s="2" t="s">
        <v>82</v>
      </c>
      <c r="K99" s="2" t="s">
        <v>399</v>
      </c>
      <c r="L99" s="1" t="s">
        <v>1519</v>
      </c>
      <c r="M99" s="1" t="s">
        <v>1520</v>
      </c>
      <c r="N99" s="1" t="s">
        <v>1521</v>
      </c>
      <c r="O99" s="146" t="s">
        <v>65</v>
      </c>
      <c r="P99" s="5">
        <v>45772.333333333328</v>
      </c>
      <c r="Q99" s="6">
        <v>45777</v>
      </c>
      <c r="R99" s="5">
        <v>45777.538738425923</v>
      </c>
      <c r="S99" s="1" t="s">
        <v>667</v>
      </c>
      <c r="T99" s="1" t="s">
        <v>668</v>
      </c>
      <c r="U99" s="1" t="s">
        <v>617</v>
      </c>
      <c r="V99" s="1" t="s">
        <v>616</v>
      </c>
      <c r="W99" s="1" t="s">
        <v>70</v>
      </c>
      <c r="X99" s="1" t="s">
        <v>71</v>
      </c>
      <c r="Y99" s="2" t="s">
        <v>476</v>
      </c>
      <c r="Z99" s="1" t="s">
        <v>767</v>
      </c>
      <c r="AA99" s="2" t="s">
        <v>73</v>
      </c>
      <c r="AB99" s="1" t="s">
        <v>811</v>
      </c>
      <c r="AC99" s="2" t="s">
        <v>73</v>
      </c>
      <c r="AD99" s="2" t="s">
        <v>73</v>
      </c>
      <c r="AE99" s="2" t="s">
        <v>73</v>
      </c>
      <c r="AF99" s="5" t="s">
        <v>73</v>
      </c>
      <c r="AG99" s="5">
        <v>45777.5</v>
      </c>
      <c r="AH99" s="1" t="s">
        <v>73</v>
      </c>
      <c r="AI99" s="3">
        <v>2</v>
      </c>
      <c r="AJ99" s="1" t="s">
        <v>1522</v>
      </c>
      <c r="AK99" s="1" t="s">
        <v>1126</v>
      </c>
      <c r="AL99" s="1" t="s">
        <v>1127</v>
      </c>
      <c r="AM99" s="1" t="s">
        <v>1128</v>
      </c>
      <c r="AN99" s="1" t="s">
        <v>71</v>
      </c>
      <c r="AO99" s="1" t="s">
        <v>1523</v>
      </c>
      <c r="AP99" s="1" t="s">
        <v>1524</v>
      </c>
      <c r="AQ99" s="1" t="s">
        <v>111</v>
      </c>
      <c r="AR99" s="1" t="s">
        <v>114</v>
      </c>
      <c r="AS99" s="1" t="s">
        <v>1525</v>
      </c>
      <c r="AT99" s="1" t="s">
        <v>1018</v>
      </c>
      <c r="AU99" s="1" t="s">
        <v>127</v>
      </c>
      <c r="AV99" s="1" t="s">
        <v>1526</v>
      </c>
      <c r="AW99" s="1" t="s">
        <v>1527</v>
      </c>
      <c r="AX99" s="146" t="s">
        <v>65</v>
      </c>
      <c r="AY99" s="2">
        <v>2</v>
      </c>
      <c r="AZ99" s="1" t="s">
        <v>1481</v>
      </c>
      <c r="BA99" s="3">
        <v>6.94</v>
      </c>
      <c r="BB99" s="3">
        <v>0.1083335</v>
      </c>
      <c r="BC99" s="3">
        <v>0.11666700000000001</v>
      </c>
      <c r="BD99" s="3">
        <v>0.1</v>
      </c>
      <c r="BE99" s="3">
        <v>0.21666666666666701</v>
      </c>
      <c r="BF99" s="1" t="s">
        <v>73</v>
      </c>
      <c r="BG99" s="1" t="s">
        <v>73</v>
      </c>
      <c r="BH99" s="1" t="s">
        <v>73</v>
      </c>
      <c r="BI99" s="1" t="s">
        <v>73</v>
      </c>
      <c r="BJ99" s="1" t="s">
        <v>73</v>
      </c>
      <c r="BK99" s="1" t="s">
        <v>658</v>
      </c>
      <c r="BL99" s="1" t="s">
        <v>659</v>
      </c>
      <c r="BM99" s="1" t="s">
        <v>660</v>
      </c>
    </row>
    <row r="100" spans="1:65" outlineLevel="1" x14ac:dyDescent="0.25">
      <c r="A100" s="1" t="s">
        <v>1469</v>
      </c>
      <c r="B100" s="1" t="s">
        <v>1470</v>
      </c>
      <c r="C100" s="2">
        <v>6</v>
      </c>
      <c r="D100" s="3">
        <v>138.38999999999999</v>
      </c>
      <c r="E100" s="4">
        <v>0.96399999999999997</v>
      </c>
      <c r="F100" s="1" t="s">
        <v>60</v>
      </c>
      <c r="G100" s="2" t="s">
        <v>420</v>
      </c>
      <c r="H100" s="1" t="s">
        <v>1307</v>
      </c>
      <c r="I100" s="1" t="s">
        <v>81</v>
      </c>
      <c r="J100" s="2" t="s">
        <v>82</v>
      </c>
      <c r="K100" s="2" t="s">
        <v>399</v>
      </c>
      <c r="L100" s="1" t="s">
        <v>1528</v>
      </c>
      <c r="M100" s="1" t="s">
        <v>1529</v>
      </c>
      <c r="N100" s="1" t="s">
        <v>1530</v>
      </c>
      <c r="O100" s="146" t="s">
        <v>65</v>
      </c>
      <c r="P100" s="5">
        <v>45775.333333333328</v>
      </c>
      <c r="Q100" s="6">
        <v>45777</v>
      </c>
      <c r="R100" s="5">
        <v>45777.557754629626</v>
      </c>
      <c r="S100" s="1" t="s">
        <v>667</v>
      </c>
      <c r="T100" s="1" t="s">
        <v>668</v>
      </c>
      <c r="U100" s="1" t="s">
        <v>617</v>
      </c>
      <c r="V100" s="1" t="s">
        <v>616</v>
      </c>
      <c r="W100" s="1" t="s">
        <v>70</v>
      </c>
      <c r="X100" s="1" t="s">
        <v>71</v>
      </c>
      <c r="Y100" s="2" t="s">
        <v>476</v>
      </c>
      <c r="Z100" s="1" t="s">
        <v>767</v>
      </c>
      <c r="AA100" s="2" t="s">
        <v>73</v>
      </c>
      <c r="AB100" s="1" t="s">
        <v>811</v>
      </c>
      <c r="AC100" s="2" t="s">
        <v>73</v>
      </c>
      <c r="AD100" s="2" t="s">
        <v>73</v>
      </c>
      <c r="AE100" s="2" t="s">
        <v>73</v>
      </c>
      <c r="AF100" s="5" t="s">
        <v>73</v>
      </c>
      <c r="AG100" s="5">
        <v>45777.541666666664</v>
      </c>
      <c r="AH100" s="1" t="s">
        <v>73</v>
      </c>
      <c r="AI100" s="3">
        <v>4</v>
      </c>
      <c r="AJ100" s="1" t="s">
        <v>1531</v>
      </c>
      <c r="AK100" s="1" t="s">
        <v>1532</v>
      </c>
      <c r="AL100" s="1" t="s">
        <v>616</v>
      </c>
      <c r="AM100" s="1" t="s">
        <v>617</v>
      </c>
      <c r="AN100" s="1" t="s">
        <v>71</v>
      </c>
      <c r="AO100" s="1" t="s">
        <v>1533</v>
      </c>
      <c r="AP100" s="1" t="s">
        <v>73</v>
      </c>
      <c r="AQ100" s="1" t="s">
        <v>111</v>
      </c>
      <c r="AR100" s="1" t="s">
        <v>114</v>
      </c>
      <c r="AS100" s="1" t="s">
        <v>315</v>
      </c>
      <c r="AT100" s="1" t="s">
        <v>1534</v>
      </c>
      <c r="AU100" s="1" t="s">
        <v>98</v>
      </c>
      <c r="AV100" s="1" t="s">
        <v>1535</v>
      </c>
      <c r="AW100" s="1" t="s">
        <v>1536</v>
      </c>
      <c r="AX100" s="146" t="s">
        <v>65</v>
      </c>
      <c r="AY100" s="2">
        <v>2</v>
      </c>
      <c r="AZ100" s="1" t="s">
        <v>1481</v>
      </c>
      <c r="BA100" s="3">
        <v>5.43</v>
      </c>
      <c r="BB100" s="3">
        <v>0.89166650000000003</v>
      </c>
      <c r="BC100" s="3">
        <v>1.233333</v>
      </c>
      <c r="BD100" s="3">
        <v>0.55000000000000004</v>
      </c>
      <c r="BE100" s="3">
        <v>1.7833333333333301</v>
      </c>
      <c r="BF100" s="1" t="s">
        <v>73</v>
      </c>
      <c r="BG100" s="1" t="s">
        <v>73</v>
      </c>
      <c r="BH100" s="1" t="s">
        <v>73</v>
      </c>
      <c r="BI100" s="1" t="s">
        <v>73</v>
      </c>
      <c r="BJ100" s="1" t="s">
        <v>73</v>
      </c>
      <c r="BK100" s="1" t="s">
        <v>619</v>
      </c>
      <c r="BL100" s="1" t="s">
        <v>620</v>
      </c>
      <c r="BM100" s="1" t="s">
        <v>621</v>
      </c>
    </row>
    <row r="101" spans="1:65" outlineLevel="1" x14ac:dyDescent="0.25">
      <c r="A101" s="1" t="s">
        <v>1469</v>
      </c>
      <c r="B101" s="1" t="s">
        <v>1470</v>
      </c>
      <c r="C101" s="2">
        <v>7</v>
      </c>
      <c r="D101" s="3">
        <v>198.72</v>
      </c>
      <c r="E101" s="4">
        <v>1.0629999999999999</v>
      </c>
      <c r="F101" s="1" t="s">
        <v>60</v>
      </c>
      <c r="G101" s="2" t="s">
        <v>420</v>
      </c>
      <c r="H101" s="1" t="s">
        <v>1307</v>
      </c>
      <c r="I101" s="1" t="s">
        <v>81</v>
      </c>
      <c r="J101" s="2" t="s">
        <v>131</v>
      </c>
      <c r="K101" s="2" t="s">
        <v>399</v>
      </c>
      <c r="L101" s="1" t="s">
        <v>1537</v>
      </c>
      <c r="M101" s="1" t="s">
        <v>1538</v>
      </c>
      <c r="N101" s="1" t="s">
        <v>1539</v>
      </c>
      <c r="O101" s="146" t="s">
        <v>65</v>
      </c>
      <c r="P101" s="5">
        <v>45776.333333333328</v>
      </c>
      <c r="Q101" s="6">
        <v>45777</v>
      </c>
      <c r="R101" s="5">
        <v>45777.603101851848</v>
      </c>
      <c r="S101" s="1" t="s">
        <v>667</v>
      </c>
      <c r="T101" s="1" t="s">
        <v>668</v>
      </c>
      <c r="U101" s="1" t="s">
        <v>617</v>
      </c>
      <c r="V101" s="1" t="s">
        <v>616</v>
      </c>
      <c r="W101" s="1" t="s">
        <v>70</v>
      </c>
      <c r="X101" s="1" t="s">
        <v>71</v>
      </c>
      <c r="Y101" s="2" t="s">
        <v>476</v>
      </c>
      <c r="Z101" s="1" t="s">
        <v>767</v>
      </c>
      <c r="AA101" s="2" t="s">
        <v>73</v>
      </c>
      <c r="AB101" s="1" t="s">
        <v>811</v>
      </c>
      <c r="AC101" s="2" t="s">
        <v>73</v>
      </c>
      <c r="AD101" s="2" t="s">
        <v>73</v>
      </c>
      <c r="AE101" s="2" t="s">
        <v>73</v>
      </c>
      <c r="AF101" s="5" t="s">
        <v>73</v>
      </c>
      <c r="AG101" s="5">
        <v>45777.583333333328</v>
      </c>
      <c r="AH101" s="1" t="s">
        <v>73</v>
      </c>
      <c r="AI101" s="3">
        <v>6</v>
      </c>
      <c r="AJ101" s="1" t="s">
        <v>1540</v>
      </c>
      <c r="AK101" s="1" t="s">
        <v>1541</v>
      </c>
      <c r="AL101" s="1" t="s">
        <v>616</v>
      </c>
      <c r="AM101" s="1" t="s">
        <v>617</v>
      </c>
      <c r="AN101" s="1" t="s">
        <v>71</v>
      </c>
      <c r="AO101" s="1" t="s">
        <v>1542</v>
      </c>
      <c r="AP101" s="1" t="s">
        <v>1543</v>
      </c>
      <c r="AQ101" s="1" t="s">
        <v>136</v>
      </c>
      <c r="AR101" s="1" t="s">
        <v>137</v>
      </c>
      <c r="AS101" s="1" t="s">
        <v>138</v>
      </c>
      <c r="AT101" s="1" t="s">
        <v>1544</v>
      </c>
      <c r="AU101" s="1" t="s">
        <v>90</v>
      </c>
      <c r="AV101" s="1" t="s">
        <v>1545</v>
      </c>
      <c r="AW101" s="1" t="s">
        <v>1546</v>
      </c>
      <c r="AX101" s="146" t="s">
        <v>65</v>
      </c>
      <c r="AY101" s="2">
        <v>2</v>
      </c>
      <c r="AZ101" s="1" t="s">
        <v>1481</v>
      </c>
      <c r="BA101" s="3">
        <v>2.73</v>
      </c>
      <c r="BB101" s="3">
        <v>0</v>
      </c>
      <c r="BC101" s="3">
        <v>0</v>
      </c>
      <c r="BD101" s="3">
        <v>0</v>
      </c>
      <c r="BE101" s="3">
        <v>0</v>
      </c>
      <c r="BF101" s="1" t="s">
        <v>73</v>
      </c>
      <c r="BG101" s="1" t="s">
        <v>73</v>
      </c>
      <c r="BH101" s="1" t="s">
        <v>73</v>
      </c>
      <c r="BI101" s="1" t="s">
        <v>73</v>
      </c>
      <c r="BJ101" s="1" t="s">
        <v>73</v>
      </c>
      <c r="BK101" s="1" t="s">
        <v>658</v>
      </c>
      <c r="BL101" s="1" t="s">
        <v>659</v>
      </c>
      <c r="BM101" s="1" t="s">
        <v>660</v>
      </c>
    </row>
  </sheetData>
  <autoFilter ref="A1:BM101" xr:uid="{00000000-0009-0000-0000-000000000000}"/>
  <pageMargins left="0.7" right="0.7" top="0.78740157499999996" bottom="0.78740157499999996" header="0.3" footer="0.3"/>
  <pageSetup fitToWidth="0" fitToHeight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72214-A40F-4E03-BA43-0696D086455D}">
  <sheetPr codeName="Tabelle350"/>
  <dimension ref="A1:G19"/>
  <sheetViews>
    <sheetView topLeftCell="A2" zoomScale="70" zoomScaleNormal="70" workbookViewId="0">
      <selection activeCell="D4" sqref="D4"/>
    </sheetView>
  </sheetViews>
  <sheetFormatPr baseColWidth="10" defaultRowHeight="15" x14ac:dyDescent="0.25"/>
  <cols>
    <col min="1" max="1" width="47.140625" bestFit="1" customWidth="1"/>
    <col min="2" max="2" width="30" bestFit="1" customWidth="1"/>
    <col min="3" max="3" width="15.28515625" bestFit="1" customWidth="1"/>
    <col min="4" max="4" width="21.7109375" bestFit="1" customWidth="1"/>
    <col min="5" max="5" width="22.140625" bestFit="1" customWidth="1"/>
    <col min="6" max="6" width="255.7109375" bestFit="1" customWidth="1"/>
    <col min="7" max="7" width="120.7109375" customWidth="1"/>
  </cols>
  <sheetData>
    <row r="1" spans="1:7" x14ac:dyDescent="0.25">
      <c r="A1" s="21" t="s">
        <v>488</v>
      </c>
      <c r="B1" s="21" t="s">
        <v>489</v>
      </c>
      <c r="C1" s="21" t="s">
        <v>490</v>
      </c>
      <c r="D1" s="21" t="s">
        <v>491</v>
      </c>
      <c r="E1" s="21" t="s">
        <v>492</v>
      </c>
      <c r="F1" s="21" t="s">
        <v>493</v>
      </c>
      <c r="G1" s="21" t="s">
        <v>494</v>
      </c>
    </row>
    <row r="2" spans="1:7" ht="409.5" customHeight="1" x14ac:dyDescent="0.25">
      <c r="A2" s="22" t="s">
        <v>788</v>
      </c>
      <c r="B2" s="22">
        <v>22.04</v>
      </c>
      <c r="C2" s="22" t="s">
        <v>496</v>
      </c>
      <c r="D2" s="23">
        <v>6881.98</v>
      </c>
      <c r="E2" s="23">
        <v>39.396000000000001</v>
      </c>
      <c r="F2" s="22" t="s">
        <v>627</v>
      </c>
      <c r="G2" s="33" t="s">
        <v>789</v>
      </c>
    </row>
    <row r="3" spans="1:7" ht="55.5" customHeight="1" x14ac:dyDescent="0.25">
      <c r="A3" s="22" t="s">
        <v>790</v>
      </c>
      <c r="B3" s="22">
        <v>17.04</v>
      </c>
      <c r="C3" s="22" t="s">
        <v>496</v>
      </c>
      <c r="D3" s="23">
        <v>4671.71</v>
      </c>
      <c r="E3" s="23">
        <v>31.190999999999999</v>
      </c>
      <c r="F3" s="22" t="s">
        <v>643</v>
      </c>
      <c r="G3" s="33" t="s">
        <v>791</v>
      </c>
    </row>
    <row r="4" spans="1:7" ht="409.5" x14ac:dyDescent="0.25">
      <c r="A4" s="22" t="s">
        <v>792</v>
      </c>
      <c r="B4" s="22">
        <v>9.0399999999999991</v>
      </c>
      <c r="C4" s="22" t="s">
        <v>601</v>
      </c>
      <c r="D4" s="23">
        <v>2527.69</v>
      </c>
      <c r="E4" s="23">
        <v>17.956</v>
      </c>
      <c r="F4" s="22" t="s">
        <v>1547</v>
      </c>
      <c r="G4" s="33" t="s">
        <v>1548</v>
      </c>
    </row>
    <row r="5" spans="1:7" ht="405" x14ac:dyDescent="0.25">
      <c r="A5" s="22" t="s">
        <v>792</v>
      </c>
      <c r="B5" s="22">
        <v>10.039999999999999</v>
      </c>
      <c r="C5" s="22" t="s">
        <v>601</v>
      </c>
      <c r="D5" s="23">
        <v>1084.49</v>
      </c>
      <c r="E5" s="23">
        <v>6.891</v>
      </c>
      <c r="F5" s="22" t="s">
        <v>793</v>
      </c>
      <c r="G5" s="33" t="s">
        <v>794</v>
      </c>
    </row>
    <row r="6" spans="1:7" ht="240" x14ac:dyDescent="0.25">
      <c r="A6" s="22" t="s">
        <v>792</v>
      </c>
      <c r="B6" s="22">
        <v>11.04</v>
      </c>
      <c r="C6" s="22" t="s">
        <v>601</v>
      </c>
      <c r="D6" s="23">
        <v>968.54</v>
      </c>
      <c r="E6" s="23">
        <v>6.194</v>
      </c>
      <c r="F6" s="22" t="s">
        <v>873</v>
      </c>
      <c r="G6" s="33" t="s">
        <v>1549</v>
      </c>
    </row>
    <row r="7" spans="1:7" ht="405" x14ac:dyDescent="0.25">
      <c r="A7" s="22" t="s">
        <v>1550</v>
      </c>
      <c r="B7" s="22" t="s">
        <v>1551</v>
      </c>
      <c r="C7" s="22" t="s">
        <v>601</v>
      </c>
      <c r="D7" s="23">
        <v>849.8</v>
      </c>
      <c r="E7" s="23">
        <v>5.7750000000000004</v>
      </c>
      <c r="F7" s="22" t="s">
        <v>1552</v>
      </c>
      <c r="G7" s="33" t="s">
        <v>1553</v>
      </c>
    </row>
    <row r="8" spans="1:7" ht="409.5" x14ac:dyDescent="0.25">
      <c r="A8" s="22" t="s">
        <v>1554</v>
      </c>
      <c r="B8" s="22" t="s">
        <v>616</v>
      </c>
      <c r="C8" s="22" t="s">
        <v>601</v>
      </c>
      <c r="D8" s="23">
        <v>2156.35</v>
      </c>
      <c r="E8" s="23">
        <v>12.792999999999999</v>
      </c>
      <c r="F8" s="22" t="s">
        <v>1555</v>
      </c>
      <c r="G8" s="33" t="s">
        <v>1556</v>
      </c>
    </row>
    <row r="9" spans="1:7" ht="409.5" x14ac:dyDescent="0.25">
      <c r="A9" s="22" t="s">
        <v>1557</v>
      </c>
      <c r="B9" s="22">
        <v>15.04</v>
      </c>
      <c r="C9" s="22" t="s">
        <v>496</v>
      </c>
      <c r="D9" s="23">
        <v>11429.58</v>
      </c>
      <c r="E9" s="23">
        <v>72.14500000000001</v>
      </c>
      <c r="F9" s="22" t="s">
        <v>1558</v>
      </c>
      <c r="G9" s="33" t="s">
        <v>1559</v>
      </c>
    </row>
    <row r="10" spans="1:7" ht="409.5" x14ac:dyDescent="0.25">
      <c r="A10" s="22" t="s">
        <v>792</v>
      </c>
      <c r="B10" s="22">
        <v>14.04</v>
      </c>
      <c r="C10" s="22" t="s">
        <v>601</v>
      </c>
      <c r="D10" s="23">
        <v>1262.57</v>
      </c>
      <c r="E10" s="23">
        <v>8.1720000000000006</v>
      </c>
      <c r="F10" s="22" t="s">
        <v>1560</v>
      </c>
      <c r="G10" s="33" t="s">
        <v>1561</v>
      </c>
    </row>
    <row r="11" spans="1:7" ht="345" x14ac:dyDescent="0.25">
      <c r="A11" s="22" t="s">
        <v>1562</v>
      </c>
      <c r="B11" s="22" t="s">
        <v>616</v>
      </c>
      <c r="C11" s="22" t="s">
        <v>601</v>
      </c>
      <c r="D11" s="23">
        <v>507.86</v>
      </c>
      <c r="E11" s="23">
        <v>2.7149999999999999</v>
      </c>
      <c r="F11" s="22" t="s">
        <v>1563</v>
      </c>
      <c r="G11" s="33" t="s">
        <v>1564</v>
      </c>
    </row>
    <row r="12" spans="1:7" ht="409.5" x14ac:dyDescent="0.25">
      <c r="A12" s="22" t="s">
        <v>1565</v>
      </c>
      <c r="B12" s="22" t="s">
        <v>1566</v>
      </c>
      <c r="C12" s="22" t="s">
        <v>496</v>
      </c>
      <c r="D12" s="23">
        <v>4709.88</v>
      </c>
      <c r="E12" s="23">
        <v>27.244</v>
      </c>
      <c r="F12" s="22" t="s">
        <v>1567</v>
      </c>
      <c r="G12" s="33" t="s">
        <v>1568</v>
      </c>
    </row>
    <row r="13" spans="1:7" ht="285" x14ac:dyDescent="0.25">
      <c r="A13" s="22" t="s">
        <v>1569</v>
      </c>
      <c r="B13" s="22" t="s">
        <v>1570</v>
      </c>
      <c r="C13" s="22" t="s">
        <v>601</v>
      </c>
      <c r="D13" s="23">
        <v>2658.31</v>
      </c>
      <c r="E13" s="23">
        <v>17.16</v>
      </c>
      <c r="F13" s="22" t="s">
        <v>1163</v>
      </c>
      <c r="G13" s="33" t="s">
        <v>1571</v>
      </c>
    </row>
    <row r="14" spans="1:7" ht="409.5" x14ac:dyDescent="0.25">
      <c r="A14" s="22" t="s">
        <v>1572</v>
      </c>
      <c r="B14" s="22" t="s">
        <v>1573</v>
      </c>
      <c r="C14" s="22" t="s">
        <v>601</v>
      </c>
      <c r="D14" s="23">
        <v>777.81000000000006</v>
      </c>
      <c r="E14" s="23">
        <v>7.2739999999999991</v>
      </c>
      <c r="F14" s="22" t="s">
        <v>1574</v>
      </c>
      <c r="G14" s="33" t="s">
        <v>1575</v>
      </c>
    </row>
    <row r="15" spans="1:7" ht="240" x14ac:dyDescent="0.25">
      <c r="A15" s="22" t="s">
        <v>1576</v>
      </c>
      <c r="B15" s="22" t="s">
        <v>1121</v>
      </c>
      <c r="C15" s="22" t="s">
        <v>601</v>
      </c>
      <c r="D15" s="23">
        <v>204.55</v>
      </c>
      <c r="E15" s="23">
        <v>1.8059999999999998</v>
      </c>
      <c r="F15" s="22" t="s">
        <v>1577</v>
      </c>
      <c r="G15" s="33" t="s">
        <v>1578</v>
      </c>
    </row>
    <row r="16" spans="1:7" ht="120" x14ac:dyDescent="0.25">
      <c r="A16" s="22" t="s">
        <v>1579</v>
      </c>
      <c r="B16" s="22" t="s">
        <v>1313</v>
      </c>
      <c r="C16" s="22" t="s">
        <v>601</v>
      </c>
      <c r="D16" s="23">
        <v>271.88</v>
      </c>
      <c r="E16" s="23">
        <v>1.8640000000000001</v>
      </c>
      <c r="F16" s="22" t="s">
        <v>1308</v>
      </c>
      <c r="G16" s="33" t="s">
        <v>1580</v>
      </c>
    </row>
    <row r="17" spans="1:7" ht="409.5" x14ac:dyDescent="0.25">
      <c r="A17" s="22" t="s">
        <v>1581</v>
      </c>
      <c r="B17" s="22" t="s">
        <v>616</v>
      </c>
      <c r="C17" s="22" t="s">
        <v>601</v>
      </c>
      <c r="D17" s="23">
        <v>1229.3800000000001</v>
      </c>
      <c r="E17" s="23">
        <v>12.608999999999998</v>
      </c>
      <c r="F17" s="22" t="s">
        <v>1582</v>
      </c>
      <c r="G17" s="33" t="s">
        <v>1583</v>
      </c>
    </row>
    <row r="18" spans="1:7" ht="105" x14ac:dyDescent="0.25">
      <c r="A18" s="22" t="s">
        <v>1584</v>
      </c>
      <c r="B18" s="22" t="s">
        <v>1585</v>
      </c>
      <c r="C18" s="22" t="s">
        <v>601</v>
      </c>
      <c r="D18" s="23">
        <v>126.04</v>
      </c>
      <c r="E18" s="23">
        <v>0.91700000000000004</v>
      </c>
      <c r="F18" s="22" t="s">
        <v>1586</v>
      </c>
      <c r="G18" s="33" t="s">
        <v>1587</v>
      </c>
    </row>
    <row r="19" spans="1:7" ht="409.5" x14ac:dyDescent="0.25">
      <c r="A19" s="22" t="s">
        <v>1588</v>
      </c>
      <c r="B19" s="22" t="s">
        <v>616</v>
      </c>
      <c r="C19" s="22" t="s">
        <v>601</v>
      </c>
      <c r="D19" s="23">
        <v>614.75</v>
      </c>
      <c r="E19" s="23">
        <v>4.7039999999999997</v>
      </c>
      <c r="F19" s="22" t="s">
        <v>1589</v>
      </c>
      <c r="G19" s="33" t="s">
        <v>1590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A4928-1B7B-4FBF-9623-FE3F222C39D4}">
  <sheetPr codeName="Tabelle3"/>
  <dimension ref="A1:H45"/>
  <sheetViews>
    <sheetView view="pageLayout" zoomScaleNormal="100" workbookViewId="0">
      <selection activeCell="H14" sqref="H14"/>
    </sheetView>
  </sheetViews>
  <sheetFormatPr baseColWidth="10" defaultColWidth="11.42578125" defaultRowHeight="15" x14ac:dyDescent="0.25"/>
  <cols>
    <col min="2" max="4" width="15" customWidth="1"/>
    <col min="5" max="7" width="9" customWidth="1"/>
    <col min="8" max="8" width="12.42578125" customWidth="1"/>
  </cols>
  <sheetData>
    <row r="1" spans="1:8" ht="15" customHeight="1" x14ac:dyDescent="0.25">
      <c r="A1" s="100" t="s">
        <v>497</v>
      </c>
      <c r="B1" s="100"/>
      <c r="C1" s="100"/>
      <c r="D1" s="100"/>
      <c r="E1" s="100"/>
      <c r="F1" s="99" t="e" vm="1">
        <v>#VALUE!</v>
      </c>
      <c r="G1" s="99"/>
      <c r="H1" s="99"/>
    </row>
    <row r="2" spans="1:8" ht="15" customHeight="1" x14ac:dyDescent="0.25">
      <c r="A2" s="100"/>
      <c r="B2" s="100"/>
      <c r="C2" s="100"/>
      <c r="D2" s="100"/>
      <c r="E2" s="100"/>
      <c r="F2" s="99"/>
      <c r="G2" s="99"/>
      <c r="H2" s="99"/>
    </row>
    <row r="3" spans="1:8" ht="15" customHeight="1" x14ac:dyDescent="0.25">
      <c r="A3" s="100"/>
      <c r="B3" s="100"/>
      <c r="C3" s="100"/>
      <c r="D3" s="100"/>
      <c r="E3" s="100"/>
      <c r="F3" s="99"/>
      <c r="G3" s="99"/>
      <c r="H3" s="99"/>
    </row>
    <row r="4" spans="1:8" ht="15" customHeight="1" x14ac:dyDescent="0.25">
      <c r="A4" s="100"/>
      <c r="B4" s="100"/>
      <c r="C4" s="100"/>
      <c r="D4" s="100"/>
      <c r="E4" s="100"/>
      <c r="F4" s="99"/>
      <c r="G4" s="99"/>
      <c r="H4" s="99"/>
    </row>
    <row r="6" spans="1:8" ht="18.75" x14ac:dyDescent="0.25">
      <c r="A6" s="77" t="s">
        <v>589</v>
      </c>
      <c r="B6" s="73"/>
      <c r="C6" s="96" t="s">
        <v>499</v>
      </c>
      <c r="D6" s="96"/>
      <c r="E6" s="96"/>
      <c r="F6" s="96"/>
      <c r="G6" s="96"/>
      <c r="H6" s="96"/>
    </row>
    <row r="7" spans="1:8" ht="18.75" x14ac:dyDescent="0.25">
      <c r="A7" s="77" t="s">
        <v>590</v>
      </c>
      <c r="B7" s="73"/>
      <c r="C7" s="96" t="s">
        <v>498</v>
      </c>
      <c r="D7" s="96"/>
      <c r="E7" s="96"/>
      <c r="F7" s="96"/>
      <c r="G7" s="96"/>
      <c r="H7" s="96"/>
    </row>
    <row r="8" spans="1:8" ht="18.75" x14ac:dyDescent="0.25">
      <c r="A8" s="77" t="s">
        <v>591</v>
      </c>
      <c r="B8" s="73"/>
      <c r="C8" s="96" t="s">
        <v>516</v>
      </c>
      <c r="D8" s="96"/>
      <c r="E8" s="96"/>
      <c r="F8" s="96"/>
      <c r="G8" s="96"/>
      <c r="H8" s="96"/>
    </row>
    <row r="9" spans="1:8" ht="18.75" x14ac:dyDescent="0.25">
      <c r="A9" s="77" t="s">
        <v>592</v>
      </c>
      <c r="B9" s="73"/>
      <c r="C9" s="96" t="s">
        <v>500</v>
      </c>
      <c r="D9" s="96"/>
      <c r="E9" s="96"/>
      <c r="F9" s="96"/>
      <c r="G9" s="96"/>
      <c r="H9" s="96"/>
    </row>
    <row r="10" spans="1:8" ht="31.5" customHeight="1" x14ac:dyDescent="0.25">
      <c r="A10" s="110" t="s">
        <v>593</v>
      </c>
      <c r="B10" s="110"/>
      <c r="C10" s="111" t="s">
        <v>599</v>
      </c>
      <c r="D10" s="111"/>
      <c r="E10" s="111"/>
      <c r="F10" s="111"/>
      <c r="G10" s="111"/>
      <c r="H10" s="111"/>
    </row>
    <row r="11" spans="1:8" ht="31.5" customHeight="1" x14ac:dyDescent="0.25">
      <c r="A11" s="110"/>
      <c r="B11" s="110"/>
      <c r="C11" s="111"/>
      <c r="D11" s="111"/>
      <c r="E11" s="111"/>
      <c r="F11" s="111"/>
      <c r="G11" s="111"/>
      <c r="H11" s="111"/>
    </row>
    <row r="12" spans="1:8" ht="18.75" x14ac:dyDescent="0.3">
      <c r="A12" s="77" t="s">
        <v>603</v>
      </c>
      <c r="C12" s="108" t="s">
        <v>600</v>
      </c>
      <c r="D12" s="108"/>
      <c r="E12" s="108"/>
      <c r="F12" s="108"/>
      <c r="G12" s="108"/>
    </row>
    <row r="14" spans="1:8" x14ac:dyDescent="0.25">
      <c r="A14" s="76" t="s">
        <v>504</v>
      </c>
      <c r="B14" s="109" t="s">
        <v>505</v>
      </c>
      <c r="C14" s="109"/>
      <c r="D14" s="109"/>
      <c r="E14" s="76" t="s">
        <v>503</v>
      </c>
      <c r="F14" s="76" t="s">
        <v>506</v>
      </c>
      <c r="G14" s="76" t="s">
        <v>606</v>
      </c>
      <c r="H14" s="76" t="s">
        <v>795</v>
      </c>
    </row>
    <row r="15" spans="1:8" x14ac:dyDescent="0.25">
      <c r="A15" s="98" t="s">
        <v>501</v>
      </c>
      <c r="B15" s="101"/>
      <c r="C15" s="102"/>
      <c r="D15" s="103"/>
      <c r="E15" s="98"/>
      <c r="F15" s="98"/>
      <c r="G15" s="98"/>
      <c r="H15" s="98"/>
    </row>
    <row r="16" spans="1:8" x14ac:dyDescent="0.25">
      <c r="A16" s="98"/>
      <c r="B16" s="104"/>
      <c r="C16" s="105"/>
      <c r="D16" s="106"/>
      <c r="E16" s="98"/>
      <c r="F16" s="98"/>
      <c r="G16" s="98"/>
      <c r="H16" s="98"/>
    </row>
    <row r="17" spans="1:8" x14ac:dyDescent="0.25">
      <c r="A17" s="75"/>
      <c r="B17" s="107"/>
      <c r="C17" s="107"/>
      <c r="D17" s="107"/>
      <c r="E17" s="112"/>
      <c r="F17" s="112"/>
      <c r="G17" s="112"/>
      <c r="H17" s="112"/>
    </row>
    <row r="18" spans="1:8" x14ac:dyDescent="0.25">
      <c r="A18" s="75"/>
      <c r="B18" s="97"/>
      <c r="C18" s="97"/>
      <c r="D18" s="97"/>
      <c r="E18" s="112"/>
      <c r="F18" s="112"/>
      <c r="G18" s="112"/>
      <c r="H18" s="112"/>
    </row>
    <row r="19" spans="1:8" x14ac:dyDescent="0.25">
      <c r="A19" s="75"/>
      <c r="B19" s="75"/>
      <c r="C19" s="75"/>
      <c r="D19" s="75"/>
      <c r="E19" s="75"/>
      <c r="F19" s="75"/>
      <c r="G19" s="75"/>
      <c r="H19" s="75"/>
    </row>
    <row r="20" spans="1:8" x14ac:dyDescent="0.25">
      <c r="A20" s="75"/>
      <c r="B20" s="73"/>
      <c r="C20" s="73"/>
      <c r="D20" s="73"/>
      <c r="E20" s="75"/>
      <c r="F20" s="75"/>
      <c r="G20" s="75"/>
      <c r="H20" s="75"/>
    </row>
    <row r="21" spans="1:8" ht="15.75" customHeight="1" x14ac:dyDescent="0.25">
      <c r="A21" s="75"/>
      <c r="B21" s="75"/>
      <c r="C21" s="75"/>
      <c r="D21" s="75"/>
      <c r="E21" s="75"/>
      <c r="F21" s="75"/>
      <c r="G21" s="75"/>
      <c r="H21" s="75"/>
    </row>
    <row r="22" spans="1:8" ht="15.75" customHeight="1" x14ac:dyDescent="0.25">
      <c r="A22" s="75"/>
      <c r="B22" s="73"/>
      <c r="C22" s="73"/>
      <c r="D22" s="73"/>
      <c r="E22" s="75"/>
      <c r="F22" s="75"/>
      <c r="G22" s="75"/>
      <c r="H22" s="75"/>
    </row>
    <row r="23" spans="1:8" ht="15.75" customHeight="1" x14ac:dyDescent="0.25">
      <c r="A23" s="75"/>
      <c r="B23" s="75"/>
      <c r="C23" s="75"/>
      <c r="D23" s="75"/>
      <c r="E23" s="75"/>
      <c r="F23" s="75"/>
      <c r="G23" s="75"/>
      <c r="H23" s="75"/>
    </row>
    <row r="24" spans="1:8" ht="15.75" customHeight="1" x14ac:dyDescent="0.25">
      <c r="A24" s="75"/>
      <c r="B24" s="73"/>
      <c r="C24" s="73"/>
      <c r="D24" s="73"/>
      <c r="E24" s="75"/>
      <c r="F24" s="75"/>
      <c r="G24" s="75"/>
      <c r="H24" s="75"/>
    </row>
    <row r="25" spans="1:8" ht="15.75" customHeight="1" x14ac:dyDescent="0.25">
      <c r="A25" s="75"/>
      <c r="B25" s="75"/>
      <c r="C25" s="75"/>
      <c r="D25" s="75"/>
      <c r="E25" s="75"/>
      <c r="F25" s="75"/>
      <c r="G25" s="75"/>
      <c r="H25" s="75"/>
    </row>
    <row r="26" spans="1:8" ht="15.75" customHeight="1" x14ac:dyDescent="0.25">
      <c r="A26" s="75"/>
      <c r="B26" s="73"/>
      <c r="C26" s="73"/>
      <c r="D26" s="73"/>
      <c r="E26" s="75"/>
      <c r="F26" s="75"/>
      <c r="G26" s="75"/>
      <c r="H26" s="75"/>
    </row>
    <row r="27" spans="1:8" ht="15.75" customHeight="1" x14ac:dyDescent="0.25">
      <c r="A27" s="75"/>
      <c r="B27" s="75"/>
      <c r="C27" s="75"/>
      <c r="D27" s="75"/>
      <c r="E27" s="75"/>
      <c r="F27" s="75"/>
      <c r="G27" s="75"/>
      <c r="H27" s="75"/>
    </row>
    <row r="28" spans="1:8" ht="15.75" customHeight="1" x14ac:dyDescent="0.25">
      <c r="A28" s="75"/>
      <c r="B28" s="73"/>
      <c r="C28" s="73"/>
      <c r="D28" s="73"/>
      <c r="E28" s="75"/>
      <c r="F28" s="75"/>
      <c r="G28" s="75"/>
      <c r="H28" s="75"/>
    </row>
    <row r="29" spans="1:8" ht="15.75" customHeight="1" x14ac:dyDescent="0.25">
      <c r="A29" s="75"/>
      <c r="B29" s="75"/>
      <c r="C29" s="75"/>
      <c r="D29" s="75"/>
      <c r="E29" s="75"/>
      <c r="F29" s="75"/>
      <c r="G29" s="75"/>
      <c r="H29" s="75"/>
    </row>
    <row r="30" spans="1:8" ht="15.75" customHeight="1" x14ac:dyDescent="0.25">
      <c r="A30" s="75"/>
      <c r="B30" s="73"/>
      <c r="C30" s="73"/>
      <c r="D30" s="73"/>
      <c r="E30" s="75"/>
      <c r="F30" s="75"/>
      <c r="G30" s="75"/>
      <c r="H30" s="75"/>
    </row>
    <row r="31" spans="1:8" ht="15.75" customHeight="1" x14ac:dyDescent="0.25">
      <c r="A31" s="75"/>
      <c r="B31" s="75"/>
      <c r="C31" s="75"/>
      <c r="D31" s="75"/>
      <c r="E31" s="75"/>
      <c r="F31" s="75"/>
      <c r="G31" s="75"/>
      <c r="H31" s="75"/>
    </row>
    <row r="32" spans="1:8" ht="15.75" customHeight="1" x14ac:dyDescent="0.25">
      <c r="A32" s="75"/>
      <c r="B32" s="73"/>
      <c r="C32" s="73"/>
      <c r="D32" s="73"/>
      <c r="E32" s="75"/>
      <c r="F32" s="75"/>
      <c r="G32" s="75"/>
      <c r="H32" s="75"/>
    </row>
    <row r="33" spans="1:8" ht="15.75" customHeight="1" x14ac:dyDescent="0.25">
      <c r="A33" s="75"/>
      <c r="B33" s="75"/>
      <c r="C33" s="75"/>
      <c r="D33" s="75"/>
      <c r="E33" s="75"/>
      <c r="F33" s="75"/>
      <c r="G33" s="75"/>
      <c r="H33" s="75"/>
    </row>
    <row r="34" spans="1:8" ht="15.75" customHeight="1" x14ac:dyDescent="0.25">
      <c r="A34" s="75"/>
      <c r="B34" s="73"/>
      <c r="C34" s="73"/>
      <c r="D34" s="73"/>
      <c r="E34" s="75"/>
      <c r="F34" s="75"/>
      <c r="G34" s="75"/>
      <c r="H34" s="75"/>
    </row>
    <row r="35" spans="1:8" ht="15.75" customHeight="1" x14ac:dyDescent="0.25">
      <c r="A35" s="75"/>
      <c r="B35" s="75"/>
      <c r="C35" s="75"/>
      <c r="D35" s="75"/>
      <c r="E35" s="75"/>
      <c r="F35" s="75"/>
      <c r="G35" s="75"/>
      <c r="H35" s="75"/>
    </row>
    <row r="36" spans="1:8" x14ac:dyDescent="0.25">
      <c r="A36" s="75"/>
      <c r="B36" s="73"/>
      <c r="C36" s="73"/>
      <c r="D36" s="73"/>
      <c r="E36" s="75"/>
      <c r="F36" s="75"/>
      <c r="G36" s="75"/>
      <c r="H36" s="75"/>
    </row>
    <row r="37" spans="1:8" x14ac:dyDescent="0.25">
      <c r="A37" s="75"/>
      <c r="B37" s="75"/>
      <c r="C37" s="75"/>
      <c r="D37" s="75"/>
      <c r="E37" s="75"/>
      <c r="F37" s="75"/>
      <c r="G37" s="75"/>
      <c r="H37" s="75"/>
    </row>
    <row r="38" spans="1:8" x14ac:dyDescent="0.25">
      <c r="A38" s="75"/>
      <c r="B38" s="73"/>
      <c r="C38" s="73"/>
      <c r="D38" s="73"/>
      <c r="E38" s="75"/>
      <c r="F38" s="75"/>
      <c r="G38" s="75"/>
      <c r="H38" s="75"/>
    </row>
    <row r="39" spans="1:8" x14ac:dyDescent="0.25">
      <c r="A39" s="75"/>
      <c r="B39" s="75"/>
      <c r="C39" s="75"/>
      <c r="D39" s="75"/>
      <c r="E39" s="75"/>
      <c r="F39" s="75"/>
      <c r="G39" s="75"/>
      <c r="H39" s="75"/>
    </row>
    <row r="40" spans="1:8" x14ac:dyDescent="0.25">
      <c r="A40" s="75"/>
      <c r="B40" s="73"/>
      <c r="C40" s="73"/>
      <c r="D40" s="73"/>
      <c r="E40" s="75"/>
      <c r="F40" s="75"/>
      <c r="G40" s="75"/>
      <c r="H40" s="75"/>
    </row>
    <row r="41" spans="1:8" x14ac:dyDescent="0.25">
      <c r="A41" s="75"/>
      <c r="B41" s="75"/>
      <c r="C41" s="75"/>
      <c r="D41" s="75"/>
      <c r="E41" s="75"/>
      <c r="F41" s="75"/>
      <c r="G41" s="75"/>
      <c r="H41" s="75"/>
    </row>
    <row r="42" spans="1:8" x14ac:dyDescent="0.25">
      <c r="A42" s="75"/>
      <c r="B42" s="73"/>
      <c r="C42" s="73"/>
      <c r="D42" s="73"/>
      <c r="E42" s="75"/>
      <c r="F42" s="75"/>
      <c r="G42" s="75"/>
      <c r="H42" s="75"/>
    </row>
    <row r="43" spans="1:8" x14ac:dyDescent="0.25">
      <c r="A43" s="75"/>
      <c r="B43" s="75"/>
      <c r="C43" s="75"/>
      <c r="D43" s="75"/>
      <c r="E43" s="75"/>
      <c r="F43" s="75"/>
      <c r="G43" s="75"/>
      <c r="H43" s="75"/>
    </row>
    <row r="44" spans="1:8" x14ac:dyDescent="0.25">
      <c r="A44" s="75"/>
      <c r="B44" s="73"/>
      <c r="C44" s="73"/>
      <c r="D44" s="73"/>
      <c r="E44" s="75"/>
      <c r="F44" s="75"/>
      <c r="G44" s="75"/>
      <c r="H44" s="75"/>
    </row>
    <row r="45" spans="1:8" x14ac:dyDescent="0.25">
      <c r="A45" s="75"/>
      <c r="B45" s="75"/>
      <c r="C45" s="75"/>
      <c r="D45" s="75"/>
      <c r="E45" s="75"/>
      <c r="F45" s="75"/>
      <c r="G45" s="75"/>
      <c r="H45" s="75"/>
    </row>
  </sheetData>
  <mergeCells count="23">
    <mergeCell ref="F1:H4"/>
    <mergeCell ref="A1:E4"/>
    <mergeCell ref="B15:D15"/>
    <mergeCell ref="B16:D16"/>
    <mergeCell ref="B17:D17"/>
    <mergeCell ref="C12:G12"/>
    <mergeCell ref="B14:D14"/>
    <mergeCell ref="A10:B11"/>
    <mergeCell ref="C10:H11"/>
    <mergeCell ref="C6:H6"/>
    <mergeCell ref="C7:H7"/>
    <mergeCell ref="E17:E18"/>
    <mergeCell ref="F17:F18"/>
    <mergeCell ref="G17:G18"/>
    <mergeCell ref="H17:H18"/>
    <mergeCell ref="C8:H8"/>
    <mergeCell ref="C9:H9"/>
    <mergeCell ref="B18:D18"/>
    <mergeCell ref="A15:A16"/>
    <mergeCell ref="E15:E16"/>
    <mergeCell ref="F15:F16"/>
    <mergeCell ref="G15:G16"/>
    <mergeCell ref="H15:H16"/>
  </mergeCells>
  <pageMargins left="0.31496062992125984" right="0.31496062992125984" top="0.78740157480314965" bottom="0.78740157480314965" header="0.31496062992125984" footer="0.31496062992125984"/>
  <pageSetup paperSize="9" orientation="portrait" r:id="rId1"/>
  <headerFooter>
    <oddFooter>&amp;LMade by bmlzeller&amp;RSeite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92CE0-3CF0-44BB-AE4E-B30AAD874B21}">
  <sheetPr codeName="Tabelle4"/>
  <dimension ref="A1:G50"/>
  <sheetViews>
    <sheetView view="pageLayout" topLeftCell="A16" zoomScale="115" zoomScaleNormal="100" zoomScalePageLayoutView="115" workbookViewId="0">
      <selection activeCell="G26" sqref="G26"/>
    </sheetView>
  </sheetViews>
  <sheetFormatPr baseColWidth="10" defaultRowHeight="15" x14ac:dyDescent="0.25"/>
  <cols>
    <col min="1" max="1" width="11.85546875" customWidth="1"/>
    <col min="4" max="4" width="18.28515625" customWidth="1"/>
    <col min="5" max="5" width="18" customWidth="1"/>
    <col min="6" max="6" width="15.28515625" customWidth="1"/>
    <col min="7" max="7" width="10.85546875" customWidth="1"/>
  </cols>
  <sheetData>
    <row r="1" spans="1:7" x14ac:dyDescent="0.25">
      <c r="A1" s="100" t="s">
        <v>522</v>
      </c>
      <c r="B1" s="100"/>
      <c r="C1" s="100"/>
      <c r="D1" s="100"/>
      <c r="E1" s="99" t="e" vm="1">
        <v>#VALUE!</v>
      </c>
      <c r="F1" s="99"/>
      <c r="G1" s="99"/>
    </row>
    <row r="2" spans="1:7" x14ac:dyDescent="0.25">
      <c r="A2" s="100"/>
      <c r="B2" s="100"/>
      <c r="C2" s="100"/>
      <c r="D2" s="100"/>
      <c r="E2" s="99"/>
      <c r="F2" s="99"/>
      <c r="G2" s="99"/>
    </row>
    <row r="3" spans="1:7" x14ac:dyDescent="0.25">
      <c r="A3" s="100"/>
      <c r="B3" s="100"/>
      <c r="C3" s="100"/>
      <c r="D3" s="100"/>
      <c r="E3" s="99"/>
      <c r="F3" s="99"/>
      <c r="G3" s="99"/>
    </row>
    <row r="4" spans="1:7" x14ac:dyDescent="0.25">
      <c r="A4" s="100"/>
      <c r="B4" s="100"/>
      <c r="C4" s="100"/>
      <c r="D4" s="100"/>
      <c r="E4" s="99"/>
      <c r="F4" s="99"/>
      <c r="G4" s="99"/>
    </row>
    <row r="6" spans="1:7" ht="18.75" x14ac:dyDescent="0.3">
      <c r="A6" s="74" t="s">
        <v>594</v>
      </c>
      <c r="C6" s="108" t="s">
        <v>502</v>
      </c>
      <c r="D6" s="108"/>
      <c r="E6" s="108"/>
      <c r="F6" s="108"/>
      <c r="G6" s="108"/>
    </row>
    <row r="7" spans="1:7" ht="18.75" x14ac:dyDescent="0.3">
      <c r="A7" s="74" t="s">
        <v>595</v>
      </c>
      <c r="C7" s="108" t="s">
        <v>509</v>
      </c>
      <c r="D7" s="108"/>
      <c r="E7" s="108"/>
      <c r="F7" s="108"/>
      <c r="G7" s="108"/>
    </row>
    <row r="8" spans="1:7" ht="18.75" x14ac:dyDescent="0.3">
      <c r="A8" s="84" t="s">
        <v>591</v>
      </c>
      <c r="C8" s="84" t="s">
        <v>517</v>
      </c>
    </row>
    <row r="10" spans="1:7" ht="15.75" x14ac:dyDescent="0.25">
      <c r="A10" s="128" t="s">
        <v>510</v>
      </c>
      <c r="B10" s="128"/>
      <c r="C10" s="128" t="s">
        <v>806</v>
      </c>
      <c r="D10" s="128"/>
      <c r="E10" s="128"/>
      <c r="F10" s="128" t="s">
        <v>511</v>
      </c>
      <c r="G10" s="128"/>
    </row>
    <row r="11" spans="1:7" ht="15" customHeight="1" x14ac:dyDescent="0.25">
      <c r="A11" s="129" t="s">
        <v>512</v>
      </c>
      <c r="B11" s="130"/>
      <c r="C11" s="133" t="s">
        <v>807</v>
      </c>
      <c r="D11" s="134"/>
      <c r="E11" s="135"/>
      <c r="F11" s="90" t="s">
        <v>596</v>
      </c>
      <c r="G11" s="85" t="s">
        <v>515</v>
      </c>
    </row>
    <row r="12" spans="1:7" x14ac:dyDescent="0.25">
      <c r="A12" s="131"/>
      <c r="B12" s="132"/>
      <c r="C12" s="136"/>
      <c r="D12" s="137"/>
      <c r="E12" s="138"/>
      <c r="F12" s="88" t="s">
        <v>604</v>
      </c>
      <c r="G12" s="31" t="s">
        <v>605</v>
      </c>
    </row>
    <row r="13" spans="1:7" ht="15" customHeight="1" x14ac:dyDescent="0.25">
      <c r="A13" s="116" t="s">
        <v>514</v>
      </c>
      <c r="B13" s="117"/>
      <c r="C13" s="139" t="s">
        <v>808</v>
      </c>
      <c r="D13" s="140"/>
      <c r="E13" s="141"/>
      <c r="F13" s="88" t="s">
        <v>597</v>
      </c>
      <c r="G13" s="31" t="s">
        <v>508</v>
      </c>
    </row>
    <row r="14" spans="1:7" ht="15" customHeight="1" x14ac:dyDescent="0.25">
      <c r="A14" s="118" t="s">
        <v>513</v>
      </c>
      <c r="B14" s="119"/>
      <c r="C14" s="113" t="s">
        <v>809</v>
      </c>
      <c r="D14" s="114"/>
      <c r="E14" s="115"/>
      <c r="F14" s="89" t="s">
        <v>598</v>
      </c>
      <c r="G14" s="32" t="s">
        <v>507</v>
      </c>
    </row>
    <row r="16" spans="1:7" ht="15.75" customHeight="1" x14ac:dyDescent="0.25">
      <c r="A16" s="121" t="s">
        <v>796</v>
      </c>
      <c r="B16" s="121"/>
      <c r="C16" s="120" t="s">
        <v>518</v>
      </c>
      <c r="D16" s="120"/>
      <c r="E16" s="120"/>
      <c r="F16" s="120"/>
      <c r="G16" s="120"/>
    </row>
    <row r="17" spans="1:7" ht="15.75" customHeight="1" x14ac:dyDescent="0.25">
      <c r="A17" s="121"/>
      <c r="B17" s="121"/>
      <c r="C17" s="120"/>
      <c r="D17" s="120"/>
      <c r="E17" s="120"/>
      <c r="F17" s="120"/>
      <c r="G17" s="120"/>
    </row>
    <row r="18" spans="1:7" ht="15.75" customHeight="1" x14ac:dyDescent="0.25">
      <c r="A18" s="121" t="s">
        <v>797</v>
      </c>
      <c r="B18" s="121"/>
      <c r="C18" s="120" t="s">
        <v>519</v>
      </c>
      <c r="D18" s="120"/>
      <c r="E18" s="120"/>
      <c r="F18" s="120"/>
      <c r="G18" s="120"/>
    </row>
    <row r="19" spans="1:7" ht="15.75" customHeight="1" x14ac:dyDescent="0.25">
      <c r="A19" s="121"/>
      <c r="B19" s="121"/>
      <c r="C19" s="120"/>
      <c r="D19" s="120"/>
      <c r="E19" s="120"/>
      <c r="F19" s="120"/>
      <c r="G19" s="120"/>
    </row>
    <row r="20" spans="1:7" ht="15.75" customHeight="1" x14ac:dyDescent="0.25">
      <c r="A20" s="121" t="s">
        <v>798</v>
      </c>
      <c r="B20" s="121"/>
      <c r="C20" s="120" t="s">
        <v>520</v>
      </c>
      <c r="D20" s="120"/>
      <c r="E20" s="120"/>
      <c r="F20" s="120"/>
      <c r="G20" s="120"/>
    </row>
    <row r="21" spans="1:7" ht="15.75" customHeight="1" x14ac:dyDescent="0.25">
      <c r="A21" s="121"/>
      <c r="B21" s="121"/>
      <c r="C21" s="120"/>
      <c r="D21" s="120"/>
      <c r="E21" s="120"/>
      <c r="F21" s="120"/>
      <c r="G21" s="120"/>
    </row>
    <row r="22" spans="1:7" ht="15.75" customHeight="1" x14ac:dyDescent="0.25">
      <c r="A22" s="121" t="s">
        <v>799</v>
      </c>
      <c r="B22" s="121"/>
      <c r="C22" s="120" t="s">
        <v>521</v>
      </c>
      <c r="D22" s="120"/>
      <c r="E22" s="120"/>
      <c r="F22" s="120"/>
      <c r="G22" s="120"/>
    </row>
    <row r="23" spans="1:7" ht="15.75" customHeight="1" x14ac:dyDescent="0.25">
      <c r="A23" s="121"/>
      <c r="B23" s="121"/>
      <c r="C23" s="120"/>
      <c r="D23" s="120"/>
      <c r="E23" s="120"/>
      <c r="F23" s="120"/>
      <c r="G23" s="120"/>
    </row>
    <row r="24" spans="1:7" x14ac:dyDescent="0.25">
      <c r="A24" s="121"/>
      <c r="B24" s="121"/>
      <c r="C24" s="120"/>
      <c r="D24" s="120"/>
      <c r="E24" s="120"/>
      <c r="F24" s="120"/>
      <c r="G24" s="120"/>
    </row>
    <row r="25" spans="1:7" ht="15.75" x14ac:dyDescent="0.25">
      <c r="A25" s="78"/>
      <c r="B25" s="78"/>
      <c r="C25" s="79"/>
      <c r="D25" s="79"/>
      <c r="E25" s="79"/>
      <c r="F25" s="79"/>
      <c r="G25" s="79"/>
    </row>
    <row r="26" spans="1:7" x14ac:dyDescent="0.25">
      <c r="A26" s="82" t="s">
        <v>602</v>
      </c>
      <c r="B26" s="122" t="s">
        <v>608</v>
      </c>
      <c r="C26" s="122"/>
      <c r="D26" s="122"/>
      <c r="E26" s="122" t="s">
        <v>609</v>
      </c>
      <c r="F26" s="122"/>
      <c r="G26" s="82" t="s">
        <v>810</v>
      </c>
    </row>
    <row r="27" spans="1:7" x14ac:dyDescent="0.25">
      <c r="A27" s="95" t="s">
        <v>607</v>
      </c>
      <c r="B27" s="123"/>
      <c r="C27" s="124"/>
      <c r="D27" s="125"/>
      <c r="E27" s="126"/>
      <c r="F27" s="127"/>
      <c r="G27" s="83"/>
    </row>
    <row r="28" spans="1:7" ht="15" customHeight="1" x14ac:dyDescent="0.25"/>
    <row r="29" spans="1:7" ht="15" customHeight="1" x14ac:dyDescent="0.25"/>
    <row r="30" spans="1:7" ht="15" customHeight="1" x14ac:dyDescent="0.25">
      <c r="A30" s="80"/>
      <c r="B30" s="86"/>
      <c r="C30" s="86"/>
      <c r="D30" s="86"/>
      <c r="E30" s="87"/>
      <c r="F30" s="87"/>
      <c r="G30" s="81"/>
    </row>
    <row r="31" spans="1:7" ht="15" customHeight="1" x14ac:dyDescent="0.25">
      <c r="A31" s="80"/>
      <c r="B31" s="86"/>
      <c r="C31" s="86"/>
      <c r="D31" s="86"/>
      <c r="E31" s="87"/>
      <c r="F31" s="87"/>
      <c r="G31" s="81"/>
    </row>
    <row r="32" spans="1:7" ht="15" customHeight="1" x14ac:dyDescent="0.25">
      <c r="A32" s="80"/>
      <c r="B32" s="86"/>
      <c r="C32" s="86"/>
      <c r="D32" s="86"/>
      <c r="E32" s="87"/>
      <c r="F32" s="87"/>
      <c r="G32" s="81"/>
    </row>
    <row r="33" spans="1:7" ht="15" customHeight="1" x14ac:dyDescent="0.25">
      <c r="A33" s="80"/>
      <c r="B33" s="86"/>
      <c r="C33" s="86"/>
      <c r="D33" s="86"/>
      <c r="E33" s="87"/>
      <c r="F33" s="87"/>
      <c r="G33" s="81"/>
    </row>
    <row r="34" spans="1:7" ht="15" customHeight="1" x14ac:dyDescent="0.25">
      <c r="A34" s="80"/>
      <c r="B34" s="86"/>
      <c r="C34" s="86"/>
      <c r="D34" s="86"/>
      <c r="E34" s="87"/>
      <c r="F34" s="87"/>
      <c r="G34" s="81"/>
    </row>
    <row r="35" spans="1:7" ht="15" customHeight="1" x14ac:dyDescent="0.25">
      <c r="A35" s="80"/>
      <c r="B35" s="86"/>
      <c r="C35" s="86"/>
      <c r="D35" s="86"/>
      <c r="E35" s="87"/>
      <c r="F35" s="87"/>
      <c r="G35" s="81"/>
    </row>
    <row r="36" spans="1:7" ht="15" customHeight="1" x14ac:dyDescent="0.25">
      <c r="A36" s="80"/>
      <c r="B36" s="86"/>
      <c r="C36" s="86"/>
      <c r="D36" s="86"/>
      <c r="E36" s="87"/>
      <c r="F36" s="87"/>
      <c r="G36" s="81"/>
    </row>
    <row r="37" spans="1:7" ht="15" customHeight="1" x14ac:dyDescent="0.25">
      <c r="A37" s="80"/>
      <c r="B37" s="86"/>
      <c r="C37" s="86"/>
      <c r="D37" s="86"/>
      <c r="E37" s="87"/>
      <c r="F37" s="87"/>
      <c r="G37" s="81"/>
    </row>
    <row r="38" spans="1:7" ht="15" customHeight="1" x14ac:dyDescent="0.25">
      <c r="A38" s="80"/>
      <c r="B38" s="86"/>
      <c r="C38" s="86"/>
      <c r="D38" s="86"/>
      <c r="E38" s="87"/>
      <c r="F38" s="87"/>
      <c r="G38" s="81"/>
    </row>
    <row r="39" spans="1:7" ht="15" customHeight="1" x14ac:dyDescent="0.25">
      <c r="A39" s="80"/>
      <c r="B39" s="86"/>
      <c r="C39" s="86"/>
      <c r="D39" s="86"/>
      <c r="E39" s="87"/>
      <c r="F39" s="87"/>
      <c r="G39" s="81"/>
    </row>
    <row r="40" spans="1:7" ht="15" customHeight="1" x14ac:dyDescent="0.25">
      <c r="A40" s="80"/>
      <c r="B40" s="86"/>
      <c r="C40" s="86"/>
      <c r="D40" s="86"/>
      <c r="E40" s="87"/>
      <c r="F40" s="87"/>
      <c r="G40" s="81"/>
    </row>
    <row r="41" spans="1:7" ht="15" customHeight="1" x14ac:dyDescent="0.25">
      <c r="A41" s="80"/>
      <c r="B41" s="86"/>
      <c r="C41" s="86"/>
      <c r="D41" s="86"/>
      <c r="E41" s="87"/>
      <c r="F41" s="87"/>
      <c r="G41" s="81"/>
    </row>
    <row r="42" spans="1:7" ht="15" customHeight="1" x14ac:dyDescent="0.25">
      <c r="A42" s="80"/>
      <c r="B42" s="86"/>
      <c r="C42" s="86"/>
      <c r="D42" s="86"/>
      <c r="E42" s="87"/>
      <c r="F42" s="87"/>
      <c r="G42" s="81"/>
    </row>
    <row r="43" spans="1:7" ht="15" customHeight="1" x14ac:dyDescent="0.25">
      <c r="A43" s="80"/>
      <c r="B43" s="86"/>
      <c r="C43" s="86"/>
      <c r="D43" s="86"/>
      <c r="E43" s="87"/>
      <c r="F43" s="87"/>
      <c r="G43" s="81"/>
    </row>
    <row r="44" spans="1:7" ht="15" customHeight="1" x14ac:dyDescent="0.25">
      <c r="A44" s="80"/>
      <c r="B44" s="86"/>
      <c r="C44" s="86"/>
      <c r="D44" s="86"/>
      <c r="E44" s="87"/>
      <c r="F44" s="87"/>
      <c r="G44" s="81"/>
    </row>
    <row r="45" spans="1:7" ht="15" customHeight="1" x14ac:dyDescent="0.25">
      <c r="A45" s="80"/>
      <c r="B45" s="86"/>
      <c r="C45" s="86"/>
      <c r="D45" s="86"/>
      <c r="E45" s="87"/>
      <c r="F45" s="87"/>
      <c r="G45" s="81"/>
    </row>
    <row r="46" spans="1:7" ht="15" customHeight="1" x14ac:dyDescent="0.25">
      <c r="A46" s="80"/>
      <c r="B46" s="86"/>
      <c r="C46" s="86"/>
      <c r="D46" s="86"/>
      <c r="E46" s="87"/>
      <c r="F46" s="87"/>
      <c r="G46" s="81"/>
    </row>
    <row r="47" spans="1:7" ht="15" customHeight="1" x14ac:dyDescent="0.25">
      <c r="A47" s="80"/>
      <c r="B47" s="86"/>
      <c r="C47" s="86"/>
      <c r="D47" s="86"/>
      <c r="E47" s="87"/>
      <c r="F47" s="87"/>
      <c r="G47" s="81"/>
    </row>
    <row r="48" spans="1:7" ht="15" customHeight="1" x14ac:dyDescent="0.25">
      <c r="A48" s="80"/>
      <c r="B48" s="86"/>
      <c r="C48" s="86"/>
      <c r="D48" s="86"/>
      <c r="E48" s="87"/>
      <c r="F48" s="87"/>
      <c r="G48" s="81"/>
    </row>
    <row r="49" ht="15" customHeight="1" x14ac:dyDescent="0.25"/>
    <row r="50" ht="15" customHeight="1" x14ac:dyDescent="0.25"/>
  </sheetData>
  <mergeCells count="25">
    <mergeCell ref="B26:D26"/>
    <mergeCell ref="E26:F26"/>
    <mergeCell ref="B27:D27"/>
    <mergeCell ref="E27:F27"/>
    <mergeCell ref="A1:D4"/>
    <mergeCell ref="E1:G4"/>
    <mergeCell ref="F10:G10"/>
    <mergeCell ref="C10:E10"/>
    <mergeCell ref="A10:B10"/>
    <mergeCell ref="C6:G6"/>
    <mergeCell ref="C7:G7"/>
    <mergeCell ref="C22:G24"/>
    <mergeCell ref="A22:B24"/>
    <mergeCell ref="A11:B12"/>
    <mergeCell ref="C11:E12"/>
    <mergeCell ref="C13:E13"/>
    <mergeCell ref="C14:E14"/>
    <mergeCell ref="A13:B13"/>
    <mergeCell ref="A14:B14"/>
    <mergeCell ref="C20:G21"/>
    <mergeCell ref="A20:B21"/>
    <mergeCell ref="A16:B17"/>
    <mergeCell ref="A18:B19"/>
    <mergeCell ref="C16:G17"/>
    <mergeCell ref="C18:G19"/>
  </mergeCells>
  <pageMargins left="0.31496062992125984" right="0.31496062992125984" top="0.78740157480314965" bottom="0.78740157480314965" header="0.31496062992125984" footer="0.31496062992125984"/>
  <pageSetup paperSize="9" orientation="portrait" r:id="rId1"/>
  <headerFooter>
    <oddFooter>&amp;LMade by bmlzeller&amp;RSeite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69129-1285-4CBF-8B49-44EDFCAF162F}">
  <sheetPr codeName="Tabelle5"/>
  <dimension ref="A1:B33"/>
  <sheetViews>
    <sheetView zoomScale="70" zoomScaleNormal="70" workbookViewId="0">
      <selection activeCell="D8" sqref="D8"/>
    </sheetView>
  </sheetViews>
  <sheetFormatPr baseColWidth="10" defaultRowHeight="15" x14ac:dyDescent="0.25"/>
  <cols>
    <col min="2" max="2" width="28.140625" customWidth="1"/>
  </cols>
  <sheetData>
    <row r="1" spans="1:2" ht="21" x14ac:dyDescent="0.35">
      <c r="A1" s="29" t="s">
        <v>523</v>
      </c>
      <c r="B1" s="29" t="s">
        <v>524</v>
      </c>
    </row>
    <row r="2" spans="1:2" ht="21" x14ac:dyDescent="0.35">
      <c r="A2" s="29" t="s">
        <v>525</v>
      </c>
      <c r="B2" s="29" t="s">
        <v>526</v>
      </c>
    </row>
    <row r="3" spans="1:2" ht="21" x14ac:dyDescent="0.35">
      <c r="A3" s="29" t="s">
        <v>527</v>
      </c>
      <c r="B3" s="29" t="s">
        <v>528</v>
      </c>
    </row>
    <row r="4" spans="1:2" ht="21" x14ac:dyDescent="0.35">
      <c r="A4" s="29" t="s">
        <v>529</v>
      </c>
      <c r="B4" s="29" t="s">
        <v>530</v>
      </c>
    </row>
    <row r="5" spans="1:2" ht="21" x14ac:dyDescent="0.35">
      <c r="A5" s="29" t="s">
        <v>531</v>
      </c>
      <c r="B5" s="29" t="s">
        <v>532</v>
      </c>
    </row>
    <row r="6" spans="1:2" ht="21" x14ac:dyDescent="0.35">
      <c r="A6" s="29" t="s">
        <v>533</v>
      </c>
      <c r="B6" s="29" t="s">
        <v>534</v>
      </c>
    </row>
    <row r="7" spans="1:2" ht="21" x14ac:dyDescent="0.35">
      <c r="A7" s="29" t="s">
        <v>535</v>
      </c>
      <c r="B7" s="29" t="s">
        <v>536</v>
      </c>
    </row>
    <row r="8" spans="1:2" ht="21" x14ac:dyDescent="0.35">
      <c r="A8" s="29" t="s">
        <v>537</v>
      </c>
      <c r="B8" s="29" t="s">
        <v>538</v>
      </c>
    </row>
    <row r="9" spans="1:2" ht="21" x14ac:dyDescent="0.35">
      <c r="A9" s="29" t="s">
        <v>539</v>
      </c>
      <c r="B9" s="29" t="s">
        <v>540</v>
      </c>
    </row>
    <row r="10" spans="1:2" ht="21" x14ac:dyDescent="0.35">
      <c r="A10" s="29" t="s">
        <v>541</v>
      </c>
      <c r="B10" s="29" t="s">
        <v>542</v>
      </c>
    </row>
    <row r="11" spans="1:2" ht="21" x14ac:dyDescent="0.35">
      <c r="A11" s="29" t="s">
        <v>543</v>
      </c>
      <c r="B11" s="29" t="s">
        <v>544</v>
      </c>
    </row>
    <row r="12" spans="1:2" ht="21" x14ac:dyDescent="0.35">
      <c r="A12" s="29" t="s">
        <v>545</v>
      </c>
      <c r="B12" s="29" t="s">
        <v>546</v>
      </c>
    </row>
    <row r="13" spans="1:2" ht="21" x14ac:dyDescent="0.35">
      <c r="A13" s="29" t="s">
        <v>547</v>
      </c>
      <c r="B13" s="29" t="s">
        <v>548</v>
      </c>
    </row>
    <row r="14" spans="1:2" ht="21" x14ac:dyDescent="0.35">
      <c r="A14" s="29" t="s">
        <v>549</v>
      </c>
      <c r="B14" s="29" t="s">
        <v>550</v>
      </c>
    </row>
    <row r="15" spans="1:2" ht="21" x14ac:dyDescent="0.35">
      <c r="A15" s="29" t="s">
        <v>551</v>
      </c>
      <c r="B15" s="29" t="s">
        <v>552</v>
      </c>
    </row>
    <row r="16" spans="1:2" ht="21" x14ac:dyDescent="0.35">
      <c r="A16" s="29" t="s">
        <v>553</v>
      </c>
      <c r="B16" s="29" t="s">
        <v>554</v>
      </c>
    </row>
    <row r="17" spans="1:2" ht="21" x14ac:dyDescent="0.35">
      <c r="A17" s="29" t="s">
        <v>555</v>
      </c>
      <c r="B17" s="29" t="s">
        <v>556</v>
      </c>
    </row>
    <row r="18" spans="1:2" ht="21" x14ac:dyDescent="0.35">
      <c r="A18" s="29" t="s">
        <v>557</v>
      </c>
      <c r="B18" s="29" t="s">
        <v>558</v>
      </c>
    </row>
    <row r="19" spans="1:2" ht="21" x14ac:dyDescent="0.35">
      <c r="A19" s="29" t="s">
        <v>559</v>
      </c>
      <c r="B19" s="29" t="s">
        <v>560</v>
      </c>
    </row>
    <row r="20" spans="1:2" ht="21" x14ac:dyDescent="0.35">
      <c r="A20" s="29" t="s">
        <v>561</v>
      </c>
      <c r="B20" s="29" t="s">
        <v>562</v>
      </c>
    </row>
    <row r="21" spans="1:2" ht="21" x14ac:dyDescent="0.35">
      <c r="A21" s="29" t="s">
        <v>563</v>
      </c>
      <c r="B21" s="29" t="s">
        <v>564</v>
      </c>
    </row>
    <row r="22" spans="1:2" ht="21" x14ac:dyDescent="0.35">
      <c r="A22" s="29" t="s">
        <v>565</v>
      </c>
      <c r="B22" s="29" t="s">
        <v>566</v>
      </c>
    </row>
    <row r="23" spans="1:2" ht="21" x14ac:dyDescent="0.35">
      <c r="A23" s="29" t="s">
        <v>567</v>
      </c>
      <c r="B23" s="29" t="s">
        <v>568</v>
      </c>
    </row>
    <row r="24" spans="1:2" ht="21" x14ac:dyDescent="0.35">
      <c r="A24" s="29" t="s">
        <v>569</v>
      </c>
      <c r="B24" s="29" t="s">
        <v>570</v>
      </c>
    </row>
    <row r="25" spans="1:2" ht="21" x14ac:dyDescent="0.35">
      <c r="A25" s="29" t="s">
        <v>571</v>
      </c>
      <c r="B25" s="29" t="s">
        <v>572</v>
      </c>
    </row>
    <row r="26" spans="1:2" ht="21" x14ac:dyDescent="0.35">
      <c r="A26" s="29" t="s">
        <v>573</v>
      </c>
      <c r="B26" s="29" t="s">
        <v>574</v>
      </c>
    </row>
    <row r="27" spans="1:2" ht="21" x14ac:dyDescent="0.35">
      <c r="A27" s="29" t="s">
        <v>575</v>
      </c>
      <c r="B27" s="29" t="s">
        <v>576</v>
      </c>
    </row>
    <row r="28" spans="1:2" ht="21" x14ac:dyDescent="0.35">
      <c r="A28" s="29" t="s">
        <v>577</v>
      </c>
      <c r="B28" s="29" t="s">
        <v>578</v>
      </c>
    </row>
    <row r="29" spans="1:2" ht="21" x14ac:dyDescent="0.35">
      <c r="A29" s="29" t="s">
        <v>579</v>
      </c>
      <c r="B29" s="29" t="s">
        <v>580</v>
      </c>
    </row>
    <row r="30" spans="1:2" ht="21" x14ac:dyDescent="0.35">
      <c r="A30" s="29" t="s">
        <v>581</v>
      </c>
      <c r="B30" s="29" t="s">
        <v>582</v>
      </c>
    </row>
    <row r="31" spans="1:2" ht="21" x14ac:dyDescent="0.35">
      <c r="A31" s="29" t="s">
        <v>583</v>
      </c>
      <c r="B31" s="29" t="s">
        <v>584</v>
      </c>
    </row>
    <row r="32" spans="1:2" ht="21" x14ac:dyDescent="0.35">
      <c r="A32" s="29" t="s">
        <v>585</v>
      </c>
      <c r="B32" s="29" t="s">
        <v>586</v>
      </c>
    </row>
    <row r="33" spans="1:2" ht="21" x14ac:dyDescent="0.35">
      <c r="A33" s="29" t="s">
        <v>587</v>
      </c>
      <c r="B33" s="29" t="s">
        <v>588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EC15-B309-47E4-95A2-CA8FFF0565AE}">
  <sheetPr codeName="Tabelle6"/>
  <dimension ref="A1:BM2"/>
  <sheetViews>
    <sheetView topLeftCell="AC1" workbookViewId="0">
      <selection activeCell="BI2" sqref="BG2:BI2"/>
    </sheetView>
  </sheetViews>
  <sheetFormatPr baseColWidth="10" defaultRowHeight="15" x14ac:dyDescent="0.25"/>
  <cols>
    <col min="1" max="1" width="13.28515625" style="30" customWidth="1"/>
    <col min="2" max="2" width="17.140625" style="30" customWidth="1"/>
    <col min="3" max="3" width="18.7109375" style="30" customWidth="1"/>
    <col min="4" max="4" width="17.7109375" style="30" customWidth="1"/>
    <col min="5" max="5" width="17.5703125" style="30" customWidth="1"/>
    <col min="6" max="6" width="25.140625" style="30" customWidth="1"/>
    <col min="7" max="7" width="15.5703125" style="30" customWidth="1"/>
    <col min="8" max="8" width="18.140625" style="30" customWidth="1"/>
    <col min="9" max="9" width="20.28515625" style="30" customWidth="1"/>
    <col min="10" max="10" width="21.85546875" style="30" customWidth="1"/>
    <col min="11" max="11" width="19.5703125" style="30" customWidth="1"/>
    <col min="12" max="12" width="18.140625" style="30" customWidth="1"/>
    <col min="13" max="13" width="21.85546875" style="30" customWidth="1"/>
    <col min="14" max="14" width="20" style="30" customWidth="1"/>
    <col min="15" max="15" width="18.140625" style="30" customWidth="1"/>
    <col min="16" max="16" width="20.140625" style="30" customWidth="1"/>
    <col min="17" max="17" width="20.28515625" style="30" customWidth="1"/>
    <col min="18" max="18" width="22.42578125" style="30" customWidth="1"/>
    <col min="19" max="19" width="21" style="30" customWidth="1"/>
    <col min="20" max="20" width="21.7109375" style="30" customWidth="1"/>
    <col min="21" max="21" width="16.42578125" style="30" customWidth="1"/>
    <col min="22" max="22" width="15.28515625" style="30" customWidth="1"/>
    <col min="23" max="23" width="13.42578125" style="30" customWidth="1"/>
    <col min="24" max="24" width="19" style="30" customWidth="1"/>
    <col min="25" max="25" width="14.85546875" style="30" customWidth="1"/>
    <col min="26" max="26" width="16.42578125" style="30" customWidth="1"/>
    <col min="27" max="27" width="17.5703125" style="30" customWidth="1"/>
    <col min="28" max="28" width="18.28515625" style="30" customWidth="1"/>
    <col min="29" max="29" width="19.140625" style="30" customWidth="1"/>
    <col min="30" max="30" width="21.42578125" style="30" customWidth="1"/>
    <col min="31" max="31" width="20.42578125" style="30" customWidth="1"/>
    <col min="32" max="32" width="19" style="30" customWidth="1"/>
    <col min="33" max="33" width="16" style="30" customWidth="1"/>
    <col min="34" max="34" width="15.5703125" style="30" customWidth="1"/>
    <col min="35" max="35" width="21" style="30" customWidth="1"/>
    <col min="36" max="36" width="15.28515625" style="30" customWidth="1"/>
    <col min="37" max="37" width="17.7109375" style="30" customWidth="1"/>
    <col min="38" max="38" width="16" style="30" customWidth="1"/>
    <col min="39" max="39" width="17.7109375" style="30" customWidth="1"/>
    <col min="40" max="40" width="14" style="30" customWidth="1"/>
    <col min="41" max="41" width="15" style="30" customWidth="1"/>
    <col min="42" max="42" width="13.5703125" style="30" customWidth="1"/>
    <col min="43" max="43" width="14.7109375" style="30" customWidth="1"/>
    <col min="44" max="44" width="27.28515625" style="30" customWidth="1"/>
    <col min="45" max="45" width="18.140625" style="30" customWidth="1"/>
    <col min="46" max="46" width="23.5703125" style="30" customWidth="1"/>
    <col min="47" max="47" width="25" style="30" customWidth="1"/>
    <col min="48" max="48" width="23.5703125" style="30" customWidth="1"/>
    <col min="49" max="49" width="22.42578125" style="30" customWidth="1"/>
    <col min="50" max="50" width="17.28515625" style="30" customWidth="1"/>
    <col min="51" max="51" width="21.5703125" style="30" customWidth="1"/>
    <col min="52" max="52" width="17.85546875" style="30" customWidth="1"/>
    <col min="53" max="53" width="33.7109375" style="30" customWidth="1"/>
    <col min="54" max="54" width="20.140625" style="30" customWidth="1"/>
    <col min="55" max="55" width="24.5703125" style="30" customWidth="1"/>
    <col min="56" max="56" width="23.5703125" style="30" customWidth="1"/>
    <col min="57" max="57" width="21.42578125" style="30" customWidth="1"/>
    <col min="58" max="58" width="30" style="30" customWidth="1"/>
    <col min="59" max="59" width="27" style="30" customWidth="1"/>
    <col min="60" max="60" width="29.140625" style="30" customWidth="1"/>
    <col min="61" max="61" width="23.28515625" customWidth="1"/>
    <col min="62" max="62" width="23.140625" customWidth="1"/>
    <col min="63" max="63" width="21.42578125" customWidth="1"/>
    <col min="64" max="64" width="23.42578125" bestFit="1" customWidth="1"/>
    <col min="65" max="65" width="25.28515625" customWidth="1"/>
  </cols>
  <sheetData>
    <row r="1" spans="1:65" ht="15.75" thickBo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  <c r="AZ1" s="30">
        <v>52</v>
      </c>
      <c r="BA1" s="30">
        <v>53</v>
      </c>
      <c r="BB1" s="30">
        <v>54</v>
      </c>
      <c r="BC1" s="30">
        <v>55</v>
      </c>
      <c r="BD1" s="30">
        <v>56</v>
      </c>
      <c r="BE1" s="30">
        <v>57</v>
      </c>
      <c r="BF1" s="30">
        <v>58</v>
      </c>
      <c r="BG1" s="30">
        <v>59</v>
      </c>
      <c r="BH1" s="30">
        <v>60</v>
      </c>
      <c r="BI1" s="30">
        <v>61</v>
      </c>
      <c r="BJ1" s="30">
        <v>62</v>
      </c>
      <c r="BK1" s="30">
        <v>63</v>
      </c>
      <c r="BL1" s="30">
        <v>64</v>
      </c>
      <c r="BM1" s="30">
        <v>65</v>
      </c>
    </row>
    <row r="2" spans="1:65" ht="15.75" thickBot="1" x14ac:dyDescent="0.3">
      <c r="A2" s="17" t="s">
        <v>0</v>
      </c>
      <c r="B2" s="18" t="s">
        <v>1</v>
      </c>
      <c r="C2" s="18" t="s">
        <v>2</v>
      </c>
      <c r="D2" s="18" t="s">
        <v>3</v>
      </c>
      <c r="E2" s="18" t="s">
        <v>4</v>
      </c>
      <c r="F2" s="18" t="s">
        <v>5</v>
      </c>
      <c r="G2" s="18" t="s">
        <v>6</v>
      </c>
      <c r="H2" s="18" t="s">
        <v>7</v>
      </c>
      <c r="I2" s="18" t="s">
        <v>8</v>
      </c>
      <c r="J2" s="18" t="s">
        <v>9</v>
      </c>
      <c r="K2" s="18" t="s">
        <v>10</v>
      </c>
      <c r="L2" s="18" t="s">
        <v>11</v>
      </c>
      <c r="M2" s="18" t="s">
        <v>12</v>
      </c>
      <c r="N2" s="18" t="s">
        <v>13</v>
      </c>
      <c r="O2" s="18" t="s">
        <v>14</v>
      </c>
      <c r="P2" s="18" t="s">
        <v>15</v>
      </c>
      <c r="Q2" s="18" t="s">
        <v>16</v>
      </c>
      <c r="R2" s="18" t="s">
        <v>17</v>
      </c>
      <c r="S2" s="18" t="s">
        <v>18</v>
      </c>
      <c r="T2" s="18" t="s">
        <v>19</v>
      </c>
      <c r="U2" s="18" t="s">
        <v>20</v>
      </c>
      <c r="V2" s="18" t="s">
        <v>21</v>
      </c>
      <c r="W2" s="18" t="s">
        <v>22</v>
      </c>
      <c r="X2" s="18" t="s">
        <v>23</v>
      </c>
      <c r="Y2" s="18" t="s">
        <v>24</v>
      </c>
      <c r="Z2" s="18" t="s">
        <v>25</v>
      </c>
      <c r="AA2" s="18" t="s">
        <v>26</v>
      </c>
      <c r="AB2" s="18" t="s">
        <v>27</v>
      </c>
      <c r="AC2" s="18" t="s">
        <v>28</v>
      </c>
      <c r="AD2" s="18" t="s">
        <v>29</v>
      </c>
      <c r="AE2" s="18" t="s">
        <v>30</v>
      </c>
      <c r="AF2" s="18" t="s">
        <v>31</v>
      </c>
      <c r="AG2" s="18" t="s">
        <v>32</v>
      </c>
      <c r="AH2" s="18" t="s">
        <v>33</v>
      </c>
      <c r="AI2" s="18" t="s">
        <v>34</v>
      </c>
      <c r="AJ2" s="18" t="s">
        <v>35</v>
      </c>
      <c r="AK2" s="18" t="s">
        <v>36</v>
      </c>
      <c r="AL2" s="18" t="s">
        <v>37</v>
      </c>
      <c r="AM2" s="18" t="s">
        <v>38</v>
      </c>
      <c r="AN2" s="18" t="s">
        <v>39</v>
      </c>
      <c r="AO2" s="18" t="s">
        <v>40</v>
      </c>
      <c r="AP2" s="18" t="s">
        <v>41</v>
      </c>
      <c r="AQ2" s="18" t="s">
        <v>42</v>
      </c>
      <c r="AR2" s="18" t="s">
        <v>43</v>
      </c>
      <c r="AS2" s="18" t="s">
        <v>44</v>
      </c>
      <c r="AT2" s="18" t="s">
        <v>45</v>
      </c>
      <c r="AU2" s="18" t="s">
        <v>46</v>
      </c>
      <c r="AV2" s="18" t="s">
        <v>47</v>
      </c>
      <c r="AW2" s="18" t="s">
        <v>48</v>
      </c>
      <c r="AX2" s="18" t="s">
        <v>49</v>
      </c>
      <c r="AY2" s="18" t="s">
        <v>50</v>
      </c>
      <c r="AZ2" s="18" t="s">
        <v>51</v>
      </c>
      <c r="BA2" s="18" t="s">
        <v>52</v>
      </c>
      <c r="BB2" s="18" t="s">
        <v>53</v>
      </c>
      <c r="BC2" s="18" t="s">
        <v>54</v>
      </c>
      <c r="BD2" s="18" t="s">
        <v>55</v>
      </c>
      <c r="BE2" s="91" t="s">
        <v>56</v>
      </c>
      <c r="BF2" s="94" t="s">
        <v>610</v>
      </c>
      <c r="BG2" s="94" t="s">
        <v>611</v>
      </c>
      <c r="BH2" s="94" t="s">
        <v>612</v>
      </c>
      <c r="BI2" s="94" t="s">
        <v>613</v>
      </c>
      <c r="BJ2" s="93" t="s">
        <v>614</v>
      </c>
      <c r="BK2" s="92" t="s">
        <v>57</v>
      </c>
      <c r="BL2" s="18" t="s">
        <v>58</v>
      </c>
      <c r="BM2" s="19" t="s">
        <v>59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1:BH28"/>
  <sheetViews>
    <sheetView zoomScaleNormal="100" workbookViewId="0">
      <pane xSplit="5" ySplit="1" topLeftCell="L2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baseColWidth="10" defaultRowHeight="15" outlineLevelRow="1" x14ac:dyDescent="0.25"/>
  <cols>
    <col min="1" max="1" width="15.42578125" style="1" customWidth="1"/>
    <col min="2" max="2" width="21.42578125" style="1" customWidth="1"/>
    <col min="3" max="3" width="16.5703125" style="2" customWidth="1"/>
    <col min="4" max="4" width="16.85546875" style="3" bestFit="1" customWidth="1"/>
    <col min="5" max="5" width="18" style="4" bestFit="1" customWidth="1"/>
    <col min="6" max="6" width="20.28515625" style="1" customWidth="1"/>
    <col min="7" max="7" width="16.85546875" style="2" customWidth="1"/>
    <col min="8" max="9" width="10.7109375" style="1" customWidth="1"/>
    <col min="10" max="10" width="14.5703125" style="2" customWidth="1"/>
    <col min="11" max="11" width="14.7109375" style="2" customWidth="1"/>
    <col min="12" max="12" width="16.28515625" style="1" bestFit="1" customWidth="1"/>
    <col min="13" max="13" width="20.7109375" style="1" bestFit="1" customWidth="1"/>
    <col min="14" max="14" width="17.7109375" style="1" bestFit="1" customWidth="1"/>
    <col min="15" max="15" width="14.140625" style="1" bestFit="1" customWidth="1"/>
    <col min="16" max="16" width="21" style="5" bestFit="1" customWidth="1"/>
    <col min="17" max="17" width="19.5703125" style="6" bestFit="1" customWidth="1"/>
    <col min="18" max="18" width="24.28515625" style="5" bestFit="1" customWidth="1"/>
    <col min="19" max="19" width="32" style="1" bestFit="1" customWidth="1"/>
    <col min="20" max="20" width="36" style="1" bestFit="1" customWidth="1"/>
    <col min="21" max="21" width="12.140625" style="1" bestFit="1" customWidth="1"/>
    <col min="22" max="22" width="12" style="1" bestFit="1" customWidth="1"/>
    <col min="23" max="23" width="13.28515625" style="1" bestFit="1" customWidth="1"/>
    <col min="24" max="24" width="20.7109375" style="1" bestFit="1" customWidth="1"/>
    <col min="25" max="25" width="17.5703125" style="2" customWidth="1"/>
    <col min="26" max="26" width="19.28515625" style="1" customWidth="1"/>
    <col min="27" max="27" width="18.85546875" style="2" customWidth="1"/>
    <col min="28" max="28" width="10.7109375" style="1" customWidth="1"/>
    <col min="29" max="29" width="14" style="2" customWidth="1"/>
    <col min="30" max="30" width="16.140625" style="2" customWidth="1"/>
    <col min="31" max="31" width="10.7109375" style="2" customWidth="1"/>
    <col min="32" max="32" width="16.28515625" style="5" bestFit="1" customWidth="1"/>
    <col min="33" max="33" width="16" style="5" bestFit="1" customWidth="1"/>
    <col min="34" max="34" width="12.42578125" style="1" bestFit="1" customWidth="1"/>
    <col min="35" max="35" width="21.28515625" style="3" bestFit="1" customWidth="1"/>
    <col min="36" max="36" width="69.85546875" style="1" customWidth="1"/>
    <col min="37" max="37" width="34.140625" style="1" bestFit="1" customWidth="1"/>
    <col min="38" max="38" width="23" style="1" bestFit="1" customWidth="1"/>
    <col min="39" max="39" width="14.28515625" style="1" bestFit="1" customWidth="1"/>
    <col min="40" max="40" width="15.28515625" style="1" bestFit="1" customWidth="1"/>
    <col min="41" max="41" width="85.85546875" style="1" customWidth="1"/>
    <col min="42" max="42" width="89.28515625" style="1" customWidth="1"/>
    <col min="43" max="43" width="97.42578125" style="1" bestFit="1" customWidth="1"/>
    <col min="44" max="44" width="32.42578125" style="1" bestFit="1" customWidth="1"/>
    <col min="45" max="45" width="119.5703125" style="1" customWidth="1"/>
    <col min="46" max="46" width="64.5703125" style="1" customWidth="1"/>
    <col min="47" max="47" width="91.28515625" style="1" customWidth="1"/>
    <col min="48" max="48" width="100.85546875" style="1" customWidth="1"/>
    <col min="49" max="49" width="58.85546875" style="1" customWidth="1"/>
    <col min="50" max="50" width="10.7109375" style="1" customWidth="1"/>
    <col min="51" max="51" width="10.7109375" style="2" customWidth="1"/>
    <col min="52" max="52" width="84.42578125" style="1" customWidth="1"/>
    <col min="53" max="53" width="25.140625" style="3" customWidth="1"/>
    <col min="54" max="54" width="22" style="3" customWidth="1"/>
    <col min="55" max="55" width="21.85546875" style="3" customWidth="1"/>
    <col min="56" max="56" width="23.7109375" style="3" customWidth="1"/>
    <col min="57" max="57" width="10.7109375" style="3" customWidth="1"/>
    <col min="58" max="58" width="19.85546875" style="1" customWidth="1"/>
    <col min="59" max="59" width="20.5703125" style="1" customWidth="1"/>
    <col min="60" max="60" width="30.7109375" style="1" customWidth="1"/>
  </cols>
  <sheetData>
    <row r="1" spans="1:60" ht="15.75" thickBot="1" x14ac:dyDescent="0.3">
      <c r="A1" s="17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24</v>
      </c>
      <c r="Z1" s="18" t="s">
        <v>25</v>
      </c>
      <c r="AA1" s="18" t="s">
        <v>26</v>
      </c>
      <c r="AB1" s="18" t="s">
        <v>27</v>
      </c>
      <c r="AC1" s="18" t="s">
        <v>28</v>
      </c>
      <c r="AD1" s="18" t="s">
        <v>29</v>
      </c>
      <c r="AE1" s="18" t="s">
        <v>30</v>
      </c>
      <c r="AF1" s="18" t="s">
        <v>31</v>
      </c>
      <c r="AG1" s="18" t="s">
        <v>32</v>
      </c>
      <c r="AH1" s="18" t="s">
        <v>33</v>
      </c>
      <c r="AI1" s="18" t="s">
        <v>34</v>
      </c>
      <c r="AJ1" s="18" t="s">
        <v>35</v>
      </c>
      <c r="AK1" s="18" t="s">
        <v>36</v>
      </c>
      <c r="AL1" s="18" t="s">
        <v>37</v>
      </c>
      <c r="AM1" s="18" t="s">
        <v>38</v>
      </c>
      <c r="AN1" s="18" t="s">
        <v>39</v>
      </c>
      <c r="AO1" s="18" t="s">
        <v>40</v>
      </c>
      <c r="AP1" s="18" t="s">
        <v>41</v>
      </c>
      <c r="AQ1" s="18" t="s">
        <v>42</v>
      </c>
      <c r="AR1" s="18" t="s">
        <v>43</v>
      </c>
      <c r="AS1" s="18" t="s">
        <v>44</v>
      </c>
      <c r="AT1" s="18" t="s">
        <v>45</v>
      </c>
      <c r="AU1" s="18" t="s">
        <v>46</v>
      </c>
      <c r="AV1" s="18" t="s">
        <v>47</v>
      </c>
      <c r="AW1" s="18" t="s">
        <v>48</v>
      </c>
      <c r="AX1" s="18" t="s">
        <v>49</v>
      </c>
      <c r="AY1" s="18" t="s">
        <v>50</v>
      </c>
      <c r="AZ1" s="18" t="s">
        <v>51</v>
      </c>
      <c r="BA1" s="18" t="s">
        <v>52</v>
      </c>
      <c r="BB1" s="18" t="s">
        <v>53</v>
      </c>
      <c r="BC1" s="18" t="s">
        <v>54</v>
      </c>
      <c r="BD1" s="18" t="s">
        <v>55</v>
      </c>
      <c r="BE1" s="18" t="s">
        <v>56</v>
      </c>
      <c r="BF1" s="18" t="s">
        <v>57</v>
      </c>
      <c r="BG1" s="18" t="s">
        <v>58</v>
      </c>
      <c r="BH1" s="19" t="s">
        <v>59</v>
      </c>
    </row>
    <row r="2" spans="1:60" s="12" customFormat="1" x14ac:dyDescent="0.25">
      <c r="A2" s="13" t="s">
        <v>128</v>
      </c>
      <c r="B2" s="13"/>
      <c r="C2" s="14" t="str">
        <f>CONCATENATE("Max=",TEXT(SUBTOTAL(4,C3:C4), "0"),"")</f>
        <v>Max=2</v>
      </c>
      <c r="D2" s="15" t="str">
        <f>CONCATENATE("∑=",IF(SUBTOTAL(9,D3:D4)=TRUNC(SUBTOTAL(9,D3:D4)),TEXT(SUBTOTAL(9,D3:D4), "0"),TEXT(SUBTOTAL(9,D3:D4), "#,##")),"")</f>
        <v>∑=2813,84</v>
      </c>
      <c r="E2" s="16" t="str">
        <f>CONCATENATE("∑=",IF(SUBTOTAL(9,E3:E4)=TRUNC(SUBTOTAL(9,E3:E4)),TEXT(SUBTOTAL(9,E3:E4), "0"),TEXT(SUBTOTAL(9,E3:E4), "#,##")),"")</f>
        <v>∑=19,03</v>
      </c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</row>
    <row r="3" spans="1:60" ht="157.5" customHeight="1" outlineLevel="1" x14ac:dyDescent="0.25">
      <c r="A3" s="1" t="s">
        <v>129</v>
      </c>
      <c r="B3" s="1" t="s">
        <v>130</v>
      </c>
      <c r="C3" s="28">
        <v>1</v>
      </c>
      <c r="D3" s="26">
        <v>872.44</v>
      </c>
      <c r="E3" s="27">
        <v>5.8339999999999996</v>
      </c>
      <c r="F3" s="1" t="s">
        <v>124</v>
      </c>
      <c r="G3" s="2" t="s">
        <v>61</v>
      </c>
      <c r="H3" s="1" t="s">
        <v>62</v>
      </c>
      <c r="I3" s="1" t="s">
        <v>81</v>
      </c>
      <c r="J3" s="2" t="s">
        <v>131</v>
      </c>
      <c r="K3" s="2" t="s">
        <v>83</v>
      </c>
      <c r="L3" s="1" t="s">
        <v>132</v>
      </c>
      <c r="M3" s="1" t="s">
        <v>133</v>
      </c>
      <c r="N3" s="1" t="s">
        <v>134</v>
      </c>
      <c r="O3" s="24" t="s">
        <v>84</v>
      </c>
      <c r="P3" s="5">
        <v>45754.333333333328</v>
      </c>
      <c r="Q3" s="6">
        <v>45754</v>
      </c>
      <c r="R3" s="5">
        <v>45754.333368055552</v>
      </c>
      <c r="S3" s="1" t="s">
        <v>66</v>
      </c>
      <c r="T3" s="1" t="s">
        <v>67</v>
      </c>
      <c r="U3" s="1" t="s">
        <v>68</v>
      </c>
      <c r="V3" s="1" t="s">
        <v>69</v>
      </c>
      <c r="W3" s="1" t="s">
        <v>70</v>
      </c>
      <c r="X3" s="1" t="s">
        <v>71</v>
      </c>
      <c r="Y3" s="2" t="s">
        <v>85</v>
      </c>
      <c r="Z3" s="1" t="s">
        <v>85</v>
      </c>
      <c r="AA3" s="2" t="s">
        <v>73</v>
      </c>
      <c r="AB3" s="1" t="s">
        <v>73</v>
      </c>
      <c r="AC3" s="2" t="s">
        <v>113</v>
      </c>
      <c r="AD3" s="2" t="s">
        <v>73</v>
      </c>
      <c r="AE3" s="2" t="s">
        <v>73</v>
      </c>
      <c r="AF3" s="5" t="s">
        <v>73</v>
      </c>
      <c r="AG3" s="5">
        <v>45754</v>
      </c>
      <c r="AH3" s="7" t="s">
        <v>84</v>
      </c>
      <c r="AI3" s="3">
        <v>41</v>
      </c>
      <c r="AJ3" s="1" t="s">
        <v>99</v>
      </c>
      <c r="AK3" s="1" t="s">
        <v>100</v>
      </c>
      <c r="AL3" s="1" t="s">
        <v>86</v>
      </c>
      <c r="AM3" s="1" t="s">
        <v>101</v>
      </c>
      <c r="AN3" s="1" t="s">
        <v>71</v>
      </c>
      <c r="AO3" s="1" t="s">
        <v>135</v>
      </c>
      <c r="AP3" s="1" t="s">
        <v>135</v>
      </c>
      <c r="AQ3" s="1" t="s">
        <v>136</v>
      </c>
      <c r="AR3" s="1" t="s">
        <v>137</v>
      </c>
      <c r="AS3" s="1" t="s">
        <v>138</v>
      </c>
      <c r="AT3" s="1" t="s">
        <v>102</v>
      </c>
      <c r="AU3" s="1" t="s">
        <v>139</v>
      </c>
      <c r="AV3" s="20" t="s">
        <v>487</v>
      </c>
      <c r="AW3" s="1" t="s">
        <v>140</v>
      </c>
      <c r="AX3" s="7" t="s">
        <v>65</v>
      </c>
      <c r="AY3" s="2" t="s">
        <v>73</v>
      </c>
      <c r="AZ3" s="1" t="s">
        <v>91</v>
      </c>
      <c r="BA3" s="3">
        <v>63.01</v>
      </c>
      <c r="BB3" s="25">
        <v>0</v>
      </c>
      <c r="BC3" s="3">
        <v>0</v>
      </c>
      <c r="BD3" s="3">
        <v>0</v>
      </c>
      <c r="BE3" s="3">
        <v>0</v>
      </c>
      <c r="BF3" s="1" t="s">
        <v>103</v>
      </c>
      <c r="BG3" s="1" t="s">
        <v>104</v>
      </c>
      <c r="BH3" s="1" t="s">
        <v>105</v>
      </c>
    </row>
    <row r="4" spans="1:60" ht="167.25" customHeight="1" outlineLevel="1" x14ac:dyDescent="0.25">
      <c r="A4" s="1" t="s">
        <v>129</v>
      </c>
      <c r="B4" s="1" t="s">
        <v>130</v>
      </c>
      <c r="C4" s="28">
        <v>2</v>
      </c>
      <c r="D4" s="26">
        <v>1941.4</v>
      </c>
      <c r="E4" s="27">
        <v>13.195</v>
      </c>
      <c r="F4" s="1" t="s">
        <v>60</v>
      </c>
      <c r="G4" s="2" t="s">
        <v>61</v>
      </c>
      <c r="H4" s="1" t="s">
        <v>62</v>
      </c>
      <c r="I4" s="1" t="s">
        <v>81</v>
      </c>
      <c r="J4" s="2" t="s">
        <v>82</v>
      </c>
      <c r="K4" s="2" t="s">
        <v>83</v>
      </c>
      <c r="L4" s="1" t="s">
        <v>141</v>
      </c>
      <c r="M4" s="1" t="s">
        <v>142</v>
      </c>
      <c r="N4" s="1" t="s">
        <v>143</v>
      </c>
      <c r="O4" s="24" t="s">
        <v>84</v>
      </c>
      <c r="P4" s="5">
        <v>45754.333333333328</v>
      </c>
      <c r="Q4" s="6">
        <v>45754</v>
      </c>
      <c r="R4" s="5">
        <v>45754.333402777775</v>
      </c>
      <c r="S4" s="1" t="s">
        <v>66</v>
      </c>
      <c r="T4" s="1" t="s">
        <v>67</v>
      </c>
      <c r="U4" s="1" t="s">
        <v>68</v>
      </c>
      <c r="V4" s="1" t="s">
        <v>69</v>
      </c>
      <c r="W4" s="1" t="s">
        <v>70</v>
      </c>
      <c r="X4" s="1" t="s">
        <v>71</v>
      </c>
      <c r="Y4" s="2" t="s">
        <v>85</v>
      </c>
      <c r="Z4" s="1" t="s">
        <v>85</v>
      </c>
      <c r="AA4" s="2" t="s">
        <v>73</v>
      </c>
      <c r="AB4" s="1" t="s">
        <v>73</v>
      </c>
      <c r="AC4" s="2" t="s">
        <v>113</v>
      </c>
      <c r="AD4" s="2" t="s">
        <v>73</v>
      </c>
      <c r="AE4" s="2" t="s">
        <v>73</v>
      </c>
      <c r="AF4" s="5">
        <v>45754.333333333328</v>
      </c>
      <c r="AG4" s="5">
        <v>45754</v>
      </c>
      <c r="AH4" s="7" t="s">
        <v>84</v>
      </c>
      <c r="AI4" s="3">
        <v>79</v>
      </c>
      <c r="AJ4" s="1" t="s">
        <v>99</v>
      </c>
      <c r="AK4" s="1" t="s">
        <v>100</v>
      </c>
      <c r="AL4" s="1" t="s">
        <v>86</v>
      </c>
      <c r="AM4" s="1" t="s">
        <v>101</v>
      </c>
      <c r="AN4" s="1" t="s">
        <v>71</v>
      </c>
      <c r="AO4" s="1" t="s">
        <v>135</v>
      </c>
      <c r="AP4" s="1" t="s">
        <v>135</v>
      </c>
      <c r="AQ4" s="1" t="s">
        <v>144</v>
      </c>
      <c r="AR4" s="1" t="s">
        <v>114</v>
      </c>
      <c r="AS4" s="1" t="s">
        <v>145</v>
      </c>
      <c r="AT4" s="1" t="s">
        <v>102</v>
      </c>
      <c r="AU4" s="1" t="s">
        <v>146</v>
      </c>
      <c r="AV4" s="20" t="s">
        <v>486</v>
      </c>
      <c r="AW4" s="1" t="s">
        <v>147</v>
      </c>
      <c r="AX4" s="7" t="s">
        <v>65</v>
      </c>
      <c r="AY4" s="2">
        <v>4</v>
      </c>
      <c r="AZ4" s="1" t="s">
        <v>91</v>
      </c>
      <c r="BA4" s="3">
        <v>63.01</v>
      </c>
      <c r="BB4" s="3">
        <v>7.2166667499999999</v>
      </c>
      <c r="BC4" s="3">
        <v>21.05</v>
      </c>
      <c r="BD4" s="3">
        <v>7.8166669999999998</v>
      </c>
      <c r="BE4" s="3">
        <v>28.866666666666699</v>
      </c>
      <c r="BF4" s="1" t="s">
        <v>103</v>
      </c>
      <c r="BG4" s="1" t="s">
        <v>104</v>
      </c>
      <c r="BH4" s="1" t="s">
        <v>105</v>
      </c>
    </row>
    <row r="5" spans="1:60" s="12" customFormat="1" x14ac:dyDescent="0.25">
      <c r="A5" s="8" t="s">
        <v>148</v>
      </c>
      <c r="B5" s="8"/>
      <c r="C5" s="9" t="str">
        <f>CONCATENATE("Max=",TEXT(SUBTOTAL(4,C6), "0"),"")</f>
        <v>Max=0</v>
      </c>
      <c r="D5" s="10" t="str">
        <f>CONCATENATE("∑=",IF(SUBTOTAL(9,D6)=TRUNC(SUBTOTAL(9,D6)),TEXT(SUBTOTAL(9,D6), "0"),TEXT(SUBTOTAL(9,D6), "#,##")),"")</f>
        <v>∑=401,55</v>
      </c>
      <c r="E5" s="11" t="str">
        <f>CONCATENATE("∑=",IF(SUBTOTAL(9,E6)=TRUNC(SUBTOTAL(9,E6)),TEXT(SUBTOTAL(9,E6), "0"),TEXT(SUBTOTAL(9,E6), "#,##")),"")</f>
        <v>∑=3,18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</row>
    <row r="6" spans="1:60" ht="45" outlineLevel="1" x14ac:dyDescent="0.25">
      <c r="A6" s="1" t="s">
        <v>149</v>
      </c>
      <c r="B6" s="1" t="s">
        <v>150</v>
      </c>
      <c r="C6" s="2">
        <v>0</v>
      </c>
      <c r="D6" s="3">
        <v>401.55</v>
      </c>
      <c r="E6" s="4">
        <v>3.1840000000000002</v>
      </c>
      <c r="F6" s="1" t="s">
        <v>60</v>
      </c>
      <c r="G6" s="2" t="s">
        <v>61</v>
      </c>
      <c r="H6" s="1" t="s">
        <v>62</v>
      </c>
      <c r="I6" s="1" t="s">
        <v>81</v>
      </c>
      <c r="J6" s="2" t="s">
        <v>82</v>
      </c>
      <c r="K6" s="2" t="s">
        <v>83</v>
      </c>
      <c r="L6" s="1" t="s">
        <v>151</v>
      </c>
      <c r="M6" s="1" t="s">
        <v>152</v>
      </c>
      <c r="N6" s="1" t="s">
        <v>153</v>
      </c>
      <c r="O6" s="7" t="s">
        <v>65</v>
      </c>
      <c r="P6" s="5">
        <v>45757.333333333328</v>
      </c>
      <c r="Q6" s="6">
        <v>45757</v>
      </c>
      <c r="R6" s="5">
        <v>45757.333368055552</v>
      </c>
      <c r="S6" s="1" t="s">
        <v>66</v>
      </c>
      <c r="T6" s="1" t="s">
        <v>67</v>
      </c>
      <c r="U6" s="1" t="s">
        <v>68</v>
      </c>
      <c r="V6" s="1" t="s">
        <v>69</v>
      </c>
      <c r="W6" s="1" t="s">
        <v>70</v>
      </c>
      <c r="X6" s="1" t="s">
        <v>71</v>
      </c>
      <c r="Y6" s="2" t="s">
        <v>72</v>
      </c>
      <c r="Z6" s="1" t="s">
        <v>73</v>
      </c>
      <c r="AA6" s="2" t="s">
        <v>73</v>
      </c>
      <c r="AB6" s="1" t="s">
        <v>73</v>
      </c>
      <c r="AC6" s="2" t="s">
        <v>73</v>
      </c>
      <c r="AD6" s="2" t="s">
        <v>73</v>
      </c>
      <c r="AE6" s="2" t="s">
        <v>73</v>
      </c>
      <c r="AF6" s="5" t="s">
        <v>73</v>
      </c>
      <c r="AG6" s="5" t="s">
        <v>73</v>
      </c>
      <c r="AH6" s="7" t="s">
        <v>65</v>
      </c>
      <c r="AI6" s="3">
        <v>10</v>
      </c>
      <c r="AJ6" s="1" t="s">
        <v>154</v>
      </c>
      <c r="AK6" s="1" t="s">
        <v>74</v>
      </c>
      <c r="AL6" s="1" t="s">
        <v>69</v>
      </c>
      <c r="AM6" s="1" t="s">
        <v>68</v>
      </c>
      <c r="AN6" s="1" t="s">
        <v>71</v>
      </c>
      <c r="AO6" s="1" t="s">
        <v>155</v>
      </c>
      <c r="AP6" s="1" t="s">
        <v>155</v>
      </c>
      <c r="AQ6" s="1" t="s">
        <v>75</v>
      </c>
      <c r="AR6" s="1" t="s">
        <v>156</v>
      </c>
      <c r="AS6" s="1" t="s">
        <v>157</v>
      </c>
      <c r="AT6" s="1" t="s">
        <v>110</v>
      </c>
      <c r="AU6" s="1" t="s">
        <v>127</v>
      </c>
      <c r="AV6" s="20" t="s">
        <v>495</v>
      </c>
      <c r="AW6" s="1" t="s">
        <v>158</v>
      </c>
      <c r="AX6" s="7" t="s">
        <v>65</v>
      </c>
      <c r="AY6" s="2" t="s">
        <v>73</v>
      </c>
      <c r="AZ6" s="1" t="s">
        <v>77</v>
      </c>
      <c r="BA6" s="3">
        <v>0</v>
      </c>
      <c r="BB6" s="3">
        <v>2.0333329999999998</v>
      </c>
      <c r="BC6" s="3">
        <v>0.93333299999999997</v>
      </c>
      <c r="BD6" s="3">
        <v>1.1000000000000001</v>
      </c>
      <c r="BE6" s="3">
        <v>2.0333333333333301</v>
      </c>
      <c r="BF6" s="1" t="s">
        <v>78</v>
      </c>
      <c r="BG6" s="1" t="s">
        <v>79</v>
      </c>
      <c r="BH6" s="1" t="s">
        <v>80</v>
      </c>
    </row>
    <row r="7" spans="1:60" s="12" customFormat="1" x14ac:dyDescent="0.25">
      <c r="A7" s="8" t="s">
        <v>159</v>
      </c>
      <c r="B7" s="8"/>
      <c r="C7" s="9" t="str">
        <f>CONCATENATE("Max=",TEXT(SUBTOTAL(4,C8:C28), "0"),"")</f>
        <v>Max=21</v>
      </c>
      <c r="D7" s="10" t="str">
        <f>CONCATENATE("∑=",IF(SUBTOTAL(9,D8:D28)=TRUNC(SUBTOTAL(9,D8:D28)),TEXT(SUBTOTAL(9,D8:D28), "0"),TEXT(SUBTOTAL(9,D8:D28), "#,##")),"")</f>
        <v>∑=1506,44</v>
      </c>
      <c r="E7" s="11" t="str">
        <f>CONCATENATE("∑=",IF(SUBTOTAL(9,E8:E28)=TRUNC(SUBTOTAL(9,E8:E28)),TEXT(SUBTOTAL(9,E8:E28), "0"),TEXT(SUBTOTAL(9,E8:E28), "#,##")),"")</f>
        <v>∑=14,15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</row>
    <row r="8" spans="1:60" outlineLevel="1" x14ac:dyDescent="0.25">
      <c r="A8" s="1" t="s">
        <v>160</v>
      </c>
      <c r="B8" s="1" t="s">
        <v>161</v>
      </c>
      <c r="C8" s="2">
        <v>1</v>
      </c>
      <c r="D8" s="3">
        <v>0.02</v>
      </c>
      <c r="E8" s="4">
        <v>0.02</v>
      </c>
      <c r="F8" s="1" t="s">
        <v>60</v>
      </c>
      <c r="G8" s="2" t="s">
        <v>61</v>
      </c>
      <c r="H8" s="1" t="s">
        <v>106</v>
      </c>
      <c r="I8" s="1" t="s">
        <v>81</v>
      </c>
      <c r="J8" s="2" t="s">
        <v>82</v>
      </c>
      <c r="K8" s="2" t="s">
        <v>83</v>
      </c>
      <c r="L8" s="1" t="s">
        <v>162</v>
      </c>
      <c r="M8" s="1" t="s">
        <v>163</v>
      </c>
      <c r="N8" s="1" t="s">
        <v>164</v>
      </c>
      <c r="O8" s="7" t="s">
        <v>65</v>
      </c>
      <c r="P8" s="5">
        <v>45751.333333333328</v>
      </c>
      <c r="Q8" s="6">
        <v>45754</v>
      </c>
      <c r="R8" s="5">
        <v>45754.297418981478</v>
      </c>
      <c r="S8" s="1" t="s">
        <v>66</v>
      </c>
      <c r="T8" s="1" t="s">
        <v>67</v>
      </c>
      <c r="U8" s="1" t="s">
        <v>68</v>
      </c>
      <c r="V8" s="1" t="s">
        <v>69</v>
      </c>
      <c r="W8" s="1" t="s">
        <v>70</v>
      </c>
      <c r="X8" s="1" t="s">
        <v>71</v>
      </c>
      <c r="Y8" s="2" t="s">
        <v>119</v>
      </c>
      <c r="Z8" s="1" t="s">
        <v>119</v>
      </c>
      <c r="AA8" s="2" t="s">
        <v>73</v>
      </c>
      <c r="AB8" s="1" t="s">
        <v>73</v>
      </c>
      <c r="AC8" s="2" t="s">
        <v>113</v>
      </c>
      <c r="AD8" s="2" t="s">
        <v>73</v>
      </c>
      <c r="AE8" s="2" t="s">
        <v>73</v>
      </c>
      <c r="AF8" s="5" t="s">
        <v>73</v>
      </c>
      <c r="AG8" s="5" t="s">
        <v>73</v>
      </c>
      <c r="AH8" s="7" t="s">
        <v>65</v>
      </c>
      <c r="AI8" s="3">
        <v>2</v>
      </c>
      <c r="AJ8" s="1" t="s">
        <v>165</v>
      </c>
      <c r="AK8" s="1" t="s">
        <v>166</v>
      </c>
      <c r="AL8" s="1" t="s">
        <v>86</v>
      </c>
      <c r="AM8" s="1" t="s">
        <v>87</v>
      </c>
      <c r="AN8" s="1" t="s">
        <v>71</v>
      </c>
      <c r="AO8" s="1" t="s">
        <v>73</v>
      </c>
      <c r="AP8" s="1" t="s">
        <v>73</v>
      </c>
      <c r="AQ8" s="1" t="s">
        <v>88</v>
      </c>
      <c r="AR8" s="1" t="s">
        <v>114</v>
      </c>
      <c r="AS8" s="1" t="s">
        <v>89</v>
      </c>
      <c r="AT8" s="1" t="s">
        <v>167</v>
      </c>
      <c r="AU8" s="1" t="s">
        <v>76</v>
      </c>
      <c r="AV8" s="1" t="s">
        <v>168</v>
      </c>
      <c r="AW8" s="1" t="s">
        <v>168</v>
      </c>
      <c r="AX8" s="7" t="s">
        <v>65</v>
      </c>
      <c r="AY8" s="2" t="s">
        <v>73</v>
      </c>
      <c r="AZ8" s="1" t="s">
        <v>169</v>
      </c>
      <c r="BA8" s="3">
        <v>63.58</v>
      </c>
      <c r="BB8" s="3">
        <v>0.48333300000000001</v>
      </c>
      <c r="BC8" s="3">
        <v>0.36666700000000002</v>
      </c>
      <c r="BD8" s="3">
        <v>0.11666700000000001</v>
      </c>
      <c r="BE8" s="3">
        <v>0.483333333333333</v>
      </c>
      <c r="BF8" s="1" t="s">
        <v>170</v>
      </c>
      <c r="BG8" s="1" t="s">
        <v>171</v>
      </c>
      <c r="BH8" s="1" t="s">
        <v>172</v>
      </c>
    </row>
    <row r="9" spans="1:60" outlineLevel="1" x14ac:dyDescent="0.25">
      <c r="A9" s="1" t="s">
        <v>160</v>
      </c>
      <c r="B9" s="1" t="s">
        <v>161</v>
      </c>
      <c r="C9" s="2">
        <v>2</v>
      </c>
      <c r="D9" s="3">
        <v>64</v>
      </c>
      <c r="E9" s="4">
        <v>0.86</v>
      </c>
      <c r="F9" s="1" t="s">
        <v>60</v>
      </c>
      <c r="G9" s="2" t="s">
        <v>61</v>
      </c>
      <c r="H9" s="1" t="s">
        <v>62</v>
      </c>
      <c r="I9" s="1" t="s">
        <v>81</v>
      </c>
      <c r="J9" s="2" t="s">
        <v>82</v>
      </c>
      <c r="K9" s="2" t="s">
        <v>83</v>
      </c>
      <c r="L9" s="1" t="s">
        <v>173</v>
      </c>
      <c r="M9" s="1" t="s">
        <v>174</v>
      </c>
      <c r="N9" s="1" t="s">
        <v>175</v>
      </c>
      <c r="O9" s="7" t="s">
        <v>65</v>
      </c>
      <c r="P9" s="5">
        <v>45754.333333333328</v>
      </c>
      <c r="Q9" s="6">
        <v>45754</v>
      </c>
      <c r="R9" s="5">
        <v>45754.395208333328</v>
      </c>
      <c r="S9" s="1" t="s">
        <v>66</v>
      </c>
      <c r="T9" s="1" t="s">
        <v>67</v>
      </c>
      <c r="U9" s="1" t="s">
        <v>68</v>
      </c>
      <c r="V9" s="1" t="s">
        <v>69</v>
      </c>
      <c r="W9" s="1" t="s">
        <v>70</v>
      </c>
      <c r="X9" s="1" t="s">
        <v>71</v>
      </c>
      <c r="Y9" s="2" t="s">
        <v>119</v>
      </c>
      <c r="Z9" s="1" t="s">
        <v>119</v>
      </c>
      <c r="AA9" s="2" t="s">
        <v>73</v>
      </c>
      <c r="AB9" s="1" t="s">
        <v>73</v>
      </c>
      <c r="AC9" s="2" t="s">
        <v>113</v>
      </c>
      <c r="AD9" s="2" t="s">
        <v>73</v>
      </c>
      <c r="AE9" s="2" t="s">
        <v>73</v>
      </c>
      <c r="AF9" s="5" t="s">
        <v>73</v>
      </c>
      <c r="AG9" s="5" t="s">
        <v>73</v>
      </c>
      <c r="AH9" s="7" t="s">
        <v>65</v>
      </c>
      <c r="AI9" s="3">
        <v>2</v>
      </c>
      <c r="AJ9" s="1" t="s">
        <v>176</v>
      </c>
      <c r="AK9" s="1" t="s">
        <v>177</v>
      </c>
      <c r="AL9" s="1" t="s">
        <v>178</v>
      </c>
      <c r="AM9" s="1" t="s">
        <v>179</v>
      </c>
      <c r="AN9" s="1" t="s">
        <v>71</v>
      </c>
      <c r="AO9" s="1" t="s">
        <v>180</v>
      </c>
      <c r="AP9" s="1" t="s">
        <v>181</v>
      </c>
      <c r="AQ9" s="1" t="s">
        <v>111</v>
      </c>
      <c r="AR9" s="1" t="s">
        <v>114</v>
      </c>
      <c r="AS9" s="1" t="s">
        <v>89</v>
      </c>
      <c r="AT9" s="1" t="s">
        <v>182</v>
      </c>
      <c r="AU9" s="1" t="s">
        <v>108</v>
      </c>
      <c r="AV9" s="1" t="s">
        <v>183</v>
      </c>
      <c r="AW9" s="1" t="s">
        <v>183</v>
      </c>
      <c r="AX9" s="7" t="s">
        <v>65</v>
      </c>
      <c r="AY9" s="2" t="s">
        <v>73</v>
      </c>
      <c r="AZ9" s="1" t="s">
        <v>169</v>
      </c>
      <c r="BA9" s="3">
        <v>147.85</v>
      </c>
      <c r="BB9" s="3">
        <v>0.11666700000000001</v>
      </c>
      <c r="BC9" s="3">
        <v>0</v>
      </c>
      <c r="BD9" s="3">
        <v>0.11666700000000001</v>
      </c>
      <c r="BE9" s="3">
        <v>0.116666666666667</v>
      </c>
      <c r="BF9" s="1" t="s">
        <v>184</v>
      </c>
      <c r="BG9" s="1" t="s">
        <v>185</v>
      </c>
      <c r="BH9" s="1" t="s">
        <v>186</v>
      </c>
    </row>
    <row r="10" spans="1:60" ht="45" outlineLevel="1" x14ac:dyDescent="0.25">
      <c r="A10" s="1" t="s">
        <v>160</v>
      </c>
      <c r="B10" s="1" t="s">
        <v>161</v>
      </c>
      <c r="C10" s="2">
        <v>3</v>
      </c>
      <c r="D10" s="3">
        <v>39.5</v>
      </c>
      <c r="E10" s="4">
        <v>0.2</v>
      </c>
      <c r="F10" s="1" t="s">
        <v>60</v>
      </c>
      <c r="G10" s="2" t="s">
        <v>61</v>
      </c>
      <c r="H10" s="1" t="s">
        <v>62</v>
      </c>
      <c r="I10" s="1" t="s">
        <v>81</v>
      </c>
      <c r="J10" s="2" t="s">
        <v>95</v>
      </c>
      <c r="K10" s="2" t="s">
        <v>83</v>
      </c>
      <c r="L10" s="1" t="s">
        <v>187</v>
      </c>
      <c r="M10" s="1" t="s">
        <v>188</v>
      </c>
      <c r="N10" s="1" t="s">
        <v>189</v>
      </c>
      <c r="O10" s="7" t="s">
        <v>65</v>
      </c>
      <c r="P10" s="5">
        <v>45754.333333333328</v>
      </c>
      <c r="Q10" s="6">
        <v>45754</v>
      </c>
      <c r="R10" s="5">
        <v>45754.476342592592</v>
      </c>
      <c r="S10" s="1" t="s">
        <v>66</v>
      </c>
      <c r="T10" s="1" t="s">
        <v>67</v>
      </c>
      <c r="U10" s="1" t="s">
        <v>68</v>
      </c>
      <c r="V10" s="1" t="s">
        <v>69</v>
      </c>
      <c r="W10" s="1" t="s">
        <v>70</v>
      </c>
      <c r="X10" s="1" t="s">
        <v>71</v>
      </c>
      <c r="Y10" s="2" t="s">
        <v>119</v>
      </c>
      <c r="Z10" s="1" t="s">
        <v>119</v>
      </c>
      <c r="AA10" s="2" t="s">
        <v>73</v>
      </c>
      <c r="AB10" s="1" t="s">
        <v>73</v>
      </c>
      <c r="AC10" s="2" t="s">
        <v>113</v>
      </c>
      <c r="AD10" s="2" t="s">
        <v>73</v>
      </c>
      <c r="AE10" s="2" t="s">
        <v>73</v>
      </c>
      <c r="AF10" s="5" t="s">
        <v>73</v>
      </c>
      <c r="AG10" s="5" t="s">
        <v>73</v>
      </c>
      <c r="AH10" s="7" t="s">
        <v>65</v>
      </c>
      <c r="AI10" s="3">
        <v>7</v>
      </c>
      <c r="AJ10" s="1" t="s">
        <v>190</v>
      </c>
      <c r="AK10" s="1" t="s">
        <v>191</v>
      </c>
      <c r="AL10" s="1" t="s">
        <v>86</v>
      </c>
      <c r="AM10" s="1" t="s">
        <v>192</v>
      </c>
      <c r="AN10" s="1" t="s">
        <v>71</v>
      </c>
      <c r="AO10" s="1" t="s">
        <v>193</v>
      </c>
      <c r="AP10" s="1" t="s">
        <v>194</v>
      </c>
      <c r="AQ10" s="1" t="s">
        <v>195</v>
      </c>
      <c r="AR10" s="1" t="s">
        <v>196</v>
      </c>
      <c r="AS10" s="1" t="s">
        <v>197</v>
      </c>
      <c r="AT10" s="1" t="s">
        <v>198</v>
      </c>
      <c r="AU10" s="1" t="s">
        <v>127</v>
      </c>
      <c r="AV10" s="20" t="s">
        <v>478</v>
      </c>
      <c r="AW10" s="1" t="s">
        <v>199</v>
      </c>
      <c r="AX10" s="7" t="s">
        <v>65</v>
      </c>
      <c r="AY10" s="2" t="s">
        <v>73</v>
      </c>
      <c r="AZ10" s="1" t="s">
        <v>169</v>
      </c>
      <c r="BA10" s="3">
        <v>62.68</v>
      </c>
      <c r="BB10" s="3">
        <v>0.51666699999999999</v>
      </c>
      <c r="BC10" s="3">
        <v>0.23333300000000001</v>
      </c>
      <c r="BD10" s="3">
        <v>0.283333</v>
      </c>
      <c r="BE10" s="3">
        <v>0.51666666666666705</v>
      </c>
      <c r="BF10" s="1" t="s">
        <v>73</v>
      </c>
      <c r="BG10" s="1" t="s">
        <v>73</v>
      </c>
      <c r="BH10" s="1" t="s">
        <v>73</v>
      </c>
    </row>
    <row r="11" spans="1:60" outlineLevel="1" x14ac:dyDescent="0.25">
      <c r="A11" s="1" t="s">
        <v>160</v>
      </c>
      <c r="B11" s="1" t="s">
        <v>161</v>
      </c>
      <c r="C11" s="2">
        <v>4</v>
      </c>
      <c r="D11" s="3">
        <v>32</v>
      </c>
      <c r="E11" s="4">
        <v>0.43</v>
      </c>
      <c r="F11" s="1" t="s">
        <v>60</v>
      </c>
      <c r="G11" s="2" t="s">
        <v>61</v>
      </c>
      <c r="H11" s="1" t="s">
        <v>62</v>
      </c>
      <c r="I11" s="1" t="s">
        <v>81</v>
      </c>
      <c r="J11" s="2" t="s">
        <v>82</v>
      </c>
      <c r="K11" s="2" t="s">
        <v>83</v>
      </c>
      <c r="L11" s="1" t="s">
        <v>200</v>
      </c>
      <c r="M11" s="1" t="s">
        <v>201</v>
      </c>
      <c r="N11" s="1" t="s">
        <v>202</v>
      </c>
      <c r="O11" s="7" t="s">
        <v>65</v>
      </c>
      <c r="P11" s="5">
        <v>45754.333333333328</v>
      </c>
      <c r="Q11" s="6">
        <v>45754</v>
      </c>
      <c r="R11" s="5">
        <v>45754.507939814815</v>
      </c>
      <c r="S11" s="1" t="s">
        <v>66</v>
      </c>
      <c r="T11" s="1" t="s">
        <v>67</v>
      </c>
      <c r="U11" s="1" t="s">
        <v>68</v>
      </c>
      <c r="V11" s="1" t="s">
        <v>69</v>
      </c>
      <c r="W11" s="1" t="s">
        <v>70</v>
      </c>
      <c r="X11" s="1" t="s">
        <v>71</v>
      </c>
      <c r="Y11" s="2" t="s">
        <v>119</v>
      </c>
      <c r="Z11" s="1" t="s">
        <v>119</v>
      </c>
      <c r="AA11" s="2" t="s">
        <v>73</v>
      </c>
      <c r="AB11" s="1" t="s">
        <v>73</v>
      </c>
      <c r="AC11" s="2" t="s">
        <v>113</v>
      </c>
      <c r="AD11" s="2" t="s">
        <v>73</v>
      </c>
      <c r="AE11" s="2" t="s">
        <v>73</v>
      </c>
      <c r="AF11" s="5" t="s">
        <v>73</v>
      </c>
      <c r="AG11" s="5" t="s">
        <v>73</v>
      </c>
      <c r="AH11" s="7" t="s">
        <v>65</v>
      </c>
      <c r="AI11" s="3">
        <v>1</v>
      </c>
      <c r="AJ11" s="1" t="s">
        <v>203</v>
      </c>
      <c r="AK11" s="1" t="s">
        <v>204</v>
      </c>
      <c r="AL11" s="1" t="s">
        <v>86</v>
      </c>
      <c r="AM11" s="1" t="s">
        <v>205</v>
      </c>
      <c r="AN11" s="1" t="s">
        <v>71</v>
      </c>
      <c r="AO11" s="1" t="s">
        <v>206</v>
      </c>
      <c r="AP11" s="1" t="s">
        <v>207</v>
      </c>
      <c r="AQ11" s="1" t="s">
        <v>120</v>
      </c>
      <c r="AR11" s="1" t="s">
        <v>114</v>
      </c>
      <c r="AS11" s="1" t="s">
        <v>89</v>
      </c>
      <c r="AT11" s="1" t="s">
        <v>182</v>
      </c>
      <c r="AU11" s="1" t="s">
        <v>108</v>
      </c>
      <c r="AV11" s="1" t="s">
        <v>208</v>
      </c>
      <c r="AW11" s="1" t="s">
        <v>208</v>
      </c>
      <c r="AX11" s="7" t="s">
        <v>65</v>
      </c>
      <c r="AY11" s="2" t="s">
        <v>73</v>
      </c>
      <c r="AZ11" s="1" t="s">
        <v>169</v>
      </c>
      <c r="BA11" s="3">
        <v>67.28</v>
      </c>
      <c r="BB11" s="3">
        <v>6.6667000000000004E-2</v>
      </c>
      <c r="BC11" s="3">
        <v>0</v>
      </c>
      <c r="BD11" s="3">
        <v>6.6667000000000004E-2</v>
      </c>
      <c r="BE11" s="3">
        <v>6.6666666666666693E-2</v>
      </c>
      <c r="BF11" s="1" t="s">
        <v>184</v>
      </c>
      <c r="BG11" s="1" t="s">
        <v>185</v>
      </c>
      <c r="BH11" s="1" t="s">
        <v>186</v>
      </c>
    </row>
    <row r="12" spans="1:60" ht="105" outlineLevel="1" x14ac:dyDescent="0.25">
      <c r="A12" s="1" t="s">
        <v>160</v>
      </c>
      <c r="B12" s="1" t="s">
        <v>161</v>
      </c>
      <c r="C12" s="2">
        <v>5</v>
      </c>
      <c r="D12" s="3">
        <v>12</v>
      </c>
      <c r="E12" s="4">
        <v>1.2</v>
      </c>
      <c r="F12" s="1" t="s">
        <v>60</v>
      </c>
      <c r="G12" s="2" t="s">
        <v>61</v>
      </c>
      <c r="H12" s="1" t="s">
        <v>62</v>
      </c>
      <c r="I12" s="1" t="s">
        <v>81</v>
      </c>
      <c r="J12" s="2" t="s">
        <v>82</v>
      </c>
      <c r="K12" s="2" t="s">
        <v>83</v>
      </c>
      <c r="L12" s="1" t="s">
        <v>209</v>
      </c>
      <c r="M12" s="1" t="s">
        <v>210</v>
      </c>
      <c r="N12" s="1" t="s">
        <v>211</v>
      </c>
      <c r="O12" s="7" t="s">
        <v>65</v>
      </c>
      <c r="P12" s="5">
        <v>45754.333333333328</v>
      </c>
      <c r="Q12" s="6">
        <v>45754</v>
      </c>
      <c r="R12" s="5">
        <v>45754.521689814814</v>
      </c>
      <c r="S12" s="1" t="s">
        <v>66</v>
      </c>
      <c r="T12" s="1" t="s">
        <v>67</v>
      </c>
      <c r="U12" s="1" t="s">
        <v>68</v>
      </c>
      <c r="V12" s="1" t="s">
        <v>69</v>
      </c>
      <c r="W12" s="1" t="s">
        <v>70</v>
      </c>
      <c r="X12" s="1" t="s">
        <v>71</v>
      </c>
      <c r="Y12" s="2" t="s">
        <v>119</v>
      </c>
      <c r="Z12" s="1" t="s">
        <v>119</v>
      </c>
      <c r="AA12" s="2" t="s">
        <v>73</v>
      </c>
      <c r="AB12" s="1" t="s">
        <v>73</v>
      </c>
      <c r="AC12" s="2" t="s">
        <v>113</v>
      </c>
      <c r="AD12" s="2" t="s">
        <v>73</v>
      </c>
      <c r="AE12" s="2" t="s">
        <v>73</v>
      </c>
      <c r="AF12" s="5" t="s">
        <v>73</v>
      </c>
      <c r="AG12" s="5" t="s">
        <v>73</v>
      </c>
      <c r="AH12" s="7" t="s">
        <v>65</v>
      </c>
      <c r="AI12" s="3">
        <v>12</v>
      </c>
      <c r="AJ12" s="1" t="s">
        <v>212</v>
      </c>
      <c r="AK12" s="1" t="s">
        <v>213</v>
      </c>
      <c r="AL12" s="1" t="s">
        <v>86</v>
      </c>
      <c r="AM12" s="1" t="s">
        <v>87</v>
      </c>
      <c r="AN12" s="1" t="s">
        <v>71</v>
      </c>
      <c r="AO12" s="1" t="s">
        <v>214</v>
      </c>
      <c r="AP12" s="1" t="s">
        <v>214</v>
      </c>
      <c r="AQ12" s="1" t="s">
        <v>215</v>
      </c>
      <c r="AR12" s="1" t="s">
        <v>216</v>
      </c>
      <c r="AS12" s="1" t="s">
        <v>89</v>
      </c>
      <c r="AT12" s="1" t="s">
        <v>217</v>
      </c>
      <c r="AU12" s="1" t="s">
        <v>98</v>
      </c>
      <c r="AV12" s="20" t="s">
        <v>479</v>
      </c>
      <c r="AW12" s="1" t="s">
        <v>218</v>
      </c>
      <c r="AX12" s="7" t="s">
        <v>65</v>
      </c>
      <c r="AY12" s="2" t="s">
        <v>73</v>
      </c>
      <c r="AZ12" s="1" t="s">
        <v>169</v>
      </c>
      <c r="BA12" s="3">
        <v>60.88</v>
      </c>
      <c r="BB12" s="3">
        <v>1</v>
      </c>
      <c r="BC12" s="3">
        <v>0</v>
      </c>
      <c r="BD12" s="3">
        <v>1</v>
      </c>
      <c r="BE12" s="3">
        <v>1</v>
      </c>
      <c r="BF12" s="1" t="s">
        <v>184</v>
      </c>
      <c r="BG12" s="1" t="s">
        <v>185</v>
      </c>
      <c r="BH12" s="1" t="s">
        <v>186</v>
      </c>
    </row>
    <row r="13" spans="1:60" outlineLevel="1" x14ac:dyDescent="0.25">
      <c r="A13" s="1" t="s">
        <v>160</v>
      </c>
      <c r="B13" s="1" t="s">
        <v>161</v>
      </c>
      <c r="C13" s="2">
        <v>6</v>
      </c>
      <c r="D13" s="3">
        <v>1</v>
      </c>
      <c r="E13" s="4">
        <v>0.01</v>
      </c>
      <c r="F13" s="1" t="s">
        <v>60</v>
      </c>
      <c r="G13" s="2" t="s">
        <v>61</v>
      </c>
      <c r="H13" s="1" t="s">
        <v>62</v>
      </c>
      <c r="I13" s="1" t="s">
        <v>81</v>
      </c>
      <c r="J13" s="2" t="s">
        <v>82</v>
      </c>
      <c r="K13" s="2" t="s">
        <v>83</v>
      </c>
      <c r="L13" s="1" t="s">
        <v>219</v>
      </c>
      <c r="M13" s="1" t="s">
        <v>220</v>
      </c>
      <c r="N13" s="1" t="s">
        <v>221</v>
      </c>
      <c r="O13" s="7" t="s">
        <v>65</v>
      </c>
      <c r="P13" s="5">
        <v>45754.333333333328</v>
      </c>
      <c r="Q13" s="6">
        <v>45754</v>
      </c>
      <c r="R13" s="5">
        <v>45754.333368055552</v>
      </c>
      <c r="S13" s="1" t="s">
        <v>66</v>
      </c>
      <c r="T13" s="1" t="s">
        <v>67</v>
      </c>
      <c r="U13" s="1" t="s">
        <v>68</v>
      </c>
      <c r="V13" s="1" t="s">
        <v>69</v>
      </c>
      <c r="W13" s="1" t="s">
        <v>70</v>
      </c>
      <c r="X13" s="1" t="s">
        <v>71</v>
      </c>
      <c r="Y13" s="2" t="s">
        <v>119</v>
      </c>
      <c r="Z13" s="1" t="s">
        <v>119</v>
      </c>
      <c r="AA13" s="2" t="s">
        <v>73</v>
      </c>
      <c r="AB13" s="1" t="s">
        <v>73</v>
      </c>
      <c r="AC13" s="2" t="s">
        <v>113</v>
      </c>
      <c r="AD13" s="2" t="s">
        <v>73</v>
      </c>
      <c r="AE13" s="2" t="s">
        <v>73</v>
      </c>
      <c r="AF13" s="5" t="s">
        <v>73</v>
      </c>
      <c r="AG13" s="5" t="s">
        <v>73</v>
      </c>
      <c r="AH13" s="7" t="s">
        <v>65</v>
      </c>
      <c r="AI13" s="3">
        <v>1</v>
      </c>
      <c r="AJ13" s="1" t="s">
        <v>222</v>
      </c>
      <c r="AK13" s="1" t="s">
        <v>213</v>
      </c>
      <c r="AL13" s="1" t="s">
        <v>86</v>
      </c>
      <c r="AM13" s="1" t="s">
        <v>87</v>
      </c>
      <c r="AN13" s="1" t="s">
        <v>71</v>
      </c>
      <c r="AO13" s="1" t="s">
        <v>73</v>
      </c>
      <c r="AP13" s="1" t="s">
        <v>73</v>
      </c>
      <c r="AQ13" s="1" t="s">
        <v>75</v>
      </c>
      <c r="AR13" s="1" t="s">
        <v>114</v>
      </c>
      <c r="AS13" s="1" t="s">
        <v>89</v>
      </c>
      <c r="AT13" s="1" t="s">
        <v>223</v>
      </c>
      <c r="AU13" s="1" t="s">
        <v>108</v>
      </c>
      <c r="AV13" s="1" t="s">
        <v>224</v>
      </c>
      <c r="AW13" s="1" t="s">
        <v>224</v>
      </c>
      <c r="AX13" s="7" t="s">
        <v>65</v>
      </c>
      <c r="AY13" s="2" t="s">
        <v>73</v>
      </c>
      <c r="AZ13" s="1" t="s">
        <v>169</v>
      </c>
      <c r="BA13" s="3">
        <v>60.88</v>
      </c>
      <c r="BB13" s="3">
        <v>6.6667000000000004E-2</v>
      </c>
      <c r="BC13" s="3">
        <v>0</v>
      </c>
      <c r="BD13" s="3">
        <v>6.6667000000000004E-2</v>
      </c>
      <c r="BE13" s="3">
        <v>6.6666666666666693E-2</v>
      </c>
      <c r="BF13" s="1" t="s">
        <v>225</v>
      </c>
      <c r="BG13" s="1" t="s">
        <v>226</v>
      </c>
      <c r="BH13" s="1" t="s">
        <v>227</v>
      </c>
    </row>
    <row r="14" spans="1:60" ht="45" outlineLevel="1" x14ac:dyDescent="0.25">
      <c r="A14" s="1" t="s">
        <v>160</v>
      </c>
      <c r="B14" s="1" t="s">
        <v>161</v>
      </c>
      <c r="C14" s="2">
        <v>7</v>
      </c>
      <c r="D14" s="3">
        <v>118.5</v>
      </c>
      <c r="E14" s="4">
        <v>0.60099999999999998</v>
      </c>
      <c r="F14" s="1" t="s">
        <v>60</v>
      </c>
      <c r="G14" s="2" t="s">
        <v>61</v>
      </c>
      <c r="H14" s="1" t="s">
        <v>62</v>
      </c>
      <c r="I14" s="1" t="s">
        <v>81</v>
      </c>
      <c r="J14" s="2" t="s">
        <v>95</v>
      </c>
      <c r="K14" s="2" t="s">
        <v>83</v>
      </c>
      <c r="L14" s="1" t="s">
        <v>228</v>
      </c>
      <c r="M14" s="1" t="s">
        <v>229</v>
      </c>
      <c r="N14" s="1" t="s">
        <v>230</v>
      </c>
      <c r="O14" s="7" t="s">
        <v>65</v>
      </c>
      <c r="P14" s="5">
        <v>45754.333333333328</v>
      </c>
      <c r="Q14" s="6">
        <v>45754</v>
      </c>
      <c r="R14" s="5">
        <v>45754.312442129631</v>
      </c>
      <c r="S14" s="1" t="s">
        <v>66</v>
      </c>
      <c r="T14" s="1" t="s">
        <v>67</v>
      </c>
      <c r="U14" s="1" t="s">
        <v>68</v>
      </c>
      <c r="V14" s="1" t="s">
        <v>69</v>
      </c>
      <c r="W14" s="1" t="s">
        <v>70</v>
      </c>
      <c r="X14" s="1" t="s">
        <v>71</v>
      </c>
      <c r="Y14" s="2" t="s">
        <v>119</v>
      </c>
      <c r="Z14" s="1" t="s">
        <v>119</v>
      </c>
      <c r="AA14" s="2" t="s">
        <v>73</v>
      </c>
      <c r="AB14" s="1" t="s">
        <v>73</v>
      </c>
      <c r="AC14" s="2" t="s">
        <v>113</v>
      </c>
      <c r="AD14" s="2" t="s">
        <v>73</v>
      </c>
      <c r="AE14" s="2" t="s">
        <v>73</v>
      </c>
      <c r="AF14" s="5" t="s">
        <v>73</v>
      </c>
      <c r="AG14" s="5" t="s">
        <v>73</v>
      </c>
      <c r="AH14" s="7" t="s">
        <v>65</v>
      </c>
      <c r="AI14" s="3">
        <v>21</v>
      </c>
      <c r="AJ14" s="1" t="s">
        <v>231</v>
      </c>
      <c r="AK14" s="1" t="s">
        <v>232</v>
      </c>
      <c r="AL14" s="1" t="s">
        <v>86</v>
      </c>
      <c r="AM14" s="1" t="s">
        <v>87</v>
      </c>
      <c r="AN14" s="1" t="s">
        <v>71</v>
      </c>
      <c r="AO14" s="1" t="s">
        <v>233</v>
      </c>
      <c r="AP14" s="1" t="s">
        <v>121</v>
      </c>
      <c r="AQ14" s="1" t="s">
        <v>234</v>
      </c>
      <c r="AR14" s="1" t="s">
        <v>196</v>
      </c>
      <c r="AS14" s="1" t="s">
        <v>235</v>
      </c>
      <c r="AT14" s="1" t="s">
        <v>198</v>
      </c>
      <c r="AU14" s="1" t="s">
        <v>127</v>
      </c>
      <c r="AV14" s="20" t="s">
        <v>478</v>
      </c>
      <c r="AW14" s="1" t="s">
        <v>199</v>
      </c>
      <c r="AX14" s="7" t="s">
        <v>65</v>
      </c>
      <c r="AY14" s="2" t="s">
        <v>73</v>
      </c>
      <c r="AZ14" s="1" t="s">
        <v>169</v>
      </c>
      <c r="BA14" s="3">
        <v>64.150000000000006</v>
      </c>
      <c r="BB14" s="3">
        <v>1.516667</v>
      </c>
      <c r="BC14" s="3">
        <v>0.7</v>
      </c>
      <c r="BD14" s="3">
        <v>0.81666700000000003</v>
      </c>
      <c r="BE14" s="3">
        <v>1.5166666666666699</v>
      </c>
      <c r="BF14" s="1" t="s">
        <v>92</v>
      </c>
      <c r="BG14" s="1" t="s">
        <v>93</v>
      </c>
      <c r="BH14" s="1" t="s">
        <v>94</v>
      </c>
    </row>
    <row r="15" spans="1:60" ht="135" outlineLevel="1" x14ac:dyDescent="0.25">
      <c r="A15" s="1" t="s">
        <v>160</v>
      </c>
      <c r="B15" s="1" t="s">
        <v>161</v>
      </c>
      <c r="C15" s="2">
        <v>8</v>
      </c>
      <c r="D15" s="3">
        <v>52.31</v>
      </c>
      <c r="E15" s="4">
        <v>0.19500000000000001</v>
      </c>
      <c r="F15" s="1" t="s">
        <v>60</v>
      </c>
      <c r="G15" s="2" t="s">
        <v>61</v>
      </c>
      <c r="H15" s="1" t="s">
        <v>62</v>
      </c>
      <c r="I15" s="1" t="s">
        <v>81</v>
      </c>
      <c r="J15" s="2" t="s">
        <v>82</v>
      </c>
      <c r="K15" s="2" t="s">
        <v>83</v>
      </c>
      <c r="L15" s="1" t="s">
        <v>236</v>
      </c>
      <c r="M15" s="1" t="s">
        <v>237</v>
      </c>
      <c r="N15" s="1" t="s">
        <v>238</v>
      </c>
      <c r="O15" s="7" t="s">
        <v>65</v>
      </c>
      <c r="P15" s="5">
        <v>45754.333333333328</v>
      </c>
      <c r="Q15" s="6">
        <v>45754</v>
      </c>
      <c r="R15" s="5">
        <v>45754.381423611107</v>
      </c>
      <c r="S15" s="1" t="s">
        <v>66</v>
      </c>
      <c r="T15" s="1" t="s">
        <v>67</v>
      </c>
      <c r="U15" s="1" t="s">
        <v>68</v>
      </c>
      <c r="V15" s="1" t="s">
        <v>69</v>
      </c>
      <c r="W15" s="1" t="s">
        <v>70</v>
      </c>
      <c r="X15" s="1" t="s">
        <v>71</v>
      </c>
      <c r="Y15" s="2" t="s">
        <v>119</v>
      </c>
      <c r="Z15" s="1" t="s">
        <v>119</v>
      </c>
      <c r="AA15" s="2" t="s">
        <v>73</v>
      </c>
      <c r="AB15" s="1" t="s">
        <v>73</v>
      </c>
      <c r="AC15" s="2" t="s">
        <v>113</v>
      </c>
      <c r="AD15" s="2" t="s">
        <v>73</v>
      </c>
      <c r="AE15" s="2" t="s">
        <v>73</v>
      </c>
      <c r="AF15" s="5" t="s">
        <v>73</v>
      </c>
      <c r="AG15" s="5" t="s">
        <v>73</v>
      </c>
      <c r="AH15" s="7" t="s">
        <v>65</v>
      </c>
      <c r="AI15" s="3">
        <v>5</v>
      </c>
      <c r="AJ15" s="1" t="s">
        <v>239</v>
      </c>
      <c r="AK15" s="1" t="s">
        <v>240</v>
      </c>
      <c r="AL15" s="1" t="s">
        <v>86</v>
      </c>
      <c r="AM15" s="1" t="s">
        <v>241</v>
      </c>
      <c r="AN15" s="1" t="s">
        <v>71</v>
      </c>
      <c r="AO15" s="1" t="s">
        <v>242</v>
      </c>
      <c r="AP15" s="1" t="s">
        <v>243</v>
      </c>
      <c r="AQ15" s="1" t="s">
        <v>195</v>
      </c>
      <c r="AR15" s="1" t="s">
        <v>114</v>
      </c>
      <c r="AS15" s="1" t="s">
        <v>244</v>
      </c>
      <c r="AT15" s="1" t="s">
        <v>245</v>
      </c>
      <c r="AU15" s="1" t="s">
        <v>246</v>
      </c>
      <c r="AV15" s="20" t="s">
        <v>480</v>
      </c>
      <c r="AW15" s="1" t="s">
        <v>247</v>
      </c>
      <c r="AX15" s="7" t="s">
        <v>65</v>
      </c>
      <c r="AY15" s="2" t="s">
        <v>73</v>
      </c>
      <c r="AZ15" s="1" t="s">
        <v>169</v>
      </c>
      <c r="BA15" s="3">
        <v>62.24</v>
      </c>
      <c r="BB15" s="3">
        <v>2.35</v>
      </c>
      <c r="BC15" s="3">
        <v>1.8833329999999999</v>
      </c>
      <c r="BD15" s="3">
        <v>0.466667</v>
      </c>
      <c r="BE15" s="3">
        <v>2.35</v>
      </c>
      <c r="BF15" s="1" t="s">
        <v>78</v>
      </c>
      <c r="BG15" s="1" t="s">
        <v>79</v>
      </c>
      <c r="BH15" s="1" t="s">
        <v>80</v>
      </c>
    </row>
    <row r="16" spans="1:60" outlineLevel="1" x14ac:dyDescent="0.25">
      <c r="A16" s="1" t="s">
        <v>160</v>
      </c>
      <c r="B16" s="1" t="s">
        <v>161</v>
      </c>
      <c r="C16" s="2">
        <v>9</v>
      </c>
      <c r="D16" s="3">
        <v>15.18</v>
      </c>
      <c r="E16" s="4">
        <v>2.8000000000000001E-2</v>
      </c>
      <c r="F16" s="1" t="s">
        <v>60</v>
      </c>
      <c r="G16" s="2" t="s">
        <v>61</v>
      </c>
      <c r="H16" s="1" t="s">
        <v>62</v>
      </c>
      <c r="I16" s="1" t="s">
        <v>81</v>
      </c>
      <c r="J16" s="2" t="s">
        <v>82</v>
      </c>
      <c r="K16" s="2" t="s">
        <v>83</v>
      </c>
      <c r="L16" s="1" t="s">
        <v>248</v>
      </c>
      <c r="M16" s="1" t="s">
        <v>249</v>
      </c>
      <c r="N16" s="1" t="s">
        <v>250</v>
      </c>
      <c r="O16" s="7" t="s">
        <v>65</v>
      </c>
      <c r="P16" s="5">
        <v>45754.333333333328</v>
      </c>
      <c r="Q16" s="6">
        <v>45754</v>
      </c>
      <c r="R16" s="5">
        <v>45754.482303240737</v>
      </c>
      <c r="S16" s="1" t="s">
        <v>66</v>
      </c>
      <c r="T16" s="1" t="s">
        <v>67</v>
      </c>
      <c r="U16" s="1" t="s">
        <v>68</v>
      </c>
      <c r="V16" s="1" t="s">
        <v>69</v>
      </c>
      <c r="W16" s="1" t="s">
        <v>70</v>
      </c>
      <c r="X16" s="1" t="s">
        <v>71</v>
      </c>
      <c r="Y16" s="2" t="s">
        <v>119</v>
      </c>
      <c r="Z16" s="1" t="s">
        <v>119</v>
      </c>
      <c r="AA16" s="2" t="s">
        <v>73</v>
      </c>
      <c r="AB16" s="1" t="s">
        <v>73</v>
      </c>
      <c r="AC16" s="2" t="s">
        <v>113</v>
      </c>
      <c r="AD16" s="2" t="s">
        <v>73</v>
      </c>
      <c r="AE16" s="2" t="s">
        <v>73</v>
      </c>
      <c r="AF16" s="5" t="s">
        <v>73</v>
      </c>
      <c r="AG16" s="5" t="s">
        <v>73</v>
      </c>
      <c r="AH16" s="7" t="s">
        <v>65</v>
      </c>
      <c r="AI16" s="3">
        <v>2</v>
      </c>
      <c r="AJ16" s="1" t="s">
        <v>190</v>
      </c>
      <c r="AK16" s="1" t="s">
        <v>251</v>
      </c>
      <c r="AL16" s="1" t="s">
        <v>86</v>
      </c>
      <c r="AM16" s="1" t="s">
        <v>87</v>
      </c>
      <c r="AN16" s="1" t="s">
        <v>71</v>
      </c>
      <c r="AO16" s="1" t="s">
        <v>252</v>
      </c>
      <c r="AP16" s="1" t="s">
        <v>253</v>
      </c>
      <c r="AQ16" s="1" t="s">
        <v>254</v>
      </c>
      <c r="AR16" s="1" t="s">
        <v>114</v>
      </c>
      <c r="AS16" s="1" t="s">
        <v>255</v>
      </c>
      <c r="AT16" s="1" t="s">
        <v>198</v>
      </c>
      <c r="AU16" s="1" t="s">
        <v>108</v>
      </c>
      <c r="AV16" s="1" t="s">
        <v>256</v>
      </c>
      <c r="AW16" s="1" t="s">
        <v>256</v>
      </c>
      <c r="AX16" s="7" t="s">
        <v>65</v>
      </c>
      <c r="AY16" s="2" t="s">
        <v>73</v>
      </c>
      <c r="AZ16" s="1" t="s">
        <v>169</v>
      </c>
      <c r="BA16" s="3">
        <v>62.4</v>
      </c>
      <c r="BB16" s="3">
        <v>1.1000000000000001</v>
      </c>
      <c r="BC16" s="3">
        <v>0.91666700000000001</v>
      </c>
      <c r="BD16" s="3">
        <v>0.183333</v>
      </c>
      <c r="BE16" s="3">
        <v>1.1000000000000001</v>
      </c>
      <c r="BF16" s="1" t="s">
        <v>73</v>
      </c>
      <c r="BG16" s="1" t="s">
        <v>73</v>
      </c>
      <c r="BH16" s="1" t="s">
        <v>73</v>
      </c>
    </row>
    <row r="17" spans="1:60" ht="45" outlineLevel="1" x14ac:dyDescent="0.25">
      <c r="A17" s="1" t="s">
        <v>160</v>
      </c>
      <c r="B17" s="1" t="s">
        <v>161</v>
      </c>
      <c r="C17" s="2">
        <v>10</v>
      </c>
      <c r="D17" s="3">
        <v>79</v>
      </c>
      <c r="E17" s="4">
        <v>0.4</v>
      </c>
      <c r="F17" s="1" t="s">
        <v>60</v>
      </c>
      <c r="G17" s="2" t="s">
        <v>61</v>
      </c>
      <c r="H17" s="1" t="s">
        <v>62</v>
      </c>
      <c r="I17" s="1" t="s">
        <v>81</v>
      </c>
      <c r="J17" s="2" t="s">
        <v>82</v>
      </c>
      <c r="K17" s="2" t="s">
        <v>83</v>
      </c>
      <c r="L17" s="1" t="s">
        <v>257</v>
      </c>
      <c r="M17" s="1" t="s">
        <v>258</v>
      </c>
      <c r="N17" s="1" t="s">
        <v>259</v>
      </c>
      <c r="O17" s="7" t="s">
        <v>65</v>
      </c>
      <c r="P17" s="5">
        <v>45754.333333333328</v>
      </c>
      <c r="Q17" s="6">
        <v>45754</v>
      </c>
      <c r="R17" s="5">
        <v>45754.528171296297</v>
      </c>
      <c r="S17" s="1" t="s">
        <v>66</v>
      </c>
      <c r="T17" s="1" t="s">
        <v>67</v>
      </c>
      <c r="U17" s="1" t="s">
        <v>68</v>
      </c>
      <c r="V17" s="1" t="s">
        <v>69</v>
      </c>
      <c r="W17" s="1" t="s">
        <v>70</v>
      </c>
      <c r="X17" s="1" t="s">
        <v>71</v>
      </c>
      <c r="Y17" s="2" t="s">
        <v>119</v>
      </c>
      <c r="Z17" s="1" t="s">
        <v>119</v>
      </c>
      <c r="AA17" s="2" t="s">
        <v>73</v>
      </c>
      <c r="AB17" s="1" t="s">
        <v>73</v>
      </c>
      <c r="AC17" s="2" t="s">
        <v>113</v>
      </c>
      <c r="AD17" s="2" t="s">
        <v>73</v>
      </c>
      <c r="AE17" s="2" t="s">
        <v>73</v>
      </c>
      <c r="AF17" s="5" t="s">
        <v>73</v>
      </c>
      <c r="AG17" s="5" t="s">
        <v>73</v>
      </c>
      <c r="AH17" s="7" t="s">
        <v>65</v>
      </c>
      <c r="AI17" s="3">
        <v>14</v>
      </c>
      <c r="AJ17" s="1" t="s">
        <v>190</v>
      </c>
      <c r="AK17" s="1" t="s">
        <v>251</v>
      </c>
      <c r="AL17" s="1" t="s">
        <v>86</v>
      </c>
      <c r="AM17" s="1" t="s">
        <v>87</v>
      </c>
      <c r="AN17" s="1" t="s">
        <v>71</v>
      </c>
      <c r="AO17" s="1" t="s">
        <v>260</v>
      </c>
      <c r="AP17" s="1" t="s">
        <v>121</v>
      </c>
      <c r="AQ17" s="1" t="s">
        <v>261</v>
      </c>
      <c r="AR17" s="1" t="s">
        <v>114</v>
      </c>
      <c r="AS17" s="1" t="s">
        <v>262</v>
      </c>
      <c r="AT17" s="1" t="s">
        <v>198</v>
      </c>
      <c r="AU17" s="1" t="s">
        <v>127</v>
      </c>
      <c r="AV17" s="20" t="s">
        <v>478</v>
      </c>
      <c r="AW17" s="1" t="s">
        <v>199</v>
      </c>
      <c r="AX17" s="7" t="s">
        <v>65</v>
      </c>
      <c r="AY17" s="2" t="s">
        <v>73</v>
      </c>
      <c r="AZ17" s="1" t="s">
        <v>169</v>
      </c>
      <c r="BA17" s="3">
        <v>62.4</v>
      </c>
      <c r="BB17" s="3">
        <v>1.0333330000000001</v>
      </c>
      <c r="BC17" s="3">
        <v>0.48333300000000001</v>
      </c>
      <c r="BD17" s="3">
        <v>0.55000000000000004</v>
      </c>
      <c r="BE17" s="3">
        <v>1.0333333333333301</v>
      </c>
      <c r="BF17" s="1" t="s">
        <v>92</v>
      </c>
      <c r="BG17" s="1" t="s">
        <v>93</v>
      </c>
      <c r="BH17" s="1" t="s">
        <v>94</v>
      </c>
    </row>
    <row r="18" spans="1:60" ht="45" outlineLevel="1" x14ac:dyDescent="0.25">
      <c r="A18" s="1" t="s">
        <v>160</v>
      </c>
      <c r="B18" s="1" t="s">
        <v>161</v>
      </c>
      <c r="C18" s="2">
        <v>11</v>
      </c>
      <c r="D18" s="3">
        <v>39.5</v>
      </c>
      <c r="E18" s="4">
        <v>0.2</v>
      </c>
      <c r="F18" s="1" t="s">
        <v>60</v>
      </c>
      <c r="G18" s="2" t="s">
        <v>61</v>
      </c>
      <c r="H18" s="1" t="s">
        <v>62</v>
      </c>
      <c r="I18" s="1" t="s">
        <v>81</v>
      </c>
      <c r="J18" s="2" t="s">
        <v>82</v>
      </c>
      <c r="K18" s="2" t="s">
        <v>83</v>
      </c>
      <c r="L18" s="1" t="s">
        <v>263</v>
      </c>
      <c r="M18" s="1" t="s">
        <v>264</v>
      </c>
      <c r="N18" s="1" t="s">
        <v>265</v>
      </c>
      <c r="O18" s="7" t="s">
        <v>65</v>
      </c>
      <c r="P18" s="5">
        <v>45754.333333333328</v>
      </c>
      <c r="Q18" s="6">
        <v>45754</v>
      </c>
      <c r="R18" s="5">
        <v>45754.57126157407</v>
      </c>
      <c r="S18" s="1" t="s">
        <v>66</v>
      </c>
      <c r="T18" s="1" t="s">
        <v>67</v>
      </c>
      <c r="U18" s="1" t="s">
        <v>68</v>
      </c>
      <c r="V18" s="1" t="s">
        <v>69</v>
      </c>
      <c r="W18" s="1" t="s">
        <v>70</v>
      </c>
      <c r="X18" s="1" t="s">
        <v>71</v>
      </c>
      <c r="Y18" s="2" t="s">
        <v>119</v>
      </c>
      <c r="Z18" s="1" t="s">
        <v>119</v>
      </c>
      <c r="AA18" s="2" t="s">
        <v>73</v>
      </c>
      <c r="AB18" s="1" t="s">
        <v>73</v>
      </c>
      <c r="AC18" s="2" t="s">
        <v>113</v>
      </c>
      <c r="AD18" s="2" t="s">
        <v>73</v>
      </c>
      <c r="AE18" s="2" t="s">
        <v>73</v>
      </c>
      <c r="AF18" s="5" t="s">
        <v>73</v>
      </c>
      <c r="AG18" s="5" t="s">
        <v>73</v>
      </c>
      <c r="AH18" s="7" t="s">
        <v>65</v>
      </c>
      <c r="AI18" s="3">
        <v>7</v>
      </c>
      <c r="AJ18" s="1" t="s">
        <v>190</v>
      </c>
      <c r="AK18" s="1" t="s">
        <v>251</v>
      </c>
      <c r="AL18" s="1" t="s">
        <v>86</v>
      </c>
      <c r="AM18" s="1" t="s">
        <v>87</v>
      </c>
      <c r="AN18" s="1" t="s">
        <v>71</v>
      </c>
      <c r="AO18" s="1" t="s">
        <v>266</v>
      </c>
      <c r="AP18" s="1" t="s">
        <v>121</v>
      </c>
      <c r="AQ18" s="1" t="s">
        <v>254</v>
      </c>
      <c r="AR18" s="1" t="s">
        <v>114</v>
      </c>
      <c r="AS18" s="1" t="s">
        <v>267</v>
      </c>
      <c r="AT18" s="1" t="s">
        <v>198</v>
      </c>
      <c r="AU18" s="1" t="s">
        <v>127</v>
      </c>
      <c r="AV18" s="20" t="s">
        <v>478</v>
      </c>
      <c r="AW18" s="1" t="s">
        <v>199</v>
      </c>
      <c r="AX18" s="7" t="s">
        <v>65</v>
      </c>
      <c r="AY18" s="2" t="s">
        <v>73</v>
      </c>
      <c r="AZ18" s="1" t="s">
        <v>169</v>
      </c>
      <c r="BA18" s="3">
        <v>62.4</v>
      </c>
      <c r="BB18" s="3">
        <v>0.51666699999999999</v>
      </c>
      <c r="BC18" s="3">
        <v>0.23333300000000001</v>
      </c>
      <c r="BD18" s="3">
        <v>0.283333</v>
      </c>
      <c r="BE18" s="3">
        <v>0.51666666666666705</v>
      </c>
      <c r="BF18" s="1" t="s">
        <v>92</v>
      </c>
      <c r="BG18" s="1" t="s">
        <v>93</v>
      </c>
      <c r="BH18" s="1" t="s">
        <v>94</v>
      </c>
    </row>
    <row r="19" spans="1:60" ht="75" outlineLevel="1" x14ac:dyDescent="0.25">
      <c r="A19" s="1" t="s">
        <v>160</v>
      </c>
      <c r="B19" s="1" t="s">
        <v>161</v>
      </c>
      <c r="C19" s="2">
        <v>12</v>
      </c>
      <c r="D19" s="3">
        <v>35.369999999999997</v>
      </c>
      <c r="E19" s="4">
        <v>5.7000000000000002E-2</v>
      </c>
      <c r="F19" s="1" t="s">
        <v>60</v>
      </c>
      <c r="G19" s="2" t="s">
        <v>61</v>
      </c>
      <c r="H19" s="1" t="s">
        <v>62</v>
      </c>
      <c r="I19" s="1" t="s">
        <v>81</v>
      </c>
      <c r="J19" s="2" t="s">
        <v>82</v>
      </c>
      <c r="K19" s="2" t="s">
        <v>83</v>
      </c>
      <c r="L19" s="1" t="s">
        <v>268</v>
      </c>
      <c r="M19" s="1" t="s">
        <v>269</v>
      </c>
      <c r="N19" s="1" t="s">
        <v>270</v>
      </c>
      <c r="O19" s="7" t="s">
        <v>65</v>
      </c>
      <c r="P19" s="5">
        <v>45754.333333333328</v>
      </c>
      <c r="Q19" s="6">
        <v>45754</v>
      </c>
      <c r="R19" s="5">
        <v>45754.592824074069</v>
      </c>
      <c r="S19" s="1" t="s">
        <v>66</v>
      </c>
      <c r="T19" s="1" t="s">
        <v>67</v>
      </c>
      <c r="U19" s="1" t="s">
        <v>68</v>
      </c>
      <c r="V19" s="1" t="s">
        <v>69</v>
      </c>
      <c r="W19" s="1" t="s">
        <v>70</v>
      </c>
      <c r="X19" s="1" t="s">
        <v>71</v>
      </c>
      <c r="Y19" s="2" t="s">
        <v>119</v>
      </c>
      <c r="Z19" s="1" t="s">
        <v>119</v>
      </c>
      <c r="AA19" s="2" t="s">
        <v>73</v>
      </c>
      <c r="AB19" s="1" t="s">
        <v>73</v>
      </c>
      <c r="AC19" s="2" t="s">
        <v>113</v>
      </c>
      <c r="AD19" s="2" t="s">
        <v>73</v>
      </c>
      <c r="AE19" s="2" t="s">
        <v>73</v>
      </c>
      <c r="AF19" s="5" t="s">
        <v>73</v>
      </c>
      <c r="AG19" s="5" t="s">
        <v>73</v>
      </c>
      <c r="AH19" s="7" t="s">
        <v>65</v>
      </c>
      <c r="AI19" s="3">
        <v>10</v>
      </c>
      <c r="AJ19" s="1" t="s">
        <v>190</v>
      </c>
      <c r="AK19" s="1" t="s">
        <v>251</v>
      </c>
      <c r="AL19" s="1" t="s">
        <v>86</v>
      </c>
      <c r="AM19" s="1" t="s">
        <v>87</v>
      </c>
      <c r="AN19" s="1" t="s">
        <v>71</v>
      </c>
      <c r="AO19" s="1" t="s">
        <v>271</v>
      </c>
      <c r="AP19" s="1" t="s">
        <v>121</v>
      </c>
      <c r="AQ19" s="1" t="s">
        <v>115</v>
      </c>
      <c r="AR19" s="1" t="s">
        <v>114</v>
      </c>
      <c r="AS19" s="1" t="s">
        <v>272</v>
      </c>
      <c r="AT19" s="1" t="s">
        <v>198</v>
      </c>
      <c r="AU19" s="1" t="s">
        <v>90</v>
      </c>
      <c r="AV19" s="20" t="s">
        <v>481</v>
      </c>
      <c r="AW19" s="1" t="s">
        <v>273</v>
      </c>
      <c r="AX19" s="7" t="s">
        <v>65</v>
      </c>
      <c r="AY19" s="2" t="s">
        <v>73</v>
      </c>
      <c r="AZ19" s="1" t="s">
        <v>169</v>
      </c>
      <c r="BA19" s="3">
        <v>62.4</v>
      </c>
      <c r="BB19" s="3">
        <v>1.5333330000000001</v>
      </c>
      <c r="BC19" s="3">
        <v>1.066667</v>
      </c>
      <c r="BD19" s="3">
        <v>0.466667</v>
      </c>
      <c r="BE19" s="3">
        <v>1.5333333333333301</v>
      </c>
      <c r="BF19" s="1" t="s">
        <v>92</v>
      </c>
      <c r="BG19" s="1" t="s">
        <v>93</v>
      </c>
      <c r="BH19" s="1" t="s">
        <v>94</v>
      </c>
    </row>
    <row r="20" spans="1:60" ht="105" outlineLevel="1" x14ac:dyDescent="0.25">
      <c r="A20" s="1" t="s">
        <v>160</v>
      </c>
      <c r="B20" s="1" t="s">
        <v>161</v>
      </c>
      <c r="C20" s="2">
        <v>13</v>
      </c>
      <c r="D20" s="3">
        <v>154.5</v>
      </c>
      <c r="E20" s="4">
        <v>1.349</v>
      </c>
      <c r="F20" s="1" t="s">
        <v>60</v>
      </c>
      <c r="G20" s="2" t="s">
        <v>61</v>
      </c>
      <c r="H20" s="1" t="s">
        <v>62</v>
      </c>
      <c r="I20" s="1" t="s">
        <v>81</v>
      </c>
      <c r="J20" s="2" t="s">
        <v>82</v>
      </c>
      <c r="K20" s="2" t="s">
        <v>83</v>
      </c>
      <c r="L20" s="1" t="s">
        <v>274</v>
      </c>
      <c r="M20" s="1" t="s">
        <v>275</v>
      </c>
      <c r="N20" s="1" t="s">
        <v>276</v>
      </c>
      <c r="O20" s="7" t="s">
        <v>65</v>
      </c>
      <c r="P20" s="5">
        <v>45754.333333333328</v>
      </c>
      <c r="Q20" s="6">
        <v>45754</v>
      </c>
      <c r="R20" s="5">
        <v>45754.666701388887</v>
      </c>
      <c r="S20" s="1" t="s">
        <v>66</v>
      </c>
      <c r="T20" s="1" t="s">
        <v>67</v>
      </c>
      <c r="U20" s="1" t="s">
        <v>68</v>
      </c>
      <c r="V20" s="1" t="s">
        <v>69</v>
      </c>
      <c r="W20" s="1" t="s">
        <v>70</v>
      </c>
      <c r="X20" s="1" t="s">
        <v>71</v>
      </c>
      <c r="Y20" s="2" t="s">
        <v>119</v>
      </c>
      <c r="Z20" s="1" t="s">
        <v>119</v>
      </c>
      <c r="AA20" s="2" t="s">
        <v>73</v>
      </c>
      <c r="AB20" s="1" t="s">
        <v>73</v>
      </c>
      <c r="AC20" s="2" t="s">
        <v>113</v>
      </c>
      <c r="AD20" s="2" t="s">
        <v>73</v>
      </c>
      <c r="AE20" s="2" t="s">
        <v>73</v>
      </c>
      <c r="AF20" s="5" t="s">
        <v>73</v>
      </c>
      <c r="AG20" s="5" t="s">
        <v>73</v>
      </c>
      <c r="AH20" s="7" t="s">
        <v>65</v>
      </c>
      <c r="AI20" s="3">
        <v>6</v>
      </c>
      <c r="AJ20" s="1" t="s">
        <v>277</v>
      </c>
      <c r="AK20" s="1" t="s">
        <v>278</v>
      </c>
      <c r="AL20" s="1" t="s">
        <v>86</v>
      </c>
      <c r="AM20" s="1" t="s">
        <v>279</v>
      </c>
      <c r="AN20" s="1" t="s">
        <v>71</v>
      </c>
      <c r="AO20" s="1" t="s">
        <v>280</v>
      </c>
      <c r="AP20" s="1" t="s">
        <v>280</v>
      </c>
      <c r="AQ20" s="1" t="s">
        <v>136</v>
      </c>
      <c r="AR20" s="1" t="s">
        <v>114</v>
      </c>
      <c r="AS20" s="1" t="s">
        <v>89</v>
      </c>
      <c r="AT20" s="1" t="s">
        <v>281</v>
      </c>
      <c r="AU20" s="1" t="s">
        <v>98</v>
      </c>
      <c r="AV20" s="20" t="s">
        <v>482</v>
      </c>
      <c r="AW20" s="1" t="s">
        <v>282</v>
      </c>
      <c r="AX20" s="7" t="s">
        <v>65</v>
      </c>
      <c r="AY20" s="2" t="s">
        <v>73</v>
      </c>
      <c r="AZ20" s="1" t="s">
        <v>169</v>
      </c>
      <c r="BA20" s="3">
        <v>57.92</v>
      </c>
      <c r="BB20" s="3">
        <v>1.55</v>
      </c>
      <c r="BC20" s="3">
        <v>0.78333299999999995</v>
      </c>
      <c r="BD20" s="3">
        <v>0.76666699999999999</v>
      </c>
      <c r="BE20" s="3">
        <v>1.55</v>
      </c>
      <c r="BF20" s="1" t="s">
        <v>283</v>
      </c>
      <c r="BG20" s="1" t="s">
        <v>284</v>
      </c>
      <c r="BH20" s="1" t="s">
        <v>285</v>
      </c>
    </row>
    <row r="21" spans="1:60" outlineLevel="1" x14ac:dyDescent="0.25">
      <c r="A21" s="1" t="s">
        <v>160</v>
      </c>
      <c r="B21" s="1" t="s">
        <v>161</v>
      </c>
      <c r="C21" s="2">
        <v>14</v>
      </c>
      <c r="D21" s="3">
        <v>0</v>
      </c>
      <c r="E21" s="4">
        <v>1E-3</v>
      </c>
      <c r="F21" s="1" t="s">
        <v>60</v>
      </c>
      <c r="G21" s="2" t="s">
        <v>61</v>
      </c>
      <c r="H21" s="1" t="s">
        <v>62</v>
      </c>
      <c r="I21" s="1" t="s">
        <v>81</v>
      </c>
      <c r="J21" s="2" t="s">
        <v>82</v>
      </c>
      <c r="K21" s="2" t="s">
        <v>83</v>
      </c>
      <c r="L21" s="1" t="s">
        <v>286</v>
      </c>
      <c r="M21" s="1" t="s">
        <v>287</v>
      </c>
      <c r="N21" s="1" t="s">
        <v>288</v>
      </c>
      <c r="O21" s="7" t="s">
        <v>65</v>
      </c>
      <c r="P21" s="5">
        <v>45755.333333333328</v>
      </c>
      <c r="Q21" s="6">
        <v>45755</v>
      </c>
      <c r="R21" s="5">
        <v>45755.468599537038</v>
      </c>
      <c r="S21" s="1" t="s">
        <v>66</v>
      </c>
      <c r="T21" s="1" t="s">
        <v>67</v>
      </c>
      <c r="U21" s="1" t="s">
        <v>68</v>
      </c>
      <c r="V21" s="1" t="s">
        <v>69</v>
      </c>
      <c r="W21" s="1" t="s">
        <v>70</v>
      </c>
      <c r="X21" s="1" t="s">
        <v>71</v>
      </c>
      <c r="Y21" s="2" t="s">
        <v>119</v>
      </c>
      <c r="Z21" s="1" t="s">
        <v>119</v>
      </c>
      <c r="AA21" s="2" t="s">
        <v>73</v>
      </c>
      <c r="AB21" s="1" t="s">
        <v>73</v>
      </c>
      <c r="AC21" s="2" t="s">
        <v>113</v>
      </c>
      <c r="AD21" s="2" t="s">
        <v>73</v>
      </c>
      <c r="AE21" s="2" t="s">
        <v>73</v>
      </c>
      <c r="AF21" s="5" t="s">
        <v>73</v>
      </c>
      <c r="AG21" s="5" t="s">
        <v>73</v>
      </c>
      <c r="AH21" s="7" t="s">
        <v>65</v>
      </c>
      <c r="AI21" s="3">
        <v>1</v>
      </c>
      <c r="AJ21" s="1" t="s">
        <v>289</v>
      </c>
      <c r="AK21" s="1" t="s">
        <v>290</v>
      </c>
      <c r="AL21" s="1" t="s">
        <v>86</v>
      </c>
      <c r="AM21" s="1" t="s">
        <v>291</v>
      </c>
      <c r="AN21" s="1" t="s">
        <v>71</v>
      </c>
      <c r="AO21" s="1" t="s">
        <v>292</v>
      </c>
      <c r="AP21" s="1" t="s">
        <v>292</v>
      </c>
      <c r="AQ21" s="1" t="s">
        <v>254</v>
      </c>
      <c r="AR21" s="1" t="s">
        <v>123</v>
      </c>
      <c r="AS21" s="1" t="s">
        <v>89</v>
      </c>
      <c r="AT21" s="1" t="s">
        <v>293</v>
      </c>
      <c r="AU21" s="1" t="s">
        <v>108</v>
      </c>
      <c r="AV21" s="1" t="s">
        <v>294</v>
      </c>
      <c r="AW21" s="1" t="s">
        <v>294</v>
      </c>
      <c r="AX21" s="7" t="s">
        <v>65</v>
      </c>
      <c r="AY21" s="2" t="s">
        <v>73</v>
      </c>
      <c r="AZ21" s="1" t="s">
        <v>169</v>
      </c>
      <c r="BA21" s="3">
        <v>64.33</v>
      </c>
      <c r="BB21" s="3">
        <v>0.1</v>
      </c>
      <c r="BC21" s="3">
        <v>0</v>
      </c>
      <c r="BD21" s="3">
        <v>0.1</v>
      </c>
      <c r="BE21" s="3">
        <v>0.1</v>
      </c>
      <c r="BF21" s="1" t="s">
        <v>295</v>
      </c>
      <c r="BG21" s="1" t="s">
        <v>296</v>
      </c>
      <c r="BH21" s="1" t="s">
        <v>297</v>
      </c>
    </row>
    <row r="22" spans="1:60" outlineLevel="1" x14ac:dyDescent="0.25">
      <c r="A22" s="1" t="s">
        <v>160</v>
      </c>
      <c r="B22" s="1" t="s">
        <v>161</v>
      </c>
      <c r="C22" s="2">
        <v>15</v>
      </c>
      <c r="D22" s="3">
        <v>175.12</v>
      </c>
      <c r="E22" s="4">
        <v>0.36599999999999999</v>
      </c>
      <c r="F22" s="1" t="s">
        <v>60</v>
      </c>
      <c r="G22" s="2" t="s">
        <v>61</v>
      </c>
      <c r="H22" s="1" t="s">
        <v>62</v>
      </c>
      <c r="I22" s="1" t="s">
        <v>81</v>
      </c>
      <c r="J22" s="2" t="s">
        <v>82</v>
      </c>
      <c r="K22" s="2" t="s">
        <v>83</v>
      </c>
      <c r="L22" s="1" t="s">
        <v>298</v>
      </c>
      <c r="M22" s="1" t="s">
        <v>299</v>
      </c>
      <c r="N22" s="1" t="s">
        <v>300</v>
      </c>
      <c r="O22" s="7" t="s">
        <v>65</v>
      </c>
      <c r="P22" s="5">
        <v>45755.333333333328</v>
      </c>
      <c r="Q22" s="6">
        <v>45755</v>
      </c>
      <c r="R22" s="5">
        <v>45755.486793981479</v>
      </c>
      <c r="S22" s="1" t="s">
        <v>66</v>
      </c>
      <c r="T22" s="1" t="s">
        <v>67</v>
      </c>
      <c r="U22" s="1" t="s">
        <v>68</v>
      </c>
      <c r="V22" s="1" t="s">
        <v>69</v>
      </c>
      <c r="W22" s="1" t="s">
        <v>70</v>
      </c>
      <c r="X22" s="1" t="s">
        <v>71</v>
      </c>
      <c r="Y22" s="2" t="s">
        <v>119</v>
      </c>
      <c r="Z22" s="1" t="s">
        <v>119</v>
      </c>
      <c r="AA22" s="2" t="s">
        <v>73</v>
      </c>
      <c r="AB22" s="1" t="s">
        <v>73</v>
      </c>
      <c r="AC22" s="2" t="s">
        <v>113</v>
      </c>
      <c r="AD22" s="2" t="s">
        <v>73</v>
      </c>
      <c r="AE22" s="2" t="s">
        <v>73</v>
      </c>
      <c r="AF22" s="5" t="s">
        <v>73</v>
      </c>
      <c r="AG22" s="5" t="s">
        <v>73</v>
      </c>
      <c r="AH22" s="7" t="s">
        <v>65</v>
      </c>
      <c r="AI22" s="3">
        <v>11</v>
      </c>
      <c r="AJ22" s="1" t="s">
        <v>301</v>
      </c>
      <c r="AK22" s="1" t="s">
        <v>302</v>
      </c>
      <c r="AL22" s="1" t="s">
        <v>86</v>
      </c>
      <c r="AM22" s="1" t="s">
        <v>205</v>
      </c>
      <c r="AN22" s="1" t="s">
        <v>71</v>
      </c>
      <c r="AO22" s="1" t="s">
        <v>303</v>
      </c>
      <c r="AP22" s="1" t="s">
        <v>304</v>
      </c>
      <c r="AQ22" s="1" t="s">
        <v>234</v>
      </c>
      <c r="AR22" s="1" t="s">
        <v>114</v>
      </c>
      <c r="AS22" s="1" t="s">
        <v>89</v>
      </c>
      <c r="AT22" s="1" t="s">
        <v>305</v>
      </c>
      <c r="AU22" s="1" t="s">
        <v>108</v>
      </c>
      <c r="AV22" s="1" t="s">
        <v>306</v>
      </c>
      <c r="AW22" s="1" t="s">
        <v>306</v>
      </c>
      <c r="AX22" s="7" t="s">
        <v>65</v>
      </c>
      <c r="AY22" s="2" t="s">
        <v>73</v>
      </c>
      <c r="AZ22" s="1" t="s">
        <v>169</v>
      </c>
      <c r="BA22" s="3">
        <v>64.59</v>
      </c>
      <c r="BB22" s="3">
        <v>2.9</v>
      </c>
      <c r="BC22" s="3">
        <v>1.8666670000000001</v>
      </c>
      <c r="BD22" s="3">
        <v>1.0333330000000001</v>
      </c>
      <c r="BE22" s="3">
        <v>2.9</v>
      </c>
      <c r="BF22" s="1" t="s">
        <v>116</v>
      </c>
      <c r="BG22" s="1" t="s">
        <v>117</v>
      </c>
      <c r="BH22" s="1" t="s">
        <v>118</v>
      </c>
    </row>
    <row r="23" spans="1:60" ht="165" outlineLevel="1" x14ac:dyDescent="0.25">
      <c r="A23" s="1" t="s">
        <v>160</v>
      </c>
      <c r="B23" s="1" t="s">
        <v>161</v>
      </c>
      <c r="C23" s="2">
        <v>16</v>
      </c>
      <c r="D23" s="3">
        <v>112.44</v>
      </c>
      <c r="E23" s="4">
        <v>0.495</v>
      </c>
      <c r="F23" s="1" t="s">
        <v>60</v>
      </c>
      <c r="G23" s="2" t="s">
        <v>61</v>
      </c>
      <c r="H23" s="1" t="s">
        <v>62</v>
      </c>
      <c r="I23" s="1" t="s">
        <v>81</v>
      </c>
      <c r="J23" s="2" t="s">
        <v>82</v>
      </c>
      <c r="K23" s="2" t="s">
        <v>83</v>
      </c>
      <c r="L23" s="1" t="s">
        <v>307</v>
      </c>
      <c r="M23" s="1" t="s">
        <v>308</v>
      </c>
      <c r="N23" s="1" t="s">
        <v>309</v>
      </c>
      <c r="O23" s="7" t="s">
        <v>65</v>
      </c>
      <c r="P23" s="5">
        <v>45755.333333333328</v>
      </c>
      <c r="Q23" s="6">
        <v>45755</v>
      </c>
      <c r="R23" s="5">
        <v>45755.620127314811</v>
      </c>
      <c r="S23" s="1" t="s">
        <v>66</v>
      </c>
      <c r="T23" s="1" t="s">
        <v>67</v>
      </c>
      <c r="U23" s="1" t="s">
        <v>68</v>
      </c>
      <c r="V23" s="1" t="s">
        <v>69</v>
      </c>
      <c r="W23" s="1" t="s">
        <v>70</v>
      </c>
      <c r="X23" s="1" t="s">
        <v>71</v>
      </c>
      <c r="Y23" s="2" t="s">
        <v>119</v>
      </c>
      <c r="Z23" s="1" t="s">
        <v>119</v>
      </c>
      <c r="AA23" s="2" t="s">
        <v>73</v>
      </c>
      <c r="AB23" s="1" t="s">
        <v>73</v>
      </c>
      <c r="AC23" s="2" t="s">
        <v>113</v>
      </c>
      <c r="AD23" s="2" t="s">
        <v>73</v>
      </c>
      <c r="AE23" s="2" t="s">
        <v>73</v>
      </c>
      <c r="AF23" s="5" t="s">
        <v>73</v>
      </c>
      <c r="AG23" s="5" t="s">
        <v>73</v>
      </c>
      <c r="AH23" s="7" t="s">
        <v>65</v>
      </c>
      <c r="AI23" s="3">
        <v>6</v>
      </c>
      <c r="AJ23" s="1" t="s">
        <v>310</v>
      </c>
      <c r="AK23" s="1" t="s">
        <v>311</v>
      </c>
      <c r="AL23" s="1" t="s">
        <v>86</v>
      </c>
      <c r="AM23" s="1" t="s">
        <v>312</v>
      </c>
      <c r="AN23" s="1" t="s">
        <v>71</v>
      </c>
      <c r="AO23" s="1" t="s">
        <v>313</v>
      </c>
      <c r="AP23" s="1" t="s">
        <v>314</v>
      </c>
      <c r="AQ23" s="1" t="s">
        <v>136</v>
      </c>
      <c r="AR23" s="1" t="s">
        <v>114</v>
      </c>
      <c r="AS23" s="1" t="s">
        <v>315</v>
      </c>
      <c r="AT23" s="1" t="s">
        <v>316</v>
      </c>
      <c r="AU23" s="1" t="s">
        <v>317</v>
      </c>
      <c r="AV23" s="20" t="s">
        <v>483</v>
      </c>
      <c r="AW23" s="1" t="s">
        <v>318</v>
      </c>
      <c r="AX23" s="7" t="s">
        <v>65</v>
      </c>
      <c r="AY23" s="2" t="s">
        <v>73</v>
      </c>
      <c r="AZ23" s="1" t="s">
        <v>169</v>
      </c>
      <c r="BA23" s="3">
        <v>55.12</v>
      </c>
      <c r="BB23" s="3">
        <v>1</v>
      </c>
      <c r="BC23" s="3">
        <v>0.466667</v>
      </c>
      <c r="BD23" s="3">
        <v>0.53333299999999995</v>
      </c>
      <c r="BE23" s="3">
        <v>1</v>
      </c>
      <c r="BF23" s="1" t="s">
        <v>283</v>
      </c>
      <c r="BG23" s="1" t="s">
        <v>284</v>
      </c>
      <c r="BH23" s="1" t="s">
        <v>285</v>
      </c>
    </row>
    <row r="24" spans="1:60" outlineLevel="1" x14ac:dyDescent="0.25">
      <c r="A24" s="1" t="s">
        <v>160</v>
      </c>
      <c r="B24" s="1" t="s">
        <v>161</v>
      </c>
      <c r="C24" s="2">
        <v>17</v>
      </c>
      <c r="D24" s="3">
        <v>320</v>
      </c>
      <c r="E24" s="4">
        <v>4.3</v>
      </c>
      <c r="F24" s="1" t="s">
        <v>60</v>
      </c>
      <c r="G24" s="2" t="s">
        <v>61</v>
      </c>
      <c r="H24" s="1" t="s">
        <v>62</v>
      </c>
      <c r="I24" s="1" t="s">
        <v>81</v>
      </c>
      <c r="J24" s="2" t="s">
        <v>82</v>
      </c>
      <c r="K24" s="2" t="s">
        <v>83</v>
      </c>
      <c r="L24" s="1" t="s">
        <v>319</v>
      </c>
      <c r="M24" s="1" t="s">
        <v>320</v>
      </c>
      <c r="N24" s="1" t="s">
        <v>321</v>
      </c>
      <c r="O24" s="7" t="s">
        <v>65</v>
      </c>
      <c r="P24" s="5">
        <v>45755.333333333328</v>
      </c>
      <c r="Q24" s="6">
        <v>45755</v>
      </c>
      <c r="R24" s="5">
        <v>45755.666701388887</v>
      </c>
      <c r="S24" s="1" t="s">
        <v>66</v>
      </c>
      <c r="T24" s="1" t="s">
        <v>67</v>
      </c>
      <c r="U24" s="1" t="s">
        <v>68</v>
      </c>
      <c r="V24" s="1" t="s">
        <v>69</v>
      </c>
      <c r="W24" s="1" t="s">
        <v>70</v>
      </c>
      <c r="X24" s="1" t="s">
        <v>71</v>
      </c>
      <c r="Y24" s="2" t="s">
        <v>119</v>
      </c>
      <c r="Z24" s="1" t="s">
        <v>119</v>
      </c>
      <c r="AA24" s="2" t="s">
        <v>73</v>
      </c>
      <c r="AB24" s="1" t="s">
        <v>73</v>
      </c>
      <c r="AC24" s="2" t="s">
        <v>113</v>
      </c>
      <c r="AD24" s="2" t="s">
        <v>73</v>
      </c>
      <c r="AE24" s="2" t="s">
        <v>73</v>
      </c>
      <c r="AF24" s="5" t="s">
        <v>73</v>
      </c>
      <c r="AG24" s="5" t="s">
        <v>73</v>
      </c>
      <c r="AH24" s="7" t="s">
        <v>65</v>
      </c>
      <c r="AI24" s="3">
        <v>10</v>
      </c>
      <c r="AJ24" s="1" t="s">
        <v>322</v>
      </c>
      <c r="AK24" s="1" t="s">
        <v>323</v>
      </c>
      <c r="AL24" s="1" t="s">
        <v>86</v>
      </c>
      <c r="AM24" s="1" t="s">
        <v>279</v>
      </c>
      <c r="AN24" s="1" t="s">
        <v>71</v>
      </c>
      <c r="AO24" s="1" t="s">
        <v>324</v>
      </c>
      <c r="AP24" s="1" t="s">
        <v>325</v>
      </c>
      <c r="AQ24" s="1" t="s">
        <v>115</v>
      </c>
      <c r="AR24" s="1" t="s">
        <v>114</v>
      </c>
      <c r="AS24" s="1" t="s">
        <v>89</v>
      </c>
      <c r="AT24" s="1" t="s">
        <v>326</v>
      </c>
      <c r="AU24" s="1" t="s">
        <v>108</v>
      </c>
      <c r="AV24" s="1" t="s">
        <v>327</v>
      </c>
      <c r="AW24" s="1" t="s">
        <v>327</v>
      </c>
      <c r="AX24" s="7" t="s">
        <v>65</v>
      </c>
      <c r="AY24" s="2" t="s">
        <v>73</v>
      </c>
      <c r="AZ24" s="1" t="s">
        <v>169</v>
      </c>
      <c r="BA24" s="3">
        <v>55.22</v>
      </c>
      <c r="BB24" s="3">
        <v>0.6</v>
      </c>
      <c r="BC24" s="3">
        <v>0</v>
      </c>
      <c r="BD24" s="3">
        <v>0.6</v>
      </c>
      <c r="BE24" s="3">
        <v>0.6</v>
      </c>
      <c r="BF24" s="1" t="s">
        <v>184</v>
      </c>
      <c r="BG24" s="1" t="s">
        <v>185</v>
      </c>
      <c r="BH24" s="1" t="s">
        <v>186</v>
      </c>
    </row>
    <row r="25" spans="1:60" outlineLevel="1" x14ac:dyDescent="0.25">
      <c r="A25" s="1" t="s">
        <v>160</v>
      </c>
      <c r="B25" s="1" t="s">
        <v>161</v>
      </c>
      <c r="C25" s="2">
        <v>18</v>
      </c>
      <c r="D25" s="3">
        <v>128</v>
      </c>
      <c r="E25" s="4">
        <v>1.72</v>
      </c>
      <c r="F25" s="1" t="s">
        <v>60</v>
      </c>
      <c r="G25" s="2" t="s">
        <v>61</v>
      </c>
      <c r="H25" s="1" t="s">
        <v>62</v>
      </c>
      <c r="I25" s="1" t="s">
        <v>81</v>
      </c>
      <c r="J25" s="2" t="s">
        <v>82</v>
      </c>
      <c r="K25" s="2" t="s">
        <v>83</v>
      </c>
      <c r="L25" s="1" t="s">
        <v>328</v>
      </c>
      <c r="M25" s="1" t="s">
        <v>329</v>
      </c>
      <c r="N25" s="1" t="s">
        <v>330</v>
      </c>
      <c r="O25" s="7" t="s">
        <v>65</v>
      </c>
      <c r="P25" s="5">
        <v>45756.333333333328</v>
      </c>
      <c r="Q25" s="6">
        <v>45756</v>
      </c>
      <c r="R25" s="5">
        <v>45756.666701388887</v>
      </c>
      <c r="S25" s="1" t="s">
        <v>66</v>
      </c>
      <c r="T25" s="1" t="s">
        <v>67</v>
      </c>
      <c r="U25" s="1" t="s">
        <v>68</v>
      </c>
      <c r="V25" s="1" t="s">
        <v>69</v>
      </c>
      <c r="W25" s="1" t="s">
        <v>70</v>
      </c>
      <c r="X25" s="1" t="s">
        <v>71</v>
      </c>
      <c r="Y25" s="2" t="s">
        <v>119</v>
      </c>
      <c r="Z25" s="1" t="s">
        <v>119</v>
      </c>
      <c r="AA25" s="2" t="s">
        <v>73</v>
      </c>
      <c r="AB25" s="1" t="s">
        <v>73</v>
      </c>
      <c r="AC25" s="2" t="s">
        <v>113</v>
      </c>
      <c r="AD25" s="2" t="s">
        <v>73</v>
      </c>
      <c r="AE25" s="2" t="s">
        <v>73</v>
      </c>
      <c r="AF25" s="5" t="s">
        <v>73</v>
      </c>
      <c r="AG25" s="5" t="s">
        <v>73</v>
      </c>
      <c r="AH25" s="7" t="s">
        <v>65</v>
      </c>
      <c r="AI25" s="3">
        <v>4</v>
      </c>
      <c r="AJ25" s="1" t="s">
        <v>331</v>
      </c>
      <c r="AK25" s="1" t="s">
        <v>332</v>
      </c>
      <c r="AL25" s="1" t="s">
        <v>333</v>
      </c>
      <c r="AM25" s="1" t="s">
        <v>334</v>
      </c>
      <c r="AN25" s="1" t="s">
        <v>71</v>
      </c>
      <c r="AO25" s="1" t="s">
        <v>335</v>
      </c>
      <c r="AP25" s="1" t="s">
        <v>336</v>
      </c>
      <c r="AQ25" s="1" t="s">
        <v>111</v>
      </c>
      <c r="AR25" s="1" t="s">
        <v>114</v>
      </c>
      <c r="AS25" s="1" t="s">
        <v>89</v>
      </c>
      <c r="AT25" s="1" t="s">
        <v>182</v>
      </c>
      <c r="AU25" s="1" t="s">
        <v>108</v>
      </c>
      <c r="AV25" s="1" t="s">
        <v>183</v>
      </c>
      <c r="AW25" s="1" t="s">
        <v>183</v>
      </c>
      <c r="AX25" s="7" t="s">
        <v>65</v>
      </c>
      <c r="AY25" s="2" t="s">
        <v>73</v>
      </c>
      <c r="AZ25" s="1" t="s">
        <v>169</v>
      </c>
      <c r="BA25" s="3">
        <v>110.37</v>
      </c>
      <c r="BB25" s="3">
        <v>0.23333300000000001</v>
      </c>
      <c r="BC25" s="3">
        <v>0</v>
      </c>
      <c r="BD25" s="3">
        <v>0.23333300000000001</v>
      </c>
      <c r="BE25" s="3">
        <v>0.233333333333333</v>
      </c>
      <c r="BF25" s="1" t="s">
        <v>184</v>
      </c>
      <c r="BG25" s="1" t="s">
        <v>185</v>
      </c>
      <c r="BH25" s="1" t="s">
        <v>186</v>
      </c>
    </row>
    <row r="26" spans="1:60" outlineLevel="1" x14ac:dyDescent="0.25">
      <c r="A26" s="1" t="s">
        <v>160</v>
      </c>
      <c r="B26" s="1" t="s">
        <v>161</v>
      </c>
      <c r="C26" s="2">
        <v>19</v>
      </c>
      <c r="D26" s="3">
        <v>128</v>
      </c>
      <c r="E26" s="4">
        <v>1.72</v>
      </c>
      <c r="F26" s="1" t="s">
        <v>60</v>
      </c>
      <c r="G26" s="2" t="s">
        <v>61</v>
      </c>
      <c r="H26" s="1" t="s">
        <v>62</v>
      </c>
      <c r="I26" s="1" t="s">
        <v>81</v>
      </c>
      <c r="J26" s="2" t="s">
        <v>82</v>
      </c>
      <c r="K26" s="2" t="s">
        <v>83</v>
      </c>
      <c r="L26" s="1" t="s">
        <v>337</v>
      </c>
      <c r="M26" s="1" t="s">
        <v>338</v>
      </c>
      <c r="N26" s="1" t="s">
        <v>339</v>
      </c>
      <c r="O26" s="7" t="s">
        <v>65</v>
      </c>
      <c r="P26" s="5">
        <v>45757.333333333328</v>
      </c>
      <c r="Q26" s="6">
        <v>45757</v>
      </c>
      <c r="R26" s="5">
        <v>45757.333368055552</v>
      </c>
      <c r="S26" s="1" t="s">
        <v>66</v>
      </c>
      <c r="T26" s="1" t="s">
        <v>67</v>
      </c>
      <c r="U26" s="1" t="s">
        <v>68</v>
      </c>
      <c r="V26" s="1" t="s">
        <v>69</v>
      </c>
      <c r="W26" s="1" t="s">
        <v>70</v>
      </c>
      <c r="X26" s="1" t="s">
        <v>71</v>
      </c>
      <c r="Y26" s="2" t="s">
        <v>119</v>
      </c>
      <c r="Z26" s="1" t="s">
        <v>119</v>
      </c>
      <c r="AA26" s="2" t="s">
        <v>73</v>
      </c>
      <c r="AB26" s="1" t="s">
        <v>73</v>
      </c>
      <c r="AC26" s="2" t="s">
        <v>113</v>
      </c>
      <c r="AD26" s="2" t="s">
        <v>73</v>
      </c>
      <c r="AE26" s="2" t="s">
        <v>73</v>
      </c>
      <c r="AF26" s="5" t="s">
        <v>73</v>
      </c>
      <c r="AG26" s="5" t="s">
        <v>73</v>
      </c>
      <c r="AH26" s="7" t="s">
        <v>65</v>
      </c>
      <c r="AI26" s="3">
        <v>4</v>
      </c>
      <c r="AJ26" s="1" t="s">
        <v>340</v>
      </c>
      <c r="AK26" s="1" t="s">
        <v>341</v>
      </c>
      <c r="AL26" s="1" t="s">
        <v>86</v>
      </c>
      <c r="AM26" s="1" t="s">
        <v>342</v>
      </c>
      <c r="AN26" s="1" t="s">
        <v>71</v>
      </c>
      <c r="AO26" s="1" t="s">
        <v>343</v>
      </c>
      <c r="AP26" s="1" t="s">
        <v>344</v>
      </c>
      <c r="AQ26" s="1" t="s">
        <v>111</v>
      </c>
      <c r="AR26" s="1" t="s">
        <v>114</v>
      </c>
      <c r="AS26" s="1" t="s">
        <v>89</v>
      </c>
      <c r="AT26" s="1" t="s">
        <v>345</v>
      </c>
      <c r="AU26" s="1" t="s">
        <v>108</v>
      </c>
      <c r="AV26" s="1" t="s">
        <v>346</v>
      </c>
      <c r="AW26" s="1" t="s">
        <v>346</v>
      </c>
      <c r="AX26" s="7" t="s">
        <v>65</v>
      </c>
      <c r="AY26" s="2" t="s">
        <v>73</v>
      </c>
      <c r="AZ26" s="1" t="s">
        <v>169</v>
      </c>
      <c r="BA26" s="3">
        <v>59.69</v>
      </c>
      <c r="BB26" s="3">
        <v>0.23333300000000001</v>
      </c>
      <c r="BC26" s="3">
        <v>0</v>
      </c>
      <c r="BD26" s="3">
        <v>0.23333300000000001</v>
      </c>
      <c r="BE26" s="3">
        <v>0.233333333333333</v>
      </c>
      <c r="BF26" s="1" t="s">
        <v>184</v>
      </c>
      <c r="BG26" s="1" t="s">
        <v>185</v>
      </c>
      <c r="BH26" s="1" t="s">
        <v>186</v>
      </c>
    </row>
    <row r="27" spans="1:60" ht="225" outlineLevel="1" x14ac:dyDescent="0.25">
      <c r="A27" s="1" t="s">
        <v>160</v>
      </c>
      <c r="B27" s="1" t="s">
        <v>161</v>
      </c>
      <c r="C27" s="2">
        <v>20</v>
      </c>
      <c r="D27" s="3">
        <v>0</v>
      </c>
      <c r="E27" s="4">
        <v>0</v>
      </c>
      <c r="F27" s="1" t="s">
        <v>60</v>
      </c>
      <c r="G27" s="2" t="s">
        <v>61</v>
      </c>
      <c r="H27" s="1" t="s">
        <v>62</v>
      </c>
      <c r="I27" s="1" t="s">
        <v>81</v>
      </c>
      <c r="J27" s="2" t="s">
        <v>82</v>
      </c>
      <c r="K27" s="2" t="s">
        <v>83</v>
      </c>
      <c r="L27" s="1" t="s">
        <v>347</v>
      </c>
      <c r="M27" s="1" t="s">
        <v>348</v>
      </c>
      <c r="N27" s="1" t="s">
        <v>349</v>
      </c>
      <c r="O27" s="7" t="s">
        <v>65</v>
      </c>
      <c r="P27" s="5">
        <v>45754.333333333328</v>
      </c>
      <c r="Q27" s="6">
        <v>45757</v>
      </c>
      <c r="R27" s="5">
        <v>45757.352349537032</v>
      </c>
      <c r="S27" s="1" t="s">
        <v>66</v>
      </c>
      <c r="T27" s="1" t="s">
        <v>67</v>
      </c>
      <c r="U27" s="1" t="s">
        <v>68</v>
      </c>
      <c r="V27" s="1" t="s">
        <v>69</v>
      </c>
      <c r="W27" s="1" t="s">
        <v>70</v>
      </c>
      <c r="X27" s="1" t="s">
        <v>71</v>
      </c>
      <c r="Y27" s="2" t="s">
        <v>119</v>
      </c>
      <c r="Z27" s="1" t="s">
        <v>119</v>
      </c>
      <c r="AA27" s="2" t="s">
        <v>73</v>
      </c>
      <c r="AB27" s="1" t="s">
        <v>73</v>
      </c>
      <c r="AC27" s="2" t="s">
        <v>113</v>
      </c>
      <c r="AD27" s="2" t="s">
        <v>73</v>
      </c>
      <c r="AE27" s="2" t="s">
        <v>73</v>
      </c>
      <c r="AF27" s="5" t="s">
        <v>73</v>
      </c>
      <c r="AG27" s="5" t="s">
        <v>73</v>
      </c>
      <c r="AH27" s="7" t="s">
        <v>65</v>
      </c>
      <c r="AI27" s="3">
        <v>8</v>
      </c>
      <c r="AJ27" s="1" t="s">
        <v>350</v>
      </c>
      <c r="AK27" s="1" t="s">
        <v>351</v>
      </c>
      <c r="AL27" s="1" t="s">
        <v>86</v>
      </c>
      <c r="AM27" s="1" t="s">
        <v>352</v>
      </c>
      <c r="AN27" s="1" t="s">
        <v>71</v>
      </c>
      <c r="AO27" s="1" t="s">
        <v>353</v>
      </c>
      <c r="AP27" s="1" t="s">
        <v>354</v>
      </c>
      <c r="AQ27" s="1" t="s">
        <v>355</v>
      </c>
      <c r="AR27" s="1" t="s">
        <v>123</v>
      </c>
      <c r="AS27" s="1" t="s">
        <v>356</v>
      </c>
      <c r="AT27" s="1" t="s">
        <v>357</v>
      </c>
      <c r="AU27" s="1" t="s">
        <v>358</v>
      </c>
      <c r="AV27" s="20" t="s">
        <v>484</v>
      </c>
      <c r="AW27" s="1" t="s">
        <v>359</v>
      </c>
      <c r="AX27" s="7" t="s">
        <v>65</v>
      </c>
      <c r="AY27" s="2" t="s">
        <v>73</v>
      </c>
      <c r="AZ27" s="1" t="s">
        <v>169</v>
      </c>
      <c r="BA27" s="3">
        <v>62.73</v>
      </c>
      <c r="BB27" s="3">
        <v>0.98333300000000001</v>
      </c>
      <c r="BC27" s="3">
        <v>0.73333300000000001</v>
      </c>
      <c r="BD27" s="3">
        <v>0.25</v>
      </c>
      <c r="BE27" s="3">
        <v>0.98333333333333295</v>
      </c>
      <c r="BF27" s="1" t="s">
        <v>360</v>
      </c>
      <c r="BG27" s="1" t="s">
        <v>361</v>
      </c>
      <c r="BH27" s="1" t="s">
        <v>362</v>
      </c>
    </row>
    <row r="28" spans="1:60" ht="105" outlineLevel="1" x14ac:dyDescent="0.25">
      <c r="A28" s="1" t="s">
        <v>160</v>
      </c>
      <c r="B28" s="1" t="s">
        <v>161</v>
      </c>
      <c r="C28" s="2">
        <v>21</v>
      </c>
      <c r="D28" s="3">
        <v>0</v>
      </c>
      <c r="E28" s="4">
        <v>0</v>
      </c>
      <c r="F28" s="1" t="s">
        <v>60</v>
      </c>
      <c r="G28" s="2" t="s">
        <v>61</v>
      </c>
      <c r="H28" s="1" t="s">
        <v>62</v>
      </c>
      <c r="I28" s="1" t="s">
        <v>81</v>
      </c>
      <c r="J28" s="2" t="s">
        <v>82</v>
      </c>
      <c r="K28" s="2" t="s">
        <v>83</v>
      </c>
      <c r="L28" s="1" t="s">
        <v>363</v>
      </c>
      <c r="M28" s="1" t="s">
        <v>364</v>
      </c>
      <c r="N28" s="1" t="s">
        <v>365</v>
      </c>
      <c r="O28" s="7" t="s">
        <v>65</v>
      </c>
      <c r="P28" s="5">
        <v>45754.333333333328</v>
      </c>
      <c r="Q28" s="6">
        <v>45757</v>
      </c>
      <c r="R28" s="5">
        <v>45757.395937499998</v>
      </c>
      <c r="S28" s="1" t="s">
        <v>66</v>
      </c>
      <c r="T28" s="1" t="s">
        <v>67</v>
      </c>
      <c r="U28" s="1" t="s">
        <v>68</v>
      </c>
      <c r="V28" s="1" t="s">
        <v>69</v>
      </c>
      <c r="W28" s="1" t="s">
        <v>70</v>
      </c>
      <c r="X28" s="1" t="s">
        <v>71</v>
      </c>
      <c r="Y28" s="2" t="s">
        <v>119</v>
      </c>
      <c r="Z28" s="1" t="s">
        <v>119</v>
      </c>
      <c r="AA28" s="2" t="s">
        <v>73</v>
      </c>
      <c r="AB28" s="1" t="s">
        <v>73</v>
      </c>
      <c r="AC28" s="2" t="s">
        <v>113</v>
      </c>
      <c r="AD28" s="2" t="s">
        <v>73</v>
      </c>
      <c r="AE28" s="2" t="s">
        <v>73</v>
      </c>
      <c r="AF28" s="5" t="s">
        <v>73</v>
      </c>
      <c r="AG28" s="5" t="s">
        <v>73</v>
      </c>
      <c r="AH28" s="7" t="s">
        <v>65</v>
      </c>
      <c r="AI28" s="3">
        <v>5</v>
      </c>
      <c r="AJ28" s="1" t="s">
        <v>366</v>
      </c>
      <c r="AK28" s="1" t="s">
        <v>367</v>
      </c>
      <c r="AL28" s="1" t="s">
        <v>86</v>
      </c>
      <c r="AM28" s="1" t="s">
        <v>368</v>
      </c>
      <c r="AN28" s="1" t="s">
        <v>71</v>
      </c>
      <c r="AO28" s="1" t="s">
        <v>369</v>
      </c>
      <c r="AP28" s="1" t="s">
        <v>370</v>
      </c>
      <c r="AQ28" s="1" t="s">
        <v>254</v>
      </c>
      <c r="AR28" s="1" t="s">
        <v>123</v>
      </c>
      <c r="AS28" s="1" t="s">
        <v>89</v>
      </c>
      <c r="AT28" s="1" t="s">
        <v>371</v>
      </c>
      <c r="AU28" s="1" t="s">
        <v>98</v>
      </c>
      <c r="AV28" s="20" t="s">
        <v>485</v>
      </c>
      <c r="AW28" s="1" t="s">
        <v>372</v>
      </c>
      <c r="AX28" s="7" t="s">
        <v>65</v>
      </c>
      <c r="AY28" s="2" t="s">
        <v>73</v>
      </c>
      <c r="AZ28" s="1" t="s">
        <v>169</v>
      </c>
      <c r="BA28" s="3">
        <v>63.37</v>
      </c>
      <c r="BB28" s="3">
        <v>0.6</v>
      </c>
      <c r="BC28" s="3">
        <v>0.466667</v>
      </c>
      <c r="BD28" s="3">
        <v>0.13333300000000001</v>
      </c>
      <c r="BE28" s="3">
        <v>0.6</v>
      </c>
      <c r="BF28" s="1" t="s">
        <v>116</v>
      </c>
      <c r="BG28" s="1" t="s">
        <v>117</v>
      </c>
      <c r="BH28" s="1" t="s">
        <v>118</v>
      </c>
    </row>
  </sheetData>
  <autoFilter ref="A1:BH28" xr:uid="{00000000-0009-0000-0000-000000000000}"/>
  <pageMargins left="0.7" right="0.7" top="0.78740157499999996" bottom="0.78740157499999996" header="0.3" footer="0.3"/>
  <pageSetup fitToWidth="0" fitToHeight="0"/>
  <ignoredErrors>
    <ignoredError sqref="A1:AY1 A2:BE2 BF1:BH1 BF2:BH28 A8:AU8 AW8:BE8 A9:AU9 AW9:BE9 A10:AU10 AW10:BE10 A11:AU11 AW11:BE11 A12:AU12 AW12:BE12 A13:AU13 AW13:BE13 A14:AU14 AW14:BE14 A15:AU15 AW15:BE15 A16:AU16 AW16:BE16 A17:AU17 AW17:BE17 A18:AU18 AW18:BE18 A19:AU19 AW19:BE19 A20 AW20:BE20 A21:AU21 AW21:BE21 A22:AU22 AW22:BE22 A23:AU23 AW23:BE23 A24:AU24 AW24:BE24 A25:AU25 AW25:BE25 A26:AU26 AW26:BE26 A27:AU27 AW27:BE27 A28:AU28 AW28:BE28 A5:BE5 A4:AU4 AW4:BE4 A3:AU3 AW3:BE3 C20:AU20 A7:BE7 A6:AU6 AW6:BE6 BA1:BE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Sheet2!$G$1:$G$15</xm:f>
          </x14:formula1>
          <xm:sqref>G8:G28 G6 G3:G4</xm:sqref>
        </x14:dataValidation>
        <x14:dataValidation type="list" allowBlank="1" showInputMessage="1" showErrorMessage="1" xr:uid="{00000000-0002-0000-0000-000024000000}">
          <x14:formula1>
            <xm:f>Sheet2!$J$1:$J$7</xm:f>
          </x14:formula1>
          <xm:sqref>J8:J28 J6 J3:J4</xm:sqref>
        </x14:dataValidation>
        <x14:dataValidation type="list" allowBlank="1" showInputMessage="1" showErrorMessage="1" xr:uid="{00000000-0002-0000-0000-000048000000}">
          <x14:formula1>
            <xm:f>Sheet2!$K$1:$K$6</xm:f>
          </x14:formula1>
          <xm:sqref>K8:K28 K6 K3:K4</xm:sqref>
        </x14:dataValidation>
        <x14:dataValidation type="list" allowBlank="1" showInputMessage="1" showErrorMessage="1" xr:uid="{00000000-0002-0000-0000-00006C000000}">
          <x14:formula1>
            <xm:f>Sheet2!$Y$1:$Y$80</xm:f>
          </x14:formula1>
          <xm:sqref>Y8:Y28 Y6 Y3:Y4</xm:sqref>
        </x14:dataValidation>
        <x14:dataValidation type="list" allowBlank="1" showInputMessage="1" showErrorMessage="1" xr:uid="{00000000-0002-0000-0000-000090000000}">
          <x14:formula1>
            <xm:f>Sheet2!$AA$1:$AA$5</xm:f>
          </x14:formula1>
          <xm:sqref>AA8:AA28 AA6 AA3:AA4</xm:sqref>
        </x14:dataValidation>
        <x14:dataValidation type="list" allowBlank="1" showInputMessage="1" showErrorMessage="1" xr:uid="{00000000-0002-0000-0000-0000B4000000}">
          <x14:formula1>
            <xm:f>Sheet2!$AC$1:$AC$12</xm:f>
          </x14:formula1>
          <xm:sqref>AC8:AC28 AC6 AC3:AC4</xm:sqref>
        </x14:dataValidation>
        <x14:dataValidation type="list" allowBlank="1" showInputMessage="1" showErrorMessage="1" xr:uid="{00000000-0002-0000-0000-0000D8000000}">
          <x14:formula1>
            <xm:f>Sheet2!$AD$1:$AD$12</xm:f>
          </x14:formula1>
          <xm:sqref>AD8:AD28 AD6 AD3:AD4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EC1B6-66D7-47CF-8767-718B770FDF6E}">
  <sheetPr codeName="Tabelle7">
    <outlinePr summaryBelow="0" summaryRight="0"/>
  </sheetPr>
  <dimension ref="A1:BM19"/>
  <sheetViews>
    <sheetView workbookViewId="0">
      <pane xSplit="5" ySplit="1" topLeftCell="BH2" activePane="bottomRight" state="frozen"/>
      <selection pane="topRight" activeCell="F1" sqref="F1"/>
      <selection pane="bottomLeft" activeCell="A2" sqref="A2"/>
      <selection pane="bottomRight" activeCell="B9" sqref="B9"/>
    </sheetView>
  </sheetViews>
  <sheetFormatPr baseColWidth="10" defaultRowHeight="15" outlineLevelRow="1" x14ac:dyDescent="0.25"/>
  <cols>
    <col min="1" max="1" width="47.140625" style="1" customWidth="1"/>
    <col min="2" max="2" width="39.5703125" style="1" customWidth="1"/>
    <col min="3" max="3" width="16.5703125" style="2" customWidth="1"/>
    <col min="4" max="4" width="10.7109375" style="3" customWidth="1"/>
    <col min="5" max="5" width="12" style="4" customWidth="1"/>
    <col min="6" max="6" width="11.140625" style="1" customWidth="1"/>
    <col min="7" max="7" width="10.7109375" style="2" customWidth="1"/>
    <col min="8" max="9" width="10.7109375" style="1" customWidth="1"/>
    <col min="10" max="10" width="14.5703125" style="2" customWidth="1"/>
    <col min="11" max="11" width="14.7109375" style="2" customWidth="1"/>
    <col min="12" max="12" width="15.28515625" style="1" customWidth="1"/>
    <col min="13" max="14" width="10.7109375" style="1" customWidth="1"/>
    <col min="15" max="15" width="8.140625" style="1" customWidth="1"/>
    <col min="16" max="16" width="18" style="5" customWidth="1"/>
    <col min="17" max="17" width="13" style="6" customWidth="1"/>
    <col min="18" max="18" width="25.28515625" style="5" customWidth="1"/>
    <col min="19" max="19" width="29.42578125" style="1" customWidth="1"/>
    <col min="20" max="20" width="32.140625" style="1" customWidth="1"/>
    <col min="21" max="24" width="10.7109375" style="1" customWidth="1"/>
    <col min="25" max="25" width="17.5703125" style="2" customWidth="1"/>
    <col min="26" max="26" width="19.28515625" style="1" customWidth="1"/>
    <col min="27" max="27" width="18.85546875" style="2" customWidth="1"/>
    <col min="28" max="28" width="10.7109375" style="1" customWidth="1"/>
    <col min="29" max="29" width="14" style="2" customWidth="1"/>
    <col min="30" max="30" width="16.140625" style="2" customWidth="1"/>
    <col min="31" max="31" width="10.7109375" style="2" customWidth="1"/>
    <col min="32" max="32" width="15.42578125" style="5" customWidth="1"/>
    <col min="33" max="33" width="16.85546875" style="5" customWidth="1"/>
    <col min="34" max="34" width="10.7109375" style="1" customWidth="1"/>
    <col min="35" max="35" width="14" style="3" customWidth="1"/>
    <col min="36" max="36" width="69.85546875" style="1" customWidth="1"/>
    <col min="37" max="37" width="25.7109375" style="1" customWidth="1"/>
    <col min="38" max="38" width="20.42578125" style="1" customWidth="1"/>
    <col min="39" max="40" width="10.7109375" style="1" customWidth="1"/>
    <col min="41" max="41" width="85.85546875" style="1" customWidth="1"/>
    <col min="42" max="42" width="89.28515625" style="1" customWidth="1"/>
    <col min="43" max="43" width="29.85546875" style="1" customWidth="1"/>
    <col min="44" max="44" width="26.7109375" style="1" customWidth="1"/>
    <col min="45" max="45" width="119.5703125" style="1" customWidth="1"/>
    <col min="46" max="46" width="64.5703125" style="1" customWidth="1"/>
    <col min="47" max="47" width="207.85546875" style="1" customWidth="1"/>
    <col min="48" max="48" width="62.42578125" style="1" customWidth="1"/>
    <col min="49" max="49" width="58.85546875" style="1" customWidth="1"/>
    <col min="50" max="50" width="10.7109375" style="1" customWidth="1"/>
    <col min="51" max="51" width="10.7109375" style="2" customWidth="1"/>
    <col min="52" max="52" width="84.42578125" style="1" customWidth="1"/>
    <col min="53" max="53" width="25.140625" style="3" customWidth="1"/>
    <col min="54" max="54" width="12" style="3" customWidth="1"/>
    <col min="55" max="55" width="12.5703125" style="3" customWidth="1"/>
    <col min="56" max="57" width="10.7109375" style="3" customWidth="1"/>
    <col min="58" max="58" width="17.42578125" style="1" customWidth="1"/>
    <col min="59" max="59" width="20.140625" style="1" customWidth="1"/>
    <col min="60" max="60" width="23.5703125" style="1" customWidth="1"/>
    <col min="61" max="61" width="24.5703125" style="1" customWidth="1"/>
    <col min="62" max="62" width="19.7109375" style="1" customWidth="1"/>
    <col min="63" max="63" width="19.85546875" style="1" customWidth="1"/>
    <col min="64" max="64" width="20.5703125" style="1" customWidth="1"/>
    <col min="65" max="65" width="30.7109375" style="1" customWidth="1"/>
  </cols>
  <sheetData>
    <row r="1" spans="1:6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610</v>
      </c>
      <c r="BG1" s="1" t="s">
        <v>611</v>
      </c>
      <c r="BH1" s="1" t="s">
        <v>612</v>
      </c>
      <c r="BI1" s="1" t="s">
        <v>613</v>
      </c>
      <c r="BJ1" s="1" t="s">
        <v>614</v>
      </c>
      <c r="BK1" s="1" t="s">
        <v>57</v>
      </c>
      <c r="BL1" s="1" t="s">
        <v>58</v>
      </c>
      <c r="BM1" s="1" t="s">
        <v>59</v>
      </c>
    </row>
    <row r="2" spans="1:65" x14ac:dyDescent="0.25">
      <c r="A2" s="61" t="s">
        <v>622</v>
      </c>
      <c r="B2" s="61"/>
      <c r="C2" s="62" t="str">
        <f>CONCATENATE("Max=",TEXT(SUBTOTAL(4,C3), "0"),"")</f>
        <v>Max=0</v>
      </c>
      <c r="D2" s="63" t="str">
        <f>CONCATENATE("∑=",IF(SUBTOTAL(9,D3)=TRUNC(SUBTOTAL(9,D3)),TEXT(SUBTOTAL(9,D3), "0"),TEXT(SUBTOTAL(9,D3), "#,##")),"")</f>
        <v>∑=6881,98</v>
      </c>
      <c r="E2" s="64" t="str">
        <f>CONCATENATE("∑=",IF(SUBTOTAL(9,E3)=TRUNC(SUBTOTAL(9,E3)),TEXT(SUBTOTAL(9,E3), "0"),TEXT(SUBTOTAL(9,E3), "#,##")),"")</f>
        <v>∑=39,4</v>
      </c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</row>
    <row r="3" spans="1:65" outlineLevel="1" x14ac:dyDescent="0.25">
      <c r="A3" s="65" t="s">
        <v>623</v>
      </c>
      <c r="B3" s="65" t="s">
        <v>624</v>
      </c>
      <c r="C3" s="66">
        <v>0</v>
      </c>
      <c r="D3" s="67">
        <v>6881.98</v>
      </c>
      <c r="E3" s="68">
        <v>39.396000000000001</v>
      </c>
      <c r="F3" s="65" t="s">
        <v>625</v>
      </c>
      <c r="G3" s="66" t="s">
        <v>420</v>
      </c>
      <c r="H3" s="65" t="s">
        <v>626</v>
      </c>
      <c r="I3" s="65" t="s">
        <v>81</v>
      </c>
      <c r="J3" s="66" t="s">
        <v>390</v>
      </c>
      <c r="K3" s="66" t="s">
        <v>83</v>
      </c>
      <c r="L3" s="65" t="s">
        <v>627</v>
      </c>
      <c r="M3" s="65" t="s">
        <v>628</v>
      </c>
      <c r="N3" s="65" t="s">
        <v>629</v>
      </c>
      <c r="O3" s="69" t="s">
        <v>84</v>
      </c>
      <c r="P3" s="70">
        <v>45769.333333333328</v>
      </c>
      <c r="Q3" s="71">
        <v>45769</v>
      </c>
      <c r="R3" s="72">
        <v>45769.333368055552</v>
      </c>
      <c r="S3" s="1" t="s">
        <v>66</v>
      </c>
      <c r="T3" s="1" t="s">
        <v>67</v>
      </c>
      <c r="U3" s="1" t="s">
        <v>68</v>
      </c>
      <c r="V3" s="1" t="s">
        <v>69</v>
      </c>
      <c r="W3" s="1" t="s">
        <v>70</v>
      </c>
      <c r="X3" s="1" t="s">
        <v>71</v>
      </c>
      <c r="Y3" s="2" t="s">
        <v>73</v>
      </c>
      <c r="Z3" s="1" t="s">
        <v>73</v>
      </c>
      <c r="AA3" s="2" t="s">
        <v>380</v>
      </c>
      <c r="AB3" s="1" t="s">
        <v>630</v>
      </c>
      <c r="AC3" s="2" t="s">
        <v>417</v>
      </c>
      <c r="AD3" s="2" t="s">
        <v>398</v>
      </c>
      <c r="AE3" s="2" t="s">
        <v>73</v>
      </c>
      <c r="AF3" s="5">
        <v>45769.333333333328</v>
      </c>
      <c r="AG3" s="5">
        <v>45769.333333333328</v>
      </c>
      <c r="AH3" s="7" t="s">
        <v>65</v>
      </c>
      <c r="AI3" s="3">
        <v>235</v>
      </c>
      <c r="AJ3" s="1" t="s">
        <v>631</v>
      </c>
      <c r="AK3" s="1" t="s">
        <v>615</v>
      </c>
      <c r="AL3" s="1" t="s">
        <v>616</v>
      </c>
      <c r="AM3" s="1" t="s">
        <v>617</v>
      </c>
      <c r="AN3" s="1" t="s">
        <v>71</v>
      </c>
      <c r="AO3" s="1" t="s">
        <v>632</v>
      </c>
      <c r="AP3" s="1" t="s">
        <v>73</v>
      </c>
      <c r="AQ3" s="1" t="s">
        <v>195</v>
      </c>
      <c r="AR3" s="1" t="s">
        <v>633</v>
      </c>
      <c r="AS3" s="1" t="s">
        <v>634</v>
      </c>
      <c r="AT3" s="1" t="s">
        <v>635</v>
      </c>
      <c r="AU3" s="1" t="s">
        <v>636</v>
      </c>
      <c r="AV3" s="1" t="s">
        <v>637</v>
      </c>
      <c r="AW3" s="1" t="s">
        <v>638</v>
      </c>
      <c r="AX3" s="7" t="s">
        <v>65</v>
      </c>
      <c r="AY3" s="2">
        <v>4</v>
      </c>
      <c r="AZ3" s="1" t="s">
        <v>618</v>
      </c>
      <c r="BA3" s="3">
        <v>532.33000000000004</v>
      </c>
      <c r="BB3" s="3">
        <v>20.75833325</v>
      </c>
      <c r="BC3" s="3">
        <v>60.25</v>
      </c>
      <c r="BD3" s="3">
        <v>22.783332999999999</v>
      </c>
      <c r="BE3" s="3">
        <v>83.033333333333303</v>
      </c>
      <c r="BF3" s="1" t="s">
        <v>73</v>
      </c>
      <c r="BG3" s="1" t="s">
        <v>73</v>
      </c>
      <c r="BH3" s="1" t="s">
        <v>73</v>
      </c>
      <c r="BI3" s="1" t="s">
        <v>73</v>
      </c>
      <c r="BJ3" s="1" t="s">
        <v>73</v>
      </c>
      <c r="BK3" s="1" t="s">
        <v>619</v>
      </c>
      <c r="BL3" s="1" t="s">
        <v>620</v>
      </c>
      <c r="BM3" s="1" t="s">
        <v>621</v>
      </c>
    </row>
    <row r="4" spans="1:65" x14ac:dyDescent="0.25">
      <c r="A4" s="48" t="s">
        <v>639</v>
      </c>
      <c r="B4" s="48"/>
      <c r="C4" s="49" t="str">
        <f>CONCATENATE("Max=",TEXT(SUBTOTAL(4,C5), "0"),"")</f>
        <v>Max=0</v>
      </c>
      <c r="D4" s="50" t="str">
        <f>CONCATENATE("∑=",IF(SUBTOTAL(9,D5)=TRUNC(SUBTOTAL(9,D5)),TEXT(SUBTOTAL(9,D5), "0"),TEXT(SUBTOTAL(9,D5), "#,##")),"")</f>
        <v>∑=4671,71</v>
      </c>
      <c r="E4" s="51" t="str">
        <f>CONCATENATE("∑=",IF(SUBTOTAL(9,E5)=TRUNC(SUBTOTAL(9,E5)),TEXT(SUBTOTAL(9,E5), "0"),TEXT(SUBTOTAL(9,E5), "#,##")),"")</f>
        <v>∑=31,19</v>
      </c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52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</row>
    <row r="5" spans="1:65" outlineLevel="1" x14ac:dyDescent="0.25">
      <c r="A5" s="53" t="s">
        <v>640</v>
      </c>
      <c r="B5" s="53" t="s">
        <v>641</v>
      </c>
      <c r="C5" s="54">
        <v>0</v>
      </c>
      <c r="D5" s="55">
        <v>4671.71</v>
      </c>
      <c r="E5" s="56">
        <v>31.190999999999999</v>
      </c>
      <c r="F5" s="53" t="s">
        <v>625</v>
      </c>
      <c r="G5" s="54" t="s">
        <v>420</v>
      </c>
      <c r="H5" s="53" t="s">
        <v>642</v>
      </c>
      <c r="I5" s="53" t="s">
        <v>81</v>
      </c>
      <c r="J5" s="54" t="s">
        <v>82</v>
      </c>
      <c r="K5" s="54" t="s">
        <v>83</v>
      </c>
      <c r="L5" s="53" t="s">
        <v>643</v>
      </c>
      <c r="M5" s="53" t="s">
        <v>644</v>
      </c>
      <c r="N5" s="53" t="s">
        <v>645</v>
      </c>
      <c r="O5" s="57" t="s">
        <v>65</v>
      </c>
      <c r="P5" s="58">
        <v>45762.333333333328</v>
      </c>
      <c r="Q5" s="59">
        <v>45764</v>
      </c>
      <c r="R5" s="60">
        <v>45764.333368055552</v>
      </c>
      <c r="S5" s="1" t="s">
        <v>66</v>
      </c>
      <c r="T5" s="1" t="s">
        <v>67</v>
      </c>
      <c r="U5" s="1" t="s">
        <v>68</v>
      </c>
      <c r="V5" s="1" t="s">
        <v>69</v>
      </c>
      <c r="W5" s="1" t="s">
        <v>70</v>
      </c>
      <c r="X5" s="1" t="s">
        <v>71</v>
      </c>
      <c r="Y5" s="2" t="s">
        <v>73</v>
      </c>
      <c r="Z5" s="1" t="s">
        <v>73</v>
      </c>
      <c r="AA5" s="2" t="s">
        <v>380</v>
      </c>
      <c r="AB5" s="1" t="s">
        <v>646</v>
      </c>
      <c r="AC5" s="2" t="s">
        <v>417</v>
      </c>
      <c r="AD5" s="2" t="s">
        <v>398</v>
      </c>
      <c r="AE5" s="2" t="s">
        <v>73</v>
      </c>
      <c r="AF5" s="5">
        <v>45764.333333333328</v>
      </c>
      <c r="AG5" s="5">
        <v>45764.333333333328</v>
      </c>
      <c r="AH5" s="7" t="s">
        <v>84</v>
      </c>
      <c r="AI5" s="3">
        <v>98</v>
      </c>
      <c r="AJ5" s="1" t="s">
        <v>647</v>
      </c>
      <c r="AK5" s="1" t="s">
        <v>648</v>
      </c>
      <c r="AL5" s="1" t="s">
        <v>616</v>
      </c>
      <c r="AM5" s="1" t="s">
        <v>617</v>
      </c>
      <c r="AN5" s="1" t="s">
        <v>71</v>
      </c>
      <c r="AO5" s="1" t="s">
        <v>649</v>
      </c>
      <c r="AP5" s="1" t="s">
        <v>650</v>
      </c>
      <c r="AQ5" s="1" t="s">
        <v>651</v>
      </c>
      <c r="AR5" s="1" t="s">
        <v>652</v>
      </c>
      <c r="AS5" s="1" t="s">
        <v>653</v>
      </c>
      <c r="AT5" s="1" t="s">
        <v>654</v>
      </c>
      <c r="AU5" s="1" t="s">
        <v>655</v>
      </c>
      <c r="AV5" s="1" t="s">
        <v>656</v>
      </c>
      <c r="AW5" s="1" t="s">
        <v>657</v>
      </c>
      <c r="AX5" s="7" t="s">
        <v>65</v>
      </c>
      <c r="AY5" s="2">
        <v>4</v>
      </c>
      <c r="AZ5" s="1" t="s">
        <v>618</v>
      </c>
      <c r="BA5" s="3">
        <v>532.16999999999996</v>
      </c>
      <c r="BB5" s="3">
        <v>4.7666667499999997</v>
      </c>
      <c r="BC5" s="3">
        <v>9.6999999999999993</v>
      </c>
      <c r="BD5" s="3">
        <v>9.3666669999999996</v>
      </c>
      <c r="BE5" s="3">
        <v>19.066666666666698</v>
      </c>
      <c r="BF5" s="1" t="s">
        <v>73</v>
      </c>
      <c r="BG5" s="1" t="s">
        <v>73</v>
      </c>
      <c r="BH5" s="1" t="s">
        <v>73</v>
      </c>
      <c r="BI5" s="1" t="s">
        <v>73</v>
      </c>
      <c r="BJ5" s="1" t="s">
        <v>73</v>
      </c>
      <c r="BK5" s="1" t="s">
        <v>658</v>
      </c>
      <c r="BL5" s="1" t="s">
        <v>659</v>
      </c>
      <c r="BM5" s="1" t="s">
        <v>660</v>
      </c>
    </row>
    <row r="6" spans="1:65" x14ac:dyDescent="0.25">
      <c r="A6" s="35" t="s">
        <v>661</v>
      </c>
      <c r="B6" s="35"/>
      <c r="C6" s="36" t="str">
        <f>CONCATENATE("Max=",TEXT(SUBTOTAL(4,C7:C14), "0"),"")</f>
        <v>Max=8</v>
      </c>
      <c r="D6" s="37" t="str">
        <f>CONCATENATE("∑=",IF(SUBTOTAL(9,D7:D14)=TRUNC(SUBTOTAL(9,D7:D14)),TEXT(SUBTOTAL(9,D7:D14), "0"),TEXT(SUBTOTAL(9,D7:D14), "#,##")),"")</f>
        <v>∑=2452,44</v>
      </c>
      <c r="E6" s="38" t="str">
        <f>CONCATENATE("∑=",IF(SUBTOTAL(9,E7:E14)=TRUNC(SUBTOTAL(9,E7:E14)),TEXT(SUBTOTAL(9,E7:E14), "0"),TEXT(SUBTOTAL(9,E7:E14), "#,##")),"")</f>
        <v>∑=17,46</v>
      </c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9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</row>
    <row r="7" spans="1:65" ht="45" outlineLevel="1" x14ac:dyDescent="0.25">
      <c r="A7" s="40" t="s">
        <v>662</v>
      </c>
      <c r="B7" s="40" t="s">
        <v>663</v>
      </c>
      <c r="C7" s="41">
        <v>1</v>
      </c>
      <c r="D7" s="42">
        <v>36.46</v>
      </c>
      <c r="E7" s="43">
        <v>6.8000000000000005E-2</v>
      </c>
      <c r="F7" s="40" t="s">
        <v>60</v>
      </c>
      <c r="G7" s="41" t="s">
        <v>420</v>
      </c>
      <c r="H7" s="40" t="s">
        <v>62</v>
      </c>
      <c r="I7" s="40" t="s">
        <v>81</v>
      </c>
      <c r="J7" s="41" t="s">
        <v>82</v>
      </c>
      <c r="K7" s="41" t="s">
        <v>399</v>
      </c>
      <c r="L7" s="40" t="s">
        <v>664</v>
      </c>
      <c r="M7" s="40" t="s">
        <v>665</v>
      </c>
      <c r="N7" s="40" t="s">
        <v>666</v>
      </c>
      <c r="O7" s="44" t="s">
        <v>65</v>
      </c>
      <c r="P7" s="45">
        <v>45754.333333333328</v>
      </c>
      <c r="Q7" s="46">
        <v>45756</v>
      </c>
      <c r="R7" s="47">
        <v>45756.333368055552</v>
      </c>
      <c r="S7" s="1" t="s">
        <v>667</v>
      </c>
      <c r="T7" s="1" t="s">
        <v>668</v>
      </c>
      <c r="U7" s="1" t="s">
        <v>617</v>
      </c>
      <c r="V7" s="1" t="s">
        <v>616</v>
      </c>
      <c r="W7" s="1" t="s">
        <v>70</v>
      </c>
      <c r="X7" s="1" t="s">
        <v>71</v>
      </c>
      <c r="Y7" s="2" t="s">
        <v>473</v>
      </c>
      <c r="Z7" s="1" t="s">
        <v>473</v>
      </c>
      <c r="AA7" s="2" t="s">
        <v>73</v>
      </c>
      <c r="AB7" s="1" t="s">
        <v>669</v>
      </c>
      <c r="AC7" s="2" t="s">
        <v>73</v>
      </c>
      <c r="AD7" s="2" t="s">
        <v>73</v>
      </c>
      <c r="AE7" s="2" t="s">
        <v>73</v>
      </c>
      <c r="AF7" s="5">
        <v>45756.333333333328</v>
      </c>
      <c r="AG7" s="5">
        <v>45756.333333333328</v>
      </c>
      <c r="AH7" s="7" t="s">
        <v>84</v>
      </c>
      <c r="AI7" s="3">
        <v>3</v>
      </c>
      <c r="AJ7" s="1" t="s">
        <v>670</v>
      </c>
      <c r="AK7" s="1" t="s">
        <v>671</v>
      </c>
      <c r="AL7" s="1" t="s">
        <v>616</v>
      </c>
      <c r="AM7" s="1" t="s">
        <v>617</v>
      </c>
      <c r="AN7" s="1" t="s">
        <v>71</v>
      </c>
      <c r="AO7" s="1" t="s">
        <v>672</v>
      </c>
      <c r="AP7" s="1" t="s">
        <v>673</v>
      </c>
      <c r="AQ7" s="1" t="s">
        <v>674</v>
      </c>
      <c r="AR7" s="1" t="s">
        <v>114</v>
      </c>
      <c r="AS7" s="1" t="s">
        <v>675</v>
      </c>
      <c r="AT7" s="1" t="s">
        <v>182</v>
      </c>
      <c r="AU7" s="1" t="s">
        <v>127</v>
      </c>
      <c r="AV7" s="20" t="s">
        <v>800</v>
      </c>
      <c r="AW7" s="1" t="s">
        <v>676</v>
      </c>
      <c r="AX7" s="7" t="s">
        <v>65</v>
      </c>
      <c r="AY7" s="2">
        <v>2</v>
      </c>
      <c r="AZ7" s="1" t="s">
        <v>677</v>
      </c>
      <c r="BA7" s="3">
        <v>3.32</v>
      </c>
      <c r="BB7" s="3">
        <v>0.59166649999999998</v>
      </c>
      <c r="BC7" s="3">
        <v>1</v>
      </c>
      <c r="BD7" s="3">
        <v>0.183333</v>
      </c>
      <c r="BE7" s="3">
        <v>1.18333333333333</v>
      </c>
      <c r="BF7" s="1" t="s">
        <v>73</v>
      </c>
      <c r="BG7" s="1" t="s">
        <v>73</v>
      </c>
      <c r="BH7" s="1" t="s">
        <v>73</v>
      </c>
      <c r="BI7" s="1" t="s">
        <v>73</v>
      </c>
      <c r="BJ7" s="1" t="s">
        <v>73</v>
      </c>
      <c r="BK7" s="1" t="s">
        <v>658</v>
      </c>
      <c r="BL7" s="1" t="s">
        <v>659</v>
      </c>
      <c r="BM7" s="1" t="s">
        <v>660</v>
      </c>
    </row>
    <row r="8" spans="1:65" outlineLevel="1" x14ac:dyDescent="0.25">
      <c r="A8" s="40" t="s">
        <v>662</v>
      </c>
      <c r="B8" s="40" t="s">
        <v>663</v>
      </c>
      <c r="C8" s="41">
        <v>2</v>
      </c>
      <c r="D8" s="42">
        <v>288</v>
      </c>
      <c r="E8" s="43">
        <v>3.87</v>
      </c>
      <c r="F8" s="40" t="s">
        <v>60</v>
      </c>
      <c r="G8" s="41" t="s">
        <v>420</v>
      </c>
      <c r="H8" s="40" t="s">
        <v>62</v>
      </c>
      <c r="I8" s="40" t="s">
        <v>81</v>
      </c>
      <c r="J8" s="41" t="s">
        <v>82</v>
      </c>
      <c r="K8" s="41" t="s">
        <v>399</v>
      </c>
      <c r="L8" s="40" t="s">
        <v>678</v>
      </c>
      <c r="M8" s="40" t="s">
        <v>679</v>
      </c>
      <c r="N8" s="40" t="s">
        <v>680</v>
      </c>
      <c r="O8" s="44" t="s">
        <v>65</v>
      </c>
      <c r="P8" s="45">
        <v>45754.333333333328</v>
      </c>
      <c r="Q8" s="46">
        <v>45756</v>
      </c>
      <c r="R8" s="47">
        <v>45756.364456018513</v>
      </c>
      <c r="S8" s="1" t="s">
        <v>667</v>
      </c>
      <c r="T8" s="1" t="s">
        <v>668</v>
      </c>
      <c r="U8" s="1" t="s">
        <v>617</v>
      </c>
      <c r="V8" s="1" t="s">
        <v>616</v>
      </c>
      <c r="W8" s="1" t="s">
        <v>70</v>
      </c>
      <c r="X8" s="1" t="s">
        <v>71</v>
      </c>
      <c r="Y8" s="2" t="s">
        <v>473</v>
      </c>
      <c r="Z8" s="1" t="s">
        <v>473</v>
      </c>
      <c r="AA8" s="2" t="s">
        <v>73</v>
      </c>
      <c r="AB8" s="1" t="s">
        <v>669</v>
      </c>
      <c r="AC8" s="2" t="s">
        <v>73</v>
      </c>
      <c r="AD8" s="2" t="s">
        <v>73</v>
      </c>
      <c r="AE8" s="2" t="s">
        <v>73</v>
      </c>
      <c r="AF8" s="5" t="s">
        <v>73</v>
      </c>
      <c r="AG8" s="5">
        <v>45756.333333333328</v>
      </c>
      <c r="AH8" s="7" t="s">
        <v>84</v>
      </c>
      <c r="AI8" s="3">
        <v>9</v>
      </c>
      <c r="AJ8" s="1" t="s">
        <v>681</v>
      </c>
      <c r="AK8" s="1" t="s">
        <v>682</v>
      </c>
      <c r="AL8" s="1" t="s">
        <v>616</v>
      </c>
      <c r="AM8" s="1" t="s">
        <v>617</v>
      </c>
      <c r="AN8" s="1" t="s">
        <v>71</v>
      </c>
      <c r="AO8" s="1" t="s">
        <v>683</v>
      </c>
      <c r="AP8" s="1" t="s">
        <v>684</v>
      </c>
      <c r="AQ8" s="1" t="s">
        <v>75</v>
      </c>
      <c r="AR8" s="1" t="s">
        <v>114</v>
      </c>
      <c r="AS8" s="1" t="s">
        <v>685</v>
      </c>
      <c r="AT8" s="1" t="s">
        <v>182</v>
      </c>
      <c r="AU8" s="1" t="s">
        <v>108</v>
      </c>
      <c r="AV8" s="1" t="s">
        <v>327</v>
      </c>
      <c r="AW8" s="1" t="s">
        <v>327</v>
      </c>
      <c r="AX8" s="7" t="s">
        <v>65</v>
      </c>
      <c r="AY8" s="2">
        <v>2</v>
      </c>
      <c r="AZ8" s="1" t="s">
        <v>677</v>
      </c>
      <c r="BA8" s="3">
        <v>5.7</v>
      </c>
      <c r="BB8" s="3">
        <v>0.26666649999999997</v>
      </c>
      <c r="BC8" s="3">
        <v>0</v>
      </c>
      <c r="BD8" s="3">
        <v>0.53333299999999995</v>
      </c>
      <c r="BE8" s="3">
        <v>0.53333333333333299</v>
      </c>
      <c r="BF8" s="1" t="s">
        <v>73</v>
      </c>
      <c r="BG8" s="1" t="s">
        <v>73</v>
      </c>
      <c r="BH8" s="1" t="s">
        <v>73</v>
      </c>
      <c r="BI8" s="1" t="s">
        <v>73</v>
      </c>
      <c r="BJ8" s="1" t="s">
        <v>73</v>
      </c>
      <c r="BK8" s="1" t="s">
        <v>658</v>
      </c>
      <c r="BL8" s="1" t="s">
        <v>659</v>
      </c>
      <c r="BM8" s="1" t="s">
        <v>660</v>
      </c>
    </row>
    <row r="9" spans="1:65" outlineLevel="1" x14ac:dyDescent="0.25">
      <c r="A9" s="40" t="s">
        <v>662</v>
      </c>
      <c r="B9" s="40" t="s">
        <v>663</v>
      </c>
      <c r="C9" s="41">
        <v>3</v>
      </c>
      <c r="D9" s="42">
        <v>32</v>
      </c>
      <c r="E9" s="43">
        <v>0.43</v>
      </c>
      <c r="F9" s="40" t="s">
        <v>60</v>
      </c>
      <c r="G9" s="41" t="s">
        <v>420</v>
      </c>
      <c r="H9" s="40" t="s">
        <v>62</v>
      </c>
      <c r="I9" s="40" t="s">
        <v>81</v>
      </c>
      <c r="J9" s="41" t="s">
        <v>82</v>
      </c>
      <c r="K9" s="41" t="s">
        <v>399</v>
      </c>
      <c r="L9" s="40" t="s">
        <v>686</v>
      </c>
      <c r="M9" s="40" t="s">
        <v>687</v>
      </c>
      <c r="N9" s="40" t="s">
        <v>688</v>
      </c>
      <c r="O9" s="44" t="s">
        <v>65</v>
      </c>
      <c r="P9" s="45">
        <v>45754.333333333328</v>
      </c>
      <c r="Q9" s="46">
        <v>45756</v>
      </c>
      <c r="R9" s="47">
        <v>45756.382071759261</v>
      </c>
      <c r="S9" s="1" t="s">
        <v>667</v>
      </c>
      <c r="T9" s="1" t="s">
        <v>668</v>
      </c>
      <c r="U9" s="1" t="s">
        <v>617</v>
      </c>
      <c r="V9" s="1" t="s">
        <v>616</v>
      </c>
      <c r="W9" s="1" t="s">
        <v>70</v>
      </c>
      <c r="X9" s="1" t="s">
        <v>71</v>
      </c>
      <c r="Y9" s="2" t="s">
        <v>473</v>
      </c>
      <c r="Z9" s="1" t="s">
        <v>473</v>
      </c>
      <c r="AA9" s="2" t="s">
        <v>73</v>
      </c>
      <c r="AB9" s="1" t="s">
        <v>669</v>
      </c>
      <c r="AC9" s="2" t="s">
        <v>73</v>
      </c>
      <c r="AD9" s="2" t="s">
        <v>73</v>
      </c>
      <c r="AE9" s="2" t="s">
        <v>73</v>
      </c>
      <c r="AF9" s="5" t="s">
        <v>73</v>
      </c>
      <c r="AG9" s="5">
        <v>45756.375</v>
      </c>
      <c r="AH9" s="7" t="s">
        <v>84</v>
      </c>
      <c r="AI9" s="3">
        <v>1</v>
      </c>
      <c r="AJ9" s="1" t="s">
        <v>670</v>
      </c>
      <c r="AK9" s="1" t="s">
        <v>671</v>
      </c>
      <c r="AL9" s="1" t="s">
        <v>616</v>
      </c>
      <c r="AM9" s="1" t="s">
        <v>617</v>
      </c>
      <c r="AN9" s="1" t="s">
        <v>71</v>
      </c>
      <c r="AO9" s="1" t="s">
        <v>689</v>
      </c>
      <c r="AP9" s="1" t="s">
        <v>690</v>
      </c>
      <c r="AQ9" s="1" t="s">
        <v>674</v>
      </c>
      <c r="AR9" s="1" t="s">
        <v>114</v>
      </c>
      <c r="AS9" s="1" t="s">
        <v>691</v>
      </c>
      <c r="AT9" s="1" t="s">
        <v>182</v>
      </c>
      <c r="AU9" s="1" t="s">
        <v>108</v>
      </c>
      <c r="AV9" s="1" t="s">
        <v>692</v>
      </c>
      <c r="AW9" s="1" t="s">
        <v>692</v>
      </c>
      <c r="AX9" s="7" t="s">
        <v>65</v>
      </c>
      <c r="AY9" s="2">
        <v>2</v>
      </c>
      <c r="AZ9" s="1" t="s">
        <v>677</v>
      </c>
      <c r="BA9" s="3">
        <v>3.32</v>
      </c>
      <c r="BB9" s="3">
        <v>3.3333500000000002E-2</v>
      </c>
      <c r="BC9" s="3">
        <v>0</v>
      </c>
      <c r="BD9" s="3">
        <v>6.6667000000000004E-2</v>
      </c>
      <c r="BE9" s="3">
        <v>6.6666666666666693E-2</v>
      </c>
      <c r="BF9" s="1" t="s">
        <v>73</v>
      </c>
      <c r="BG9" s="1" t="s">
        <v>73</v>
      </c>
      <c r="BH9" s="1" t="s">
        <v>73</v>
      </c>
      <c r="BI9" s="1" t="s">
        <v>73</v>
      </c>
      <c r="BJ9" s="1" t="s">
        <v>73</v>
      </c>
      <c r="BK9" s="1" t="s">
        <v>658</v>
      </c>
      <c r="BL9" s="1" t="s">
        <v>659</v>
      </c>
      <c r="BM9" s="1" t="s">
        <v>660</v>
      </c>
    </row>
    <row r="10" spans="1:65" ht="375" outlineLevel="1" x14ac:dyDescent="0.25">
      <c r="A10" s="40" t="s">
        <v>662</v>
      </c>
      <c r="B10" s="40" t="s">
        <v>663</v>
      </c>
      <c r="C10" s="41">
        <v>4</v>
      </c>
      <c r="D10" s="42">
        <v>750.5</v>
      </c>
      <c r="E10" s="43">
        <v>4.5750000000000002</v>
      </c>
      <c r="F10" s="40" t="s">
        <v>60</v>
      </c>
      <c r="G10" s="41" t="s">
        <v>420</v>
      </c>
      <c r="H10" s="40" t="s">
        <v>62</v>
      </c>
      <c r="I10" s="40" t="s">
        <v>81</v>
      </c>
      <c r="J10" s="41" t="s">
        <v>82</v>
      </c>
      <c r="K10" s="41" t="s">
        <v>399</v>
      </c>
      <c r="L10" s="40" t="s">
        <v>693</v>
      </c>
      <c r="M10" s="40" t="s">
        <v>694</v>
      </c>
      <c r="N10" s="40" t="s">
        <v>695</v>
      </c>
      <c r="O10" s="44" t="s">
        <v>65</v>
      </c>
      <c r="P10" s="45">
        <v>45755.333333333328</v>
      </c>
      <c r="Q10" s="46">
        <v>45756</v>
      </c>
      <c r="R10" s="47">
        <v>45756.389062499999</v>
      </c>
      <c r="S10" s="1" t="s">
        <v>667</v>
      </c>
      <c r="T10" s="1" t="s">
        <v>668</v>
      </c>
      <c r="U10" s="1" t="s">
        <v>617</v>
      </c>
      <c r="V10" s="1" t="s">
        <v>616</v>
      </c>
      <c r="W10" s="1" t="s">
        <v>70</v>
      </c>
      <c r="X10" s="1" t="s">
        <v>71</v>
      </c>
      <c r="Y10" s="2" t="s">
        <v>473</v>
      </c>
      <c r="Z10" s="1" t="s">
        <v>473</v>
      </c>
      <c r="AA10" s="2" t="s">
        <v>73</v>
      </c>
      <c r="AB10" s="1" t="s">
        <v>696</v>
      </c>
      <c r="AC10" s="2" t="s">
        <v>73</v>
      </c>
      <c r="AD10" s="2" t="s">
        <v>73</v>
      </c>
      <c r="AE10" s="2" t="s">
        <v>73</v>
      </c>
      <c r="AF10" s="5" t="s">
        <v>73</v>
      </c>
      <c r="AG10" s="5">
        <v>45756.375</v>
      </c>
      <c r="AH10" s="7" t="s">
        <v>84</v>
      </c>
      <c r="AI10" s="3">
        <v>16</v>
      </c>
      <c r="AJ10" s="1" t="s">
        <v>697</v>
      </c>
      <c r="AK10" s="1" t="s">
        <v>698</v>
      </c>
      <c r="AL10" s="1" t="s">
        <v>616</v>
      </c>
      <c r="AM10" s="1" t="s">
        <v>617</v>
      </c>
      <c r="AN10" s="1" t="s">
        <v>71</v>
      </c>
      <c r="AO10" s="1" t="s">
        <v>699</v>
      </c>
      <c r="AP10" s="1" t="s">
        <v>73</v>
      </c>
      <c r="AQ10" s="1" t="s">
        <v>120</v>
      </c>
      <c r="AR10" s="1" t="s">
        <v>114</v>
      </c>
      <c r="AS10" s="1" t="s">
        <v>315</v>
      </c>
      <c r="AT10" s="1" t="s">
        <v>700</v>
      </c>
      <c r="AU10" s="1" t="s">
        <v>701</v>
      </c>
      <c r="AV10" s="20" t="s">
        <v>801</v>
      </c>
      <c r="AW10" s="1" t="s">
        <v>702</v>
      </c>
      <c r="AX10" s="7" t="s">
        <v>65</v>
      </c>
      <c r="AY10" s="2">
        <v>2</v>
      </c>
      <c r="AZ10" s="1" t="s">
        <v>677</v>
      </c>
      <c r="BA10" s="3">
        <v>5.34</v>
      </c>
      <c r="BB10" s="3">
        <v>2.4166664999999998</v>
      </c>
      <c r="BC10" s="3">
        <v>3.2833329999999998</v>
      </c>
      <c r="BD10" s="3">
        <v>1.55</v>
      </c>
      <c r="BE10" s="3">
        <v>4.8333333333333304</v>
      </c>
      <c r="BF10" s="1" t="s">
        <v>73</v>
      </c>
      <c r="BG10" s="1" t="s">
        <v>73</v>
      </c>
      <c r="BH10" s="1" t="s">
        <v>73</v>
      </c>
      <c r="BI10" s="1" t="s">
        <v>73</v>
      </c>
      <c r="BJ10" s="1" t="s">
        <v>73</v>
      </c>
      <c r="BK10" s="1" t="s">
        <v>619</v>
      </c>
      <c r="BL10" s="1" t="s">
        <v>620</v>
      </c>
      <c r="BM10" s="1" t="s">
        <v>621</v>
      </c>
    </row>
    <row r="11" spans="1:65" ht="285" outlineLevel="1" x14ac:dyDescent="0.25">
      <c r="A11" s="40" t="s">
        <v>662</v>
      </c>
      <c r="B11" s="40" t="s">
        <v>663</v>
      </c>
      <c r="C11" s="41">
        <v>5</v>
      </c>
      <c r="D11" s="42">
        <v>478.77</v>
      </c>
      <c r="E11" s="43">
        <v>2.8809999999999998</v>
      </c>
      <c r="F11" s="40" t="s">
        <v>60</v>
      </c>
      <c r="G11" s="41" t="s">
        <v>420</v>
      </c>
      <c r="H11" s="40" t="s">
        <v>62</v>
      </c>
      <c r="I11" s="40" t="s">
        <v>81</v>
      </c>
      <c r="J11" s="41" t="s">
        <v>131</v>
      </c>
      <c r="K11" s="41" t="s">
        <v>399</v>
      </c>
      <c r="L11" s="40" t="s">
        <v>703</v>
      </c>
      <c r="M11" s="40" t="s">
        <v>704</v>
      </c>
      <c r="N11" s="40" t="s">
        <v>705</v>
      </c>
      <c r="O11" s="44" t="s">
        <v>65</v>
      </c>
      <c r="P11" s="45">
        <v>45755.333333333328</v>
      </c>
      <c r="Q11" s="46">
        <v>45756</v>
      </c>
      <c r="R11" s="47">
        <v>45756.489791666667</v>
      </c>
      <c r="S11" s="1" t="s">
        <v>667</v>
      </c>
      <c r="T11" s="1" t="s">
        <v>668</v>
      </c>
      <c r="U11" s="1" t="s">
        <v>617</v>
      </c>
      <c r="V11" s="1" t="s">
        <v>616</v>
      </c>
      <c r="W11" s="1" t="s">
        <v>70</v>
      </c>
      <c r="X11" s="1" t="s">
        <v>71</v>
      </c>
      <c r="Y11" s="2" t="s">
        <v>473</v>
      </c>
      <c r="Z11" s="1" t="s">
        <v>473</v>
      </c>
      <c r="AA11" s="2" t="s">
        <v>73</v>
      </c>
      <c r="AB11" s="1" t="s">
        <v>696</v>
      </c>
      <c r="AC11" s="2" t="s">
        <v>73</v>
      </c>
      <c r="AD11" s="2" t="s">
        <v>73</v>
      </c>
      <c r="AE11" s="2" t="s">
        <v>73</v>
      </c>
      <c r="AF11" s="5" t="s">
        <v>73</v>
      </c>
      <c r="AG11" s="5">
        <v>45756.458333333328</v>
      </c>
      <c r="AH11" s="7" t="s">
        <v>84</v>
      </c>
      <c r="AI11" s="3">
        <v>15</v>
      </c>
      <c r="AJ11" s="1" t="s">
        <v>697</v>
      </c>
      <c r="AK11" s="1" t="s">
        <v>698</v>
      </c>
      <c r="AL11" s="1" t="s">
        <v>616</v>
      </c>
      <c r="AM11" s="1" t="s">
        <v>617</v>
      </c>
      <c r="AN11" s="1" t="s">
        <v>71</v>
      </c>
      <c r="AO11" s="1" t="s">
        <v>706</v>
      </c>
      <c r="AP11" s="1" t="s">
        <v>73</v>
      </c>
      <c r="AQ11" s="1" t="s">
        <v>136</v>
      </c>
      <c r="AR11" s="1" t="s">
        <v>137</v>
      </c>
      <c r="AS11" s="1" t="s">
        <v>138</v>
      </c>
      <c r="AT11" s="1" t="s">
        <v>700</v>
      </c>
      <c r="AU11" s="1" t="s">
        <v>139</v>
      </c>
      <c r="AV11" s="20" t="s">
        <v>802</v>
      </c>
      <c r="AW11" s="1" t="s">
        <v>707</v>
      </c>
      <c r="AX11" s="7" t="s">
        <v>65</v>
      </c>
      <c r="AY11" s="2">
        <v>2</v>
      </c>
      <c r="AZ11" s="1" t="s">
        <v>677</v>
      </c>
      <c r="BA11" s="3">
        <v>5.34</v>
      </c>
      <c r="BB11" s="3">
        <v>0</v>
      </c>
      <c r="BC11" s="3">
        <v>0</v>
      </c>
      <c r="BD11" s="3">
        <v>0</v>
      </c>
      <c r="BE11" s="3">
        <v>0</v>
      </c>
      <c r="BF11" s="1" t="s">
        <v>73</v>
      </c>
      <c r="BG11" s="1" t="s">
        <v>73</v>
      </c>
      <c r="BH11" s="1" t="s">
        <v>73</v>
      </c>
      <c r="BI11" s="1" t="s">
        <v>73</v>
      </c>
      <c r="BJ11" s="1" t="s">
        <v>73</v>
      </c>
      <c r="BK11" s="1" t="s">
        <v>619</v>
      </c>
      <c r="BL11" s="1" t="s">
        <v>620</v>
      </c>
      <c r="BM11" s="1" t="s">
        <v>621</v>
      </c>
    </row>
    <row r="12" spans="1:65" ht="315" outlineLevel="1" x14ac:dyDescent="0.25">
      <c r="A12" s="40" t="s">
        <v>662</v>
      </c>
      <c r="B12" s="40" t="s">
        <v>663</v>
      </c>
      <c r="C12" s="41">
        <v>6</v>
      </c>
      <c r="D12" s="42">
        <v>763.69</v>
      </c>
      <c r="E12" s="43">
        <v>4.6429999999999998</v>
      </c>
      <c r="F12" s="40" t="s">
        <v>60</v>
      </c>
      <c r="G12" s="41" t="s">
        <v>420</v>
      </c>
      <c r="H12" s="40" t="s">
        <v>62</v>
      </c>
      <c r="I12" s="40" t="s">
        <v>81</v>
      </c>
      <c r="J12" s="41" t="s">
        <v>131</v>
      </c>
      <c r="K12" s="41" t="s">
        <v>399</v>
      </c>
      <c r="L12" s="40" t="s">
        <v>708</v>
      </c>
      <c r="M12" s="40" t="s">
        <v>709</v>
      </c>
      <c r="N12" s="40" t="s">
        <v>710</v>
      </c>
      <c r="O12" s="44" t="s">
        <v>65</v>
      </c>
      <c r="P12" s="45">
        <v>45755.333333333328</v>
      </c>
      <c r="Q12" s="46">
        <v>45756</v>
      </c>
      <c r="R12" s="47">
        <v>45756.48982638889</v>
      </c>
      <c r="S12" s="1" t="s">
        <v>667</v>
      </c>
      <c r="T12" s="1" t="s">
        <v>668</v>
      </c>
      <c r="U12" s="1" t="s">
        <v>617</v>
      </c>
      <c r="V12" s="1" t="s">
        <v>616</v>
      </c>
      <c r="W12" s="1" t="s">
        <v>70</v>
      </c>
      <c r="X12" s="1" t="s">
        <v>71</v>
      </c>
      <c r="Y12" s="2" t="s">
        <v>473</v>
      </c>
      <c r="Z12" s="1" t="s">
        <v>473</v>
      </c>
      <c r="AA12" s="2" t="s">
        <v>73</v>
      </c>
      <c r="AB12" s="1" t="s">
        <v>696</v>
      </c>
      <c r="AC12" s="2" t="s">
        <v>73</v>
      </c>
      <c r="AD12" s="2" t="s">
        <v>73</v>
      </c>
      <c r="AE12" s="2" t="s">
        <v>73</v>
      </c>
      <c r="AF12" s="5" t="s">
        <v>73</v>
      </c>
      <c r="AG12" s="5">
        <v>45756.458333333328</v>
      </c>
      <c r="AH12" s="7" t="s">
        <v>84</v>
      </c>
      <c r="AI12" s="3">
        <v>17</v>
      </c>
      <c r="AJ12" s="1" t="s">
        <v>697</v>
      </c>
      <c r="AK12" s="1" t="s">
        <v>698</v>
      </c>
      <c r="AL12" s="1" t="s">
        <v>616</v>
      </c>
      <c r="AM12" s="1" t="s">
        <v>617</v>
      </c>
      <c r="AN12" s="1" t="s">
        <v>71</v>
      </c>
      <c r="AO12" s="1" t="s">
        <v>711</v>
      </c>
      <c r="AP12" s="1" t="s">
        <v>73</v>
      </c>
      <c r="AQ12" s="1" t="s">
        <v>136</v>
      </c>
      <c r="AR12" s="1" t="s">
        <v>137</v>
      </c>
      <c r="AS12" s="1" t="s">
        <v>138</v>
      </c>
      <c r="AT12" s="1" t="s">
        <v>700</v>
      </c>
      <c r="AU12" s="1" t="s">
        <v>712</v>
      </c>
      <c r="AV12" s="20" t="s">
        <v>803</v>
      </c>
      <c r="AW12" s="1" t="s">
        <v>713</v>
      </c>
      <c r="AX12" s="7" t="s">
        <v>65</v>
      </c>
      <c r="AY12" s="2">
        <v>2</v>
      </c>
      <c r="AZ12" s="1" t="s">
        <v>677</v>
      </c>
      <c r="BA12" s="3">
        <v>5.34</v>
      </c>
      <c r="BB12" s="3">
        <v>0</v>
      </c>
      <c r="BC12" s="3">
        <v>0</v>
      </c>
      <c r="BD12" s="3">
        <v>0</v>
      </c>
      <c r="BE12" s="3">
        <v>0</v>
      </c>
      <c r="BF12" s="1" t="s">
        <v>73</v>
      </c>
      <c r="BG12" s="1" t="s">
        <v>73</v>
      </c>
      <c r="BH12" s="1" t="s">
        <v>73</v>
      </c>
      <c r="BI12" s="1" t="s">
        <v>73</v>
      </c>
      <c r="BJ12" s="1" t="s">
        <v>73</v>
      </c>
      <c r="BK12" s="1" t="s">
        <v>619</v>
      </c>
      <c r="BL12" s="1" t="s">
        <v>620</v>
      </c>
      <c r="BM12" s="1" t="s">
        <v>621</v>
      </c>
    </row>
    <row r="13" spans="1:65" ht="75" outlineLevel="1" x14ac:dyDescent="0.25">
      <c r="A13" s="40" t="s">
        <v>662</v>
      </c>
      <c r="B13" s="40" t="s">
        <v>663</v>
      </c>
      <c r="C13" s="41">
        <v>7</v>
      </c>
      <c r="D13" s="42">
        <v>58.12</v>
      </c>
      <c r="E13" s="43">
        <v>0.69299999999999995</v>
      </c>
      <c r="F13" s="40" t="s">
        <v>60</v>
      </c>
      <c r="G13" s="41" t="s">
        <v>420</v>
      </c>
      <c r="H13" s="40" t="s">
        <v>62</v>
      </c>
      <c r="I13" s="40" t="s">
        <v>81</v>
      </c>
      <c r="J13" s="41" t="s">
        <v>82</v>
      </c>
      <c r="K13" s="41" t="s">
        <v>399</v>
      </c>
      <c r="L13" s="40" t="s">
        <v>714</v>
      </c>
      <c r="M13" s="40" t="s">
        <v>715</v>
      </c>
      <c r="N13" s="40" t="s">
        <v>716</v>
      </c>
      <c r="O13" s="44" t="s">
        <v>65</v>
      </c>
      <c r="P13" s="45">
        <v>45755.333333333328</v>
      </c>
      <c r="Q13" s="46">
        <v>45756</v>
      </c>
      <c r="R13" s="47">
        <v>45756.489861111106</v>
      </c>
      <c r="S13" s="1" t="s">
        <v>667</v>
      </c>
      <c r="T13" s="1" t="s">
        <v>668</v>
      </c>
      <c r="U13" s="1" t="s">
        <v>617</v>
      </c>
      <c r="V13" s="1" t="s">
        <v>616</v>
      </c>
      <c r="W13" s="1" t="s">
        <v>70</v>
      </c>
      <c r="X13" s="1" t="s">
        <v>71</v>
      </c>
      <c r="Y13" s="2" t="s">
        <v>473</v>
      </c>
      <c r="Z13" s="1" t="s">
        <v>473</v>
      </c>
      <c r="AA13" s="2" t="s">
        <v>73</v>
      </c>
      <c r="AB13" s="1" t="s">
        <v>696</v>
      </c>
      <c r="AC13" s="2" t="s">
        <v>73</v>
      </c>
      <c r="AD13" s="2" t="s">
        <v>73</v>
      </c>
      <c r="AE13" s="2" t="s">
        <v>73</v>
      </c>
      <c r="AF13" s="5" t="s">
        <v>73</v>
      </c>
      <c r="AG13" s="5">
        <v>45756.458333333328</v>
      </c>
      <c r="AH13" s="7" t="s">
        <v>84</v>
      </c>
      <c r="AI13" s="3">
        <v>10</v>
      </c>
      <c r="AJ13" s="1" t="s">
        <v>697</v>
      </c>
      <c r="AK13" s="1" t="s">
        <v>698</v>
      </c>
      <c r="AL13" s="1" t="s">
        <v>616</v>
      </c>
      <c r="AM13" s="1" t="s">
        <v>617</v>
      </c>
      <c r="AN13" s="1" t="s">
        <v>71</v>
      </c>
      <c r="AO13" s="1" t="s">
        <v>717</v>
      </c>
      <c r="AP13" s="1" t="s">
        <v>73</v>
      </c>
      <c r="AQ13" s="1" t="s">
        <v>120</v>
      </c>
      <c r="AR13" s="1" t="s">
        <v>114</v>
      </c>
      <c r="AS13" s="1" t="s">
        <v>315</v>
      </c>
      <c r="AT13" s="1" t="s">
        <v>700</v>
      </c>
      <c r="AU13" s="1" t="s">
        <v>90</v>
      </c>
      <c r="AV13" s="20" t="s">
        <v>804</v>
      </c>
      <c r="AW13" s="1" t="s">
        <v>718</v>
      </c>
      <c r="AX13" s="7" t="s">
        <v>65</v>
      </c>
      <c r="AY13" s="2">
        <v>2</v>
      </c>
      <c r="AZ13" s="1" t="s">
        <v>677</v>
      </c>
      <c r="BA13" s="3">
        <v>5.34</v>
      </c>
      <c r="BB13" s="3">
        <v>1.0166664999999999</v>
      </c>
      <c r="BC13" s="3">
        <v>0.9</v>
      </c>
      <c r="BD13" s="3">
        <v>1.1333329999999999</v>
      </c>
      <c r="BE13" s="3">
        <v>2.0333333333333301</v>
      </c>
      <c r="BF13" s="1" t="s">
        <v>73</v>
      </c>
      <c r="BG13" s="1" t="s">
        <v>73</v>
      </c>
      <c r="BH13" s="1" t="s">
        <v>73</v>
      </c>
      <c r="BI13" s="1" t="s">
        <v>73</v>
      </c>
      <c r="BJ13" s="1" t="s">
        <v>73</v>
      </c>
      <c r="BK13" s="1" t="s">
        <v>619</v>
      </c>
      <c r="BL13" s="1" t="s">
        <v>620</v>
      </c>
      <c r="BM13" s="1" t="s">
        <v>621</v>
      </c>
    </row>
    <row r="14" spans="1:65" ht="45" outlineLevel="1" x14ac:dyDescent="0.25">
      <c r="A14" s="40" t="s">
        <v>662</v>
      </c>
      <c r="B14" s="40" t="s">
        <v>663</v>
      </c>
      <c r="C14" s="41">
        <v>8</v>
      </c>
      <c r="D14" s="42">
        <v>44.9</v>
      </c>
      <c r="E14" s="43">
        <v>0.30399999999999999</v>
      </c>
      <c r="F14" s="40" t="s">
        <v>60</v>
      </c>
      <c r="G14" s="41" t="s">
        <v>420</v>
      </c>
      <c r="H14" s="40" t="s">
        <v>62</v>
      </c>
      <c r="I14" s="40" t="s">
        <v>81</v>
      </c>
      <c r="J14" s="41" t="s">
        <v>82</v>
      </c>
      <c r="K14" s="41" t="s">
        <v>399</v>
      </c>
      <c r="L14" s="40" t="s">
        <v>719</v>
      </c>
      <c r="M14" s="40" t="s">
        <v>720</v>
      </c>
      <c r="N14" s="40" t="s">
        <v>721</v>
      </c>
      <c r="O14" s="44" t="s">
        <v>65</v>
      </c>
      <c r="P14" s="45">
        <v>45754.333333333328</v>
      </c>
      <c r="Q14" s="46">
        <v>45756</v>
      </c>
      <c r="R14" s="47">
        <v>45756.541886574072</v>
      </c>
      <c r="S14" s="1" t="s">
        <v>667</v>
      </c>
      <c r="T14" s="1" t="s">
        <v>668</v>
      </c>
      <c r="U14" s="1" t="s">
        <v>617</v>
      </c>
      <c r="V14" s="1" t="s">
        <v>616</v>
      </c>
      <c r="W14" s="1" t="s">
        <v>70</v>
      </c>
      <c r="X14" s="1" t="s">
        <v>71</v>
      </c>
      <c r="Y14" s="2" t="s">
        <v>473</v>
      </c>
      <c r="Z14" s="1" t="s">
        <v>473</v>
      </c>
      <c r="AA14" s="2" t="s">
        <v>73</v>
      </c>
      <c r="AB14" s="1" t="s">
        <v>722</v>
      </c>
      <c r="AC14" s="2" t="s">
        <v>73</v>
      </c>
      <c r="AD14" s="2" t="s">
        <v>73</v>
      </c>
      <c r="AE14" s="2" t="s">
        <v>73</v>
      </c>
      <c r="AF14" s="5" t="s">
        <v>73</v>
      </c>
      <c r="AG14" s="5">
        <v>45756.541666666664</v>
      </c>
      <c r="AH14" s="7" t="s">
        <v>84</v>
      </c>
      <c r="AI14" s="3">
        <v>2</v>
      </c>
      <c r="AJ14" s="1" t="s">
        <v>723</v>
      </c>
      <c r="AK14" s="1" t="s">
        <v>724</v>
      </c>
      <c r="AL14" s="1" t="s">
        <v>616</v>
      </c>
      <c r="AM14" s="1" t="s">
        <v>617</v>
      </c>
      <c r="AN14" s="1" t="s">
        <v>71</v>
      </c>
      <c r="AO14" s="1" t="s">
        <v>725</v>
      </c>
      <c r="AP14" s="1" t="s">
        <v>726</v>
      </c>
      <c r="AQ14" s="1" t="s">
        <v>727</v>
      </c>
      <c r="AR14" s="1" t="s">
        <v>114</v>
      </c>
      <c r="AS14" s="1" t="s">
        <v>315</v>
      </c>
      <c r="AT14" s="1" t="s">
        <v>728</v>
      </c>
      <c r="AU14" s="1" t="s">
        <v>729</v>
      </c>
      <c r="AV14" s="20" t="s">
        <v>805</v>
      </c>
      <c r="AW14" s="1" t="s">
        <v>730</v>
      </c>
      <c r="AX14" s="7" t="s">
        <v>65</v>
      </c>
      <c r="AY14" s="2">
        <v>2</v>
      </c>
      <c r="AZ14" s="1" t="s">
        <v>677</v>
      </c>
      <c r="BA14" s="3">
        <v>2.5299999999999998</v>
      </c>
      <c r="BB14" s="3">
        <v>9.1666499999999998E-2</v>
      </c>
      <c r="BC14" s="3">
        <v>6.6667000000000004E-2</v>
      </c>
      <c r="BD14" s="3">
        <v>0.11666700000000001</v>
      </c>
      <c r="BE14" s="3">
        <v>0.18333333333333299</v>
      </c>
      <c r="BF14" s="1" t="s">
        <v>73</v>
      </c>
      <c r="BG14" s="1" t="s">
        <v>73</v>
      </c>
      <c r="BH14" s="1" t="s">
        <v>73</v>
      </c>
      <c r="BI14" s="1" t="s">
        <v>73</v>
      </c>
      <c r="BJ14" s="1" t="s">
        <v>73</v>
      </c>
      <c r="BK14" s="1" t="s">
        <v>731</v>
      </c>
      <c r="BL14" s="1" t="s">
        <v>732</v>
      </c>
      <c r="BM14" s="1" t="s">
        <v>733</v>
      </c>
    </row>
    <row r="15" spans="1:65" x14ac:dyDescent="0.25">
      <c r="A15" s="61" t="s">
        <v>763</v>
      </c>
      <c r="B15" s="61"/>
      <c r="C15" s="62" t="str">
        <f>CONCATENATE("Max=",TEXT(SUBTOTAL(4,C16:C19), "0"),"")</f>
        <v>Max=4</v>
      </c>
      <c r="D15" s="63" t="str">
        <f>CONCATENATE("∑=",IF(SUBTOTAL(9,D16:D19)=TRUNC(SUBTOTAL(9,D16:D19)),TEXT(SUBTOTAL(9,D16:D19), "0"),TEXT(SUBTOTAL(9,D16:D19), "#,##")),"")</f>
        <v>∑=1084,49</v>
      </c>
      <c r="E15" s="64" t="str">
        <f>CONCATENATE("∑=",IF(SUBTOTAL(9,E16:E19)=TRUNC(SUBTOTAL(9,E16:E19)),TEXT(SUBTOTAL(9,E16:E19), "0"),TEXT(SUBTOTAL(9,E16:E19), "#,##")),"")</f>
        <v>∑=6,89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</row>
    <row r="16" spans="1:65" outlineLevel="1" x14ac:dyDescent="0.25">
      <c r="A16" s="65" t="s">
        <v>764</v>
      </c>
      <c r="B16" s="65" t="s">
        <v>765</v>
      </c>
      <c r="C16" s="66">
        <v>1</v>
      </c>
      <c r="D16" s="67">
        <v>929.93</v>
      </c>
      <c r="E16" s="68">
        <v>5.8419999999999996</v>
      </c>
      <c r="F16" s="65" t="s">
        <v>60</v>
      </c>
      <c r="G16" s="66" t="s">
        <v>420</v>
      </c>
      <c r="H16" s="65" t="s">
        <v>62</v>
      </c>
      <c r="I16" s="65" t="s">
        <v>81</v>
      </c>
      <c r="J16" s="66" t="s">
        <v>82</v>
      </c>
      <c r="K16" s="66" t="s">
        <v>399</v>
      </c>
      <c r="L16" s="65" t="s">
        <v>754</v>
      </c>
      <c r="M16" s="65" t="s">
        <v>755</v>
      </c>
      <c r="N16" s="65" t="s">
        <v>766</v>
      </c>
      <c r="O16" s="69" t="s">
        <v>65</v>
      </c>
      <c r="P16" s="70">
        <v>45755.333333333328</v>
      </c>
      <c r="Q16" s="71">
        <v>45757</v>
      </c>
      <c r="R16" s="70">
        <v>45757.354201388887</v>
      </c>
      <c r="S16" s="1" t="s">
        <v>667</v>
      </c>
      <c r="T16" s="1" t="s">
        <v>668</v>
      </c>
      <c r="U16" s="1" t="s">
        <v>617</v>
      </c>
      <c r="V16" s="1" t="s">
        <v>616</v>
      </c>
      <c r="W16" s="1" t="s">
        <v>70</v>
      </c>
      <c r="X16" s="1" t="s">
        <v>71</v>
      </c>
      <c r="Y16" s="2" t="s">
        <v>476</v>
      </c>
      <c r="Z16" s="1" t="s">
        <v>767</v>
      </c>
      <c r="AA16" s="2" t="s">
        <v>73</v>
      </c>
      <c r="AB16" s="1" t="s">
        <v>722</v>
      </c>
      <c r="AC16" s="2" t="s">
        <v>73</v>
      </c>
      <c r="AD16" s="2" t="s">
        <v>73</v>
      </c>
      <c r="AE16" s="2" t="s">
        <v>73</v>
      </c>
      <c r="AF16" s="5">
        <v>45757.354166666664</v>
      </c>
      <c r="AG16" s="5">
        <v>45757.333333333328</v>
      </c>
      <c r="AH16" s="7" t="s">
        <v>84</v>
      </c>
      <c r="AI16" s="3">
        <v>28</v>
      </c>
      <c r="AJ16" s="1" t="s">
        <v>768</v>
      </c>
      <c r="AK16" s="1" t="s">
        <v>769</v>
      </c>
      <c r="AL16" s="1" t="s">
        <v>770</v>
      </c>
      <c r="AM16" s="1" t="s">
        <v>771</v>
      </c>
      <c r="AN16" s="1" t="s">
        <v>71</v>
      </c>
      <c r="AO16" s="1" t="s">
        <v>756</v>
      </c>
      <c r="AP16" s="1" t="s">
        <v>756</v>
      </c>
      <c r="AQ16" s="1" t="s">
        <v>757</v>
      </c>
      <c r="AR16" s="1" t="s">
        <v>114</v>
      </c>
      <c r="AS16" s="1" t="s">
        <v>758</v>
      </c>
      <c r="AT16" s="1" t="s">
        <v>759</v>
      </c>
      <c r="AU16" s="1" t="s">
        <v>760</v>
      </c>
      <c r="AV16" s="1" t="s">
        <v>761</v>
      </c>
      <c r="AW16" s="1" t="s">
        <v>762</v>
      </c>
      <c r="AX16" s="7" t="s">
        <v>65</v>
      </c>
      <c r="AY16" s="2">
        <v>2</v>
      </c>
      <c r="AZ16" s="1" t="s">
        <v>772</v>
      </c>
      <c r="BA16" s="3">
        <v>65.47</v>
      </c>
      <c r="BB16" s="3">
        <v>4.3</v>
      </c>
      <c r="BC16" s="3">
        <v>5.9666670000000002</v>
      </c>
      <c r="BD16" s="3">
        <v>2.6333329999999999</v>
      </c>
      <c r="BE16" s="3">
        <v>8.6</v>
      </c>
      <c r="BF16" s="1" t="s">
        <v>73</v>
      </c>
      <c r="BG16" s="1" t="s">
        <v>73</v>
      </c>
      <c r="BH16" s="1" t="s">
        <v>73</v>
      </c>
      <c r="BI16" s="1" t="s">
        <v>73</v>
      </c>
      <c r="BJ16" s="1" t="s">
        <v>73</v>
      </c>
      <c r="BK16" s="1" t="s">
        <v>731</v>
      </c>
      <c r="BL16" s="1" t="s">
        <v>732</v>
      </c>
      <c r="BM16" s="1" t="s">
        <v>733</v>
      </c>
    </row>
    <row r="17" spans="1:65" outlineLevel="1" x14ac:dyDescent="0.25">
      <c r="A17" s="65" t="s">
        <v>764</v>
      </c>
      <c r="B17" s="65" t="s">
        <v>765</v>
      </c>
      <c r="C17" s="66">
        <v>2</v>
      </c>
      <c r="D17" s="67">
        <v>43.7</v>
      </c>
      <c r="E17" s="68">
        <v>0.30399999999999999</v>
      </c>
      <c r="F17" s="65" t="s">
        <v>60</v>
      </c>
      <c r="G17" s="66" t="s">
        <v>420</v>
      </c>
      <c r="H17" s="65" t="s">
        <v>62</v>
      </c>
      <c r="I17" s="65" t="s">
        <v>81</v>
      </c>
      <c r="J17" s="66" t="s">
        <v>82</v>
      </c>
      <c r="K17" s="66" t="s">
        <v>399</v>
      </c>
      <c r="L17" s="65" t="s">
        <v>747</v>
      </c>
      <c r="M17" s="65" t="s">
        <v>748</v>
      </c>
      <c r="N17" s="65" t="s">
        <v>773</v>
      </c>
      <c r="O17" s="69" t="s">
        <v>65</v>
      </c>
      <c r="P17" s="70">
        <v>45756.333333333328</v>
      </c>
      <c r="Q17" s="71">
        <v>45757</v>
      </c>
      <c r="R17" s="70">
        <v>45757.539467592593</v>
      </c>
      <c r="S17" s="1" t="s">
        <v>667</v>
      </c>
      <c r="T17" s="1" t="s">
        <v>668</v>
      </c>
      <c r="U17" s="1" t="s">
        <v>617</v>
      </c>
      <c r="V17" s="1" t="s">
        <v>616</v>
      </c>
      <c r="W17" s="1" t="s">
        <v>70</v>
      </c>
      <c r="X17" s="1" t="s">
        <v>71</v>
      </c>
      <c r="Y17" s="2" t="s">
        <v>476</v>
      </c>
      <c r="Z17" s="1" t="s">
        <v>767</v>
      </c>
      <c r="AA17" s="2" t="s">
        <v>73</v>
      </c>
      <c r="AB17" s="1" t="s">
        <v>722</v>
      </c>
      <c r="AC17" s="2" t="s">
        <v>73</v>
      </c>
      <c r="AD17" s="2" t="s">
        <v>73</v>
      </c>
      <c r="AE17" s="2" t="s">
        <v>73</v>
      </c>
      <c r="AF17" s="5" t="s">
        <v>73</v>
      </c>
      <c r="AG17" s="5">
        <v>45757.5</v>
      </c>
      <c r="AH17" s="7" t="s">
        <v>84</v>
      </c>
      <c r="AI17" s="3">
        <v>2</v>
      </c>
      <c r="AJ17" s="1" t="s">
        <v>774</v>
      </c>
      <c r="AK17" s="1" t="s">
        <v>775</v>
      </c>
      <c r="AL17" s="1" t="s">
        <v>776</v>
      </c>
      <c r="AM17" s="1" t="s">
        <v>777</v>
      </c>
      <c r="AN17" s="1" t="s">
        <v>71</v>
      </c>
      <c r="AO17" s="1" t="s">
        <v>749</v>
      </c>
      <c r="AP17" s="1" t="s">
        <v>750</v>
      </c>
      <c r="AQ17" s="1" t="s">
        <v>120</v>
      </c>
      <c r="AR17" s="1" t="s">
        <v>114</v>
      </c>
      <c r="AS17" s="1" t="s">
        <v>89</v>
      </c>
      <c r="AT17" s="1" t="s">
        <v>751</v>
      </c>
      <c r="AU17" s="1" t="s">
        <v>127</v>
      </c>
      <c r="AV17" s="1" t="s">
        <v>752</v>
      </c>
      <c r="AW17" s="1" t="s">
        <v>753</v>
      </c>
      <c r="AX17" s="7" t="s">
        <v>65</v>
      </c>
      <c r="AY17" s="2">
        <v>2</v>
      </c>
      <c r="AZ17" s="1" t="s">
        <v>772</v>
      </c>
      <c r="BA17" s="3">
        <v>62.19</v>
      </c>
      <c r="BB17" s="3">
        <v>8.3333500000000005E-2</v>
      </c>
      <c r="BC17" s="3">
        <v>6.6667000000000004E-2</v>
      </c>
      <c r="BD17" s="3">
        <v>0.1</v>
      </c>
      <c r="BE17" s="3">
        <v>0.16666666666666699</v>
      </c>
      <c r="BF17" s="1" t="s">
        <v>73</v>
      </c>
      <c r="BG17" s="1" t="s">
        <v>73</v>
      </c>
      <c r="BH17" s="1" t="s">
        <v>73</v>
      </c>
      <c r="BI17" s="1" t="s">
        <v>73</v>
      </c>
      <c r="BJ17" s="1" t="s">
        <v>73</v>
      </c>
      <c r="BK17" s="1" t="s">
        <v>103</v>
      </c>
      <c r="BL17" s="1" t="s">
        <v>104</v>
      </c>
      <c r="BM17" s="1" t="s">
        <v>105</v>
      </c>
    </row>
    <row r="18" spans="1:65" outlineLevel="1" x14ac:dyDescent="0.25">
      <c r="A18" s="65" t="s">
        <v>764</v>
      </c>
      <c r="B18" s="65" t="s">
        <v>765</v>
      </c>
      <c r="C18" s="66">
        <v>3</v>
      </c>
      <c r="D18" s="67">
        <v>38</v>
      </c>
      <c r="E18" s="68">
        <v>0.19400000000000001</v>
      </c>
      <c r="F18" s="65" t="s">
        <v>60</v>
      </c>
      <c r="G18" s="66" t="s">
        <v>420</v>
      </c>
      <c r="H18" s="65" t="s">
        <v>62</v>
      </c>
      <c r="I18" s="65" t="s">
        <v>81</v>
      </c>
      <c r="J18" s="66" t="s">
        <v>82</v>
      </c>
      <c r="K18" s="66" t="s">
        <v>399</v>
      </c>
      <c r="L18" s="65" t="s">
        <v>742</v>
      </c>
      <c r="M18" s="65" t="s">
        <v>743</v>
      </c>
      <c r="N18" s="65" t="s">
        <v>778</v>
      </c>
      <c r="O18" s="69" t="s">
        <v>65</v>
      </c>
      <c r="P18" s="70">
        <v>45756.333333333328</v>
      </c>
      <c r="Q18" s="71">
        <v>45757</v>
      </c>
      <c r="R18" s="70">
        <v>45757.571041666662</v>
      </c>
      <c r="S18" s="1" t="s">
        <v>667</v>
      </c>
      <c r="T18" s="1" t="s">
        <v>668</v>
      </c>
      <c r="U18" s="1" t="s">
        <v>617</v>
      </c>
      <c r="V18" s="1" t="s">
        <v>616</v>
      </c>
      <c r="W18" s="1" t="s">
        <v>70</v>
      </c>
      <c r="X18" s="1" t="s">
        <v>71</v>
      </c>
      <c r="Y18" s="2" t="s">
        <v>476</v>
      </c>
      <c r="Z18" s="1" t="s">
        <v>767</v>
      </c>
      <c r="AA18" s="2" t="s">
        <v>73</v>
      </c>
      <c r="AB18" s="1" t="s">
        <v>722</v>
      </c>
      <c r="AC18" s="2" t="s">
        <v>73</v>
      </c>
      <c r="AD18" s="2" t="s">
        <v>73</v>
      </c>
      <c r="AE18" s="2" t="s">
        <v>73</v>
      </c>
      <c r="AF18" s="5" t="s">
        <v>73</v>
      </c>
      <c r="AG18" s="5">
        <v>45757.541666666664</v>
      </c>
      <c r="AH18" s="7" t="s">
        <v>84</v>
      </c>
      <c r="AI18" s="3">
        <v>1</v>
      </c>
      <c r="AJ18" s="1" t="s">
        <v>779</v>
      </c>
      <c r="AK18" s="1" t="s">
        <v>780</v>
      </c>
      <c r="AL18" s="1" t="s">
        <v>781</v>
      </c>
      <c r="AM18" s="1" t="s">
        <v>782</v>
      </c>
      <c r="AN18" s="1" t="s">
        <v>71</v>
      </c>
      <c r="AO18" s="1" t="s">
        <v>744</v>
      </c>
      <c r="AP18" s="1" t="s">
        <v>744</v>
      </c>
      <c r="AQ18" s="1" t="s">
        <v>115</v>
      </c>
      <c r="AR18" s="1" t="s">
        <v>114</v>
      </c>
      <c r="AS18" s="1" t="s">
        <v>89</v>
      </c>
      <c r="AT18" s="1" t="s">
        <v>745</v>
      </c>
      <c r="AU18" s="1" t="s">
        <v>108</v>
      </c>
      <c r="AV18" s="1" t="s">
        <v>746</v>
      </c>
      <c r="AW18" s="1" t="s">
        <v>746</v>
      </c>
      <c r="AX18" s="7" t="s">
        <v>65</v>
      </c>
      <c r="AY18" s="2" t="s">
        <v>73</v>
      </c>
      <c r="AZ18" s="1" t="s">
        <v>772</v>
      </c>
      <c r="BA18" s="3">
        <v>31.15</v>
      </c>
      <c r="BB18" s="3">
        <v>0.15</v>
      </c>
      <c r="BC18" s="3">
        <v>0.05</v>
      </c>
      <c r="BD18" s="3">
        <v>0.1</v>
      </c>
      <c r="BE18" s="3">
        <v>0.15</v>
      </c>
      <c r="BF18" s="1" t="s">
        <v>73</v>
      </c>
      <c r="BG18" s="1" t="s">
        <v>73</v>
      </c>
      <c r="BH18" s="1" t="s">
        <v>73</v>
      </c>
      <c r="BI18" s="1" t="s">
        <v>73</v>
      </c>
      <c r="BJ18" s="1" t="s">
        <v>73</v>
      </c>
      <c r="BK18" s="1" t="s">
        <v>360</v>
      </c>
      <c r="BL18" s="1" t="s">
        <v>361</v>
      </c>
      <c r="BM18" s="1" t="s">
        <v>362</v>
      </c>
    </row>
    <row r="19" spans="1:65" outlineLevel="1" x14ac:dyDescent="0.25">
      <c r="A19" s="65" t="s">
        <v>764</v>
      </c>
      <c r="B19" s="65" t="s">
        <v>765</v>
      </c>
      <c r="C19" s="66">
        <v>4</v>
      </c>
      <c r="D19" s="67">
        <v>72.86</v>
      </c>
      <c r="E19" s="68">
        <v>0.55100000000000005</v>
      </c>
      <c r="F19" s="65" t="s">
        <v>60</v>
      </c>
      <c r="G19" s="66" t="s">
        <v>420</v>
      </c>
      <c r="H19" s="65" t="s">
        <v>62</v>
      </c>
      <c r="I19" s="65" t="s">
        <v>81</v>
      </c>
      <c r="J19" s="66" t="s">
        <v>82</v>
      </c>
      <c r="K19" s="66" t="s">
        <v>399</v>
      </c>
      <c r="L19" s="65" t="s">
        <v>734</v>
      </c>
      <c r="M19" s="65" t="s">
        <v>735</v>
      </c>
      <c r="N19" s="65" t="s">
        <v>783</v>
      </c>
      <c r="O19" s="69" t="s">
        <v>65</v>
      </c>
      <c r="P19" s="70">
        <v>45754.333333333328</v>
      </c>
      <c r="Q19" s="71">
        <v>45757</v>
      </c>
      <c r="R19" s="70">
        <v>45757.592002314814</v>
      </c>
      <c r="S19" s="1" t="s">
        <v>667</v>
      </c>
      <c r="T19" s="1" t="s">
        <v>668</v>
      </c>
      <c r="U19" s="1" t="s">
        <v>617</v>
      </c>
      <c r="V19" s="1" t="s">
        <v>616</v>
      </c>
      <c r="W19" s="1" t="s">
        <v>70</v>
      </c>
      <c r="X19" s="1" t="s">
        <v>71</v>
      </c>
      <c r="Y19" s="2" t="s">
        <v>476</v>
      </c>
      <c r="Z19" s="1" t="s">
        <v>767</v>
      </c>
      <c r="AA19" s="2" t="s">
        <v>73</v>
      </c>
      <c r="AB19" s="1" t="s">
        <v>722</v>
      </c>
      <c r="AC19" s="2" t="s">
        <v>73</v>
      </c>
      <c r="AD19" s="2" t="s">
        <v>73</v>
      </c>
      <c r="AE19" s="2" t="s">
        <v>73</v>
      </c>
      <c r="AF19" s="5" t="s">
        <v>73</v>
      </c>
      <c r="AG19" s="5">
        <v>45757.583333333328</v>
      </c>
      <c r="AH19" s="7" t="s">
        <v>84</v>
      </c>
      <c r="AI19" s="3">
        <v>2</v>
      </c>
      <c r="AJ19" s="1" t="s">
        <v>784</v>
      </c>
      <c r="AK19" s="1" t="s">
        <v>785</v>
      </c>
      <c r="AL19" s="1" t="s">
        <v>786</v>
      </c>
      <c r="AM19" s="1" t="s">
        <v>787</v>
      </c>
      <c r="AN19" s="1" t="s">
        <v>71</v>
      </c>
      <c r="AO19" s="1" t="s">
        <v>736</v>
      </c>
      <c r="AP19" s="1" t="s">
        <v>737</v>
      </c>
      <c r="AQ19" s="1" t="s">
        <v>75</v>
      </c>
      <c r="AR19" s="1" t="s">
        <v>114</v>
      </c>
      <c r="AS19" s="1" t="s">
        <v>738</v>
      </c>
      <c r="AT19" s="1" t="s">
        <v>739</v>
      </c>
      <c r="AU19" s="1" t="s">
        <v>127</v>
      </c>
      <c r="AV19" s="1" t="s">
        <v>740</v>
      </c>
      <c r="AW19" s="1" t="s">
        <v>741</v>
      </c>
      <c r="AX19" s="7" t="s">
        <v>65</v>
      </c>
      <c r="AY19" s="2">
        <v>2</v>
      </c>
      <c r="AZ19" s="1" t="s">
        <v>772</v>
      </c>
      <c r="BA19" s="3" t="s">
        <v>73</v>
      </c>
      <c r="BB19" s="3">
        <v>0.24166650000000001</v>
      </c>
      <c r="BC19" s="3">
        <v>0.283333</v>
      </c>
      <c r="BD19" s="3">
        <v>0.2</v>
      </c>
      <c r="BE19" s="3">
        <v>0.483333333333333</v>
      </c>
      <c r="BF19" s="1" t="s">
        <v>73</v>
      </c>
      <c r="BG19" s="1" t="s">
        <v>73</v>
      </c>
      <c r="BH19" s="1" t="s">
        <v>73</v>
      </c>
      <c r="BI19" s="1" t="s">
        <v>73</v>
      </c>
      <c r="BJ19" s="1" t="s">
        <v>73</v>
      </c>
      <c r="BK19" s="1" t="s">
        <v>658</v>
      </c>
      <c r="BL19" s="1" t="s">
        <v>659</v>
      </c>
      <c r="BM19" s="1" t="s">
        <v>660</v>
      </c>
    </row>
  </sheetData>
  <autoFilter ref="A1:BM19" xr:uid="{00000000-0009-0000-0000-000000000000}"/>
  <pageMargins left="0.7" right="0.7" top="0.78740157499999996" bottom="0.78740157499999996" header="0.3" footer="0.3"/>
  <pageSetup fitToWidth="0" fitToHeight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1321236-30d4-4c44-ad33-21383f59b88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E87BC25DC702F4B9597B84D8C0169AF" ma:contentTypeVersion="11" ma:contentTypeDescription="Ein neues Dokument erstellen." ma:contentTypeScope="" ma:versionID="6aae313fb96afbb070056bcf5cb3e3c4">
  <xsd:schema xmlns:xsd="http://www.w3.org/2001/XMLSchema" xmlns:xs="http://www.w3.org/2001/XMLSchema" xmlns:p="http://schemas.microsoft.com/office/2006/metadata/properties" xmlns:ns2="81321236-30d4-4c44-ad33-21383f59b884" targetNamespace="http://schemas.microsoft.com/office/2006/metadata/properties" ma:root="true" ma:fieldsID="38a9940647411159706d890c456cf87c" ns2:_="">
    <xsd:import namespace="81321236-30d4-4c44-ad33-21383f59b88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21236-30d4-4c44-ad33-21383f59b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fdd0ed1d-c717-4483-8842-e4e93f781d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2FBA829-39E5-40C9-969D-7F3E47B5202C}">
  <ds:schemaRefs>
    <ds:schemaRef ds:uri="http://schemas.microsoft.com/office/2006/metadata/properties"/>
    <ds:schemaRef ds:uri="http://schemas.microsoft.com/office/infopath/2007/PartnerControls"/>
    <ds:schemaRef ds:uri="81321236-30d4-4c44-ad33-21383f59b884"/>
  </ds:schemaRefs>
</ds:datastoreItem>
</file>

<file path=customXml/itemProps2.xml><?xml version="1.0" encoding="utf-8"?>
<ds:datastoreItem xmlns:ds="http://schemas.openxmlformats.org/officeDocument/2006/customXml" ds:itemID="{06584F80-5D0C-4B50-9764-295041FD2D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D9CD6B-A74D-4C16-99C6-3F49CF3B95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321236-30d4-4c44-ad33-21383f59b8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Sheet2</vt:lpstr>
      <vt:lpstr>Sheet</vt:lpstr>
      <vt:lpstr>TourSummary</vt:lpstr>
      <vt:lpstr>Tour_Summary_Template</vt:lpstr>
      <vt:lpstr>Frachtbrief_Template</vt:lpstr>
      <vt:lpstr>Emoji</vt:lpstr>
      <vt:lpstr>Zellen_Infos</vt:lpstr>
      <vt:lpstr>Sheet_Wien</vt:lpstr>
      <vt:lpstr>INSB_OLD_Sheet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Zellhofer Erik</dc:creator>
  <cp:lastModifiedBy>Zellhofer Erik</cp:lastModifiedBy>
  <cp:lastPrinted>2025-03-26T10:25:17Z</cp:lastPrinted>
  <dcterms:created xsi:type="dcterms:W3CDTF">2025-03-24T13:32:10Z</dcterms:created>
  <dcterms:modified xsi:type="dcterms:W3CDTF">2025-03-27T15:53:22Z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22.2.6.0</vt:lpwstr>
  </property>
  <property fmtid="{D5CDD505-2E9C-101B-9397-08002B2CF9AE}" pid="3" name="ContentTypeId">
    <vt:lpwstr>0x0101007E87BC25DC702F4B9597B84D8C0169AF</vt:lpwstr>
  </property>
  <property fmtid="{D5CDD505-2E9C-101B-9397-08002B2CF9AE}" pid="4" name="MediaServiceImageTags">
    <vt:lpwstr/>
  </property>
</Properties>
</file>
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DieseArbeitsmappe"/>
  <mc:AlternateContent xmlns:mc="http://schemas.openxmlformats.org/markup-compatibility/2006">
    <mc:Choice Requires="x15">
      <x15ac:absPath xmlns:x15ac="http://schemas.microsoft.com/office/spreadsheetml/2010/11/ac" url="https://bgoworks.sharepoint.com/sites/BML_Dispo-PlanungNOS/Freigegebene Dokumente/Planung NOS/10_Excel_Wocheneinteilung_Intern_NOS/"/>
    </mc:Choice>
  </mc:AlternateContent>
  <xr:revisionPtr revIDLastSave="123307" documentId="8_{E59ECE08-9923-4071-9B65-6014D3FC0C02}" xr6:coauthVersionLast="47" xr6:coauthVersionMax="47" xr10:uidLastSave="{C430BD45-CED3-4116-8609-D7E40769A135}"/>
  <bookViews>
    <workbookView xWindow="-110" yWindow="-110" windowWidth="38620" windowHeight="21100" xr2:uid="{582BC9CE-E967-4E2F-AF77-4D98744D11E9}"/>
  </bookViews>
  <sheets>
    <sheet name="NOS_Tourenkonzept" sheetId="1" r:id="rId1"/>
    <sheet name="Tourenplan_BML_WNeudorf" sheetId="6" r:id="rId2"/>
    <sheet name="Tourenplan_BML_Graz" sheetId="2" r:id="rId3"/>
    <sheet name="Tourenplan_BML_Klagenfurt" sheetId="11" r:id="rId4"/>
    <sheet name="Tourenplan_BML_Innsbruck" sheetId="4" r:id="rId5"/>
    <sheet name="Tourenplan_BML_Linz" sheetId="14" r:id="rId6"/>
    <sheet name="Tourenplan_BML_Dornbirn" sheetId="10" r:id="rId7"/>
    <sheet name="Tourenplan_BML_Deutschland" sheetId="9" r:id="rId8"/>
    <sheet name="NOS_Tourenkonzept_Print" sheetId="16" r:id="rId9"/>
    <sheet name="Wochenplan_BML" sheetId="3" r:id="rId10"/>
  </sheets>
  <functionGroups builtInGroupCount="19"/>
  <definedNames>
    <definedName name="_xleta.DATE" hidden="1" xlm="1">#NAME?</definedName>
    <definedName name="_xlnm.Print_Area" localSheetId="7">Tourenplan_BML_Deutschland!$A$1:$S$55</definedName>
    <definedName name="_xlnm.Print_Area" localSheetId="6">Tourenplan_BML_Dornbirn!$A$1:$S$38</definedName>
    <definedName name="_xlnm.Print_Area" localSheetId="2">Tourenplan_BML_Graz!$A$1:$S$49</definedName>
    <definedName name="_xlnm.Print_Area" localSheetId="4">Tourenplan_BML_Innsbruck!$A$1:$S$38</definedName>
    <definedName name="_xlnm.Print_Area" localSheetId="3">Tourenplan_BML_Klagenfurt!$A$1:$S$38</definedName>
    <definedName name="_xlnm.Print_Area" localSheetId="5">Tourenplan_BML_Linz!$A$1:$S$38</definedName>
    <definedName name="_xlnm.Print_Area" localSheetId="1">Tourenplan_BML_WNeudorf!$A$1:$S$74</definedName>
    <definedName name="_xlnm.Print_Area" localSheetId="9">Wochenplan_BML!$B$1:$AF$65</definedName>
    <definedName name="Z_AF731A35_9978_4A72_829F_F3E8771EE2D4_.wvu.Cols" localSheetId="9" hidden="1">Wochenplan_BML!$A:$A</definedName>
    <definedName name="Z_AF731A35_9978_4A72_829F_F3E8771EE2D4_.wvu.PrintArea" localSheetId="7" hidden="1">Tourenplan_BML_Deutschland!$A$1:$S$55</definedName>
    <definedName name="Z_AF731A35_9978_4A72_829F_F3E8771EE2D4_.wvu.PrintArea" localSheetId="6" hidden="1">Tourenplan_BML_Dornbirn!$A$1:$S$38</definedName>
    <definedName name="Z_AF731A35_9978_4A72_829F_F3E8771EE2D4_.wvu.PrintArea" localSheetId="2" hidden="1">Tourenplan_BML_Graz!$A$1:$S$49</definedName>
    <definedName name="Z_AF731A35_9978_4A72_829F_F3E8771EE2D4_.wvu.PrintArea" localSheetId="4" hidden="1">Tourenplan_BML_Innsbruck!$A$1:$S$38</definedName>
    <definedName name="Z_AF731A35_9978_4A72_829F_F3E8771EE2D4_.wvu.PrintArea" localSheetId="3" hidden="1">Tourenplan_BML_Klagenfurt!$A$1:$S$38</definedName>
    <definedName name="Z_AF731A35_9978_4A72_829F_F3E8771EE2D4_.wvu.PrintArea" localSheetId="5" hidden="1">Tourenplan_BML_Linz!$A$1:$S$38</definedName>
    <definedName name="Z_AF731A35_9978_4A72_829F_F3E8771EE2D4_.wvu.PrintArea" localSheetId="1" hidden="1">Tourenplan_BML_WNeudorf!$A$1:$S$74</definedName>
    <definedName name="Z_AF731A35_9978_4A72_829F_F3E8771EE2D4_.wvu.PrintArea" localSheetId="9" hidden="1">Wochenplan_BML!$B$1:$AF$65</definedName>
    <definedName name="Z_AF731A35_9978_4A72_829F_F3E8771EE2D4_.wvu.Rows" localSheetId="9" hidden="1">Wochenplan_BML!$57:$58,Wochenplan_BML!$61:$64</definedName>
  </definedNames>
  <calcPr calcId="191028"/>
  <customWorkbookViews>
    <customWorkbookView name="Teams_Online" guid="{AF731A35-9978-4A72-829F-F3E8771EE2D4}" maximized="1" xWindow="-1928" yWindow="349" windowWidth="1936" windowHeight="1048"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2" i="1" l="1"/>
  <c r="S46" i="16" l="1"/>
  <c r="S43" i="16"/>
  <c r="S40" i="16"/>
  <c r="S37" i="16"/>
  <c r="S34" i="16"/>
  <c r="S31" i="16"/>
  <c r="S28" i="16"/>
  <c r="S25" i="16"/>
  <c r="S22" i="16"/>
  <c r="S19" i="16"/>
  <c r="S16" i="16"/>
  <c r="S13" i="16"/>
  <c r="S10" i="16"/>
  <c r="S7" i="16"/>
  <c r="S4" i="16"/>
  <c r="O46" i="16"/>
  <c r="O43" i="16"/>
  <c r="O40" i="16"/>
  <c r="O37" i="16"/>
  <c r="O34" i="16"/>
  <c r="O31" i="16"/>
  <c r="O28" i="16"/>
  <c r="O25" i="16"/>
  <c r="O22" i="16"/>
  <c r="O19" i="16"/>
  <c r="O16" i="16"/>
  <c r="O13" i="16"/>
  <c r="O10" i="16"/>
  <c r="O7" i="16"/>
  <c r="O4" i="16"/>
  <c r="K46" i="16"/>
  <c r="K43" i="16"/>
  <c r="K40" i="16"/>
  <c r="K37" i="16"/>
  <c r="K34" i="16"/>
  <c r="K31" i="16"/>
  <c r="K28" i="16"/>
  <c r="K25" i="16"/>
  <c r="K22" i="16"/>
  <c r="K19" i="16"/>
  <c r="K16" i="16"/>
  <c r="K13" i="16"/>
  <c r="K10" i="16"/>
  <c r="K7" i="16"/>
  <c r="K4" i="16"/>
  <c r="G46" i="16"/>
  <c r="G43" i="16"/>
  <c r="G40" i="16"/>
  <c r="G37" i="16"/>
  <c r="G34" i="16"/>
  <c r="G31" i="16"/>
  <c r="G28" i="16"/>
  <c r="G25" i="16"/>
  <c r="G22" i="16"/>
  <c r="G19" i="16"/>
  <c r="G16" i="16"/>
  <c r="G13" i="16"/>
  <c r="G10" i="16"/>
  <c r="G7" i="16"/>
  <c r="G4" i="16"/>
  <c r="C46" i="16"/>
  <c r="C43" i="16"/>
  <c r="C40" i="16"/>
  <c r="C37" i="16"/>
  <c r="C34" i="16"/>
  <c r="C31" i="16"/>
  <c r="C28" i="16"/>
  <c r="C25" i="16"/>
  <c r="C22" i="16"/>
  <c r="C19" i="16"/>
  <c r="C16" i="16"/>
  <c r="C13" i="16"/>
  <c r="C10" i="16"/>
  <c r="C7" i="16"/>
  <c r="C4" i="16"/>
  <c r="F2" i="16"/>
  <c r="I2" i="16"/>
  <c r="J2" i="16"/>
  <c r="M2" i="16"/>
  <c r="N2" i="16"/>
  <c r="Q2" i="16"/>
  <c r="R2" i="16"/>
  <c r="U2" i="16"/>
  <c r="F3" i="16"/>
  <c r="I3" i="16"/>
  <c r="J3" i="16"/>
  <c r="M3" i="16"/>
  <c r="N3" i="16"/>
  <c r="Q3" i="16"/>
  <c r="R3" i="16"/>
  <c r="U3" i="16"/>
  <c r="F4" i="16"/>
  <c r="I4" i="16"/>
  <c r="J4" i="16"/>
  <c r="M4" i="16"/>
  <c r="N4" i="16"/>
  <c r="Q4" i="16"/>
  <c r="R4" i="16"/>
  <c r="U4" i="16"/>
  <c r="F5" i="16"/>
  <c r="I5" i="16"/>
  <c r="J5" i="16"/>
  <c r="M5" i="16"/>
  <c r="N5" i="16"/>
  <c r="Q5" i="16"/>
  <c r="R5" i="16"/>
  <c r="U5" i="16"/>
  <c r="F6" i="16"/>
  <c r="I6" i="16"/>
  <c r="J6" i="16"/>
  <c r="M6" i="16"/>
  <c r="N6" i="16"/>
  <c r="Q6" i="16"/>
  <c r="R6" i="16"/>
  <c r="U6" i="16"/>
  <c r="F7" i="16"/>
  <c r="I7" i="16"/>
  <c r="J7" i="16"/>
  <c r="M7" i="16"/>
  <c r="N7" i="16"/>
  <c r="Q7" i="16"/>
  <c r="R7" i="16"/>
  <c r="U7" i="16"/>
  <c r="F8" i="16"/>
  <c r="I8" i="16"/>
  <c r="J8" i="16"/>
  <c r="M8" i="16"/>
  <c r="N8" i="16"/>
  <c r="Q8" i="16"/>
  <c r="R8" i="16"/>
  <c r="U8" i="16"/>
  <c r="F9" i="16"/>
  <c r="I9" i="16"/>
  <c r="J9" i="16"/>
  <c r="M9" i="16"/>
  <c r="N9" i="16"/>
  <c r="Q9" i="16"/>
  <c r="R9" i="16"/>
  <c r="U9" i="16"/>
  <c r="F10" i="16"/>
  <c r="I10" i="16"/>
  <c r="J10" i="16"/>
  <c r="M10" i="16"/>
  <c r="N10" i="16"/>
  <c r="Q10" i="16"/>
  <c r="R10" i="16"/>
  <c r="U10" i="16"/>
  <c r="F11" i="16"/>
  <c r="I11" i="16"/>
  <c r="J11" i="16"/>
  <c r="M11" i="16"/>
  <c r="N11" i="16"/>
  <c r="Q11" i="16"/>
  <c r="R11" i="16"/>
  <c r="U11" i="16"/>
  <c r="F12" i="16"/>
  <c r="I12" i="16"/>
  <c r="J12" i="16"/>
  <c r="M12" i="16"/>
  <c r="N12" i="16"/>
  <c r="Q12" i="16"/>
  <c r="R12" i="16"/>
  <c r="U12" i="16"/>
  <c r="F13" i="16"/>
  <c r="I13" i="16"/>
  <c r="J13" i="16"/>
  <c r="M13" i="16"/>
  <c r="N13" i="16"/>
  <c r="Q13" i="16"/>
  <c r="R13" i="16"/>
  <c r="U13" i="16"/>
  <c r="F14" i="16"/>
  <c r="I14" i="16"/>
  <c r="J14" i="16"/>
  <c r="M14" i="16"/>
  <c r="N14" i="16"/>
  <c r="Q14" i="16"/>
  <c r="R14" i="16"/>
  <c r="U14" i="16"/>
  <c r="F15" i="16"/>
  <c r="I15" i="16"/>
  <c r="J15" i="16"/>
  <c r="M15" i="16"/>
  <c r="N15" i="16"/>
  <c r="Q15" i="16"/>
  <c r="R15" i="16"/>
  <c r="U15" i="16"/>
  <c r="F16" i="16"/>
  <c r="I16" i="16"/>
  <c r="J16" i="16"/>
  <c r="M16" i="16"/>
  <c r="N16" i="16"/>
  <c r="Q16" i="16"/>
  <c r="R16" i="16"/>
  <c r="U16" i="16"/>
  <c r="F17" i="16"/>
  <c r="I17" i="16"/>
  <c r="J17" i="16"/>
  <c r="M17" i="16"/>
  <c r="N17" i="16"/>
  <c r="Q17" i="16"/>
  <c r="R17" i="16"/>
  <c r="U17" i="16"/>
  <c r="F18" i="16"/>
  <c r="I18" i="16"/>
  <c r="J18" i="16"/>
  <c r="M18" i="16"/>
  <c r="N18" i="16"/>
  <c r="Q18" i="16"/>
  <c r="R18" i="16"/>
  <c r="U18" i="16"/>
  <c r="F19" i="16"/>
  <c r="I19" i="16"/>
  <c r="J19" i="16"/>
  <c r="M19" i="16"/>
  <c r="N19" i="16"/>
  <c r="Q19" i="16"/>
  <c r="R19" i="16"/>
  <c r="U19" i="16"/>
  <c r="F20" i="16"/>
  <c r="I20" i="16"/>
  <c r="J20" i="16"/>
  <c r="M20" i="16"/>
  <c r="N20" i="16"/>
  <c r="Q20" i="16"/>
  <c r="R20" i="16"/>
  <c r="U20" i="16"/>
  <c r="F21" i="16"/>
  <c r="I21" i="16"/>
  <c r="J21" i="16"/>
  <c r="M21" i="16"/>
  <c r="N21" i="16"/>
  <c r="Q21" i="16"/>
  <c r="R21" i="16"/>
  <c r="U21" i="16"/>
  <c r="F22" i="16"/>
  <c r="I22" i="16"/>
  <c r="J22" i="16"/>
  <c r="M22" i="16"/>
  <c r="N22" i="16"/>
  <c r="Q22" i="16"/>
  <c r="R22" i="16"/>
  <c r="U22" i="16"/>
  <c r="F23" i="16"/>
  <c r="I23" i="16"/>
  <c r="J23" i="16"/>
  <c r="M23" i="16"/>
  <c r="N23" i="16"/>
  <c r="Q23" i="16"/>
  <c r="R23" i="16"/>
  <c r="U23" i="16"/>
  <c r="F24" i="16"/>
  <c r="I24" i="16"/>
  <c r="J24" i="16"/>
  <c r="M24" i="16"/>
  <c r="N24" i="16"/>
  <c r="Q24" i="16"/>
  <c r="R24" i="16"/>
  <c r="U24" i="16"/>
  <c r="F25" i="16"/>
  <c r="I25" i="16"/>
  <c r="J25" i="16"/>
  <c r="M25" i="16"/>
  <c r="N25" i="16"/>
  <c r="Q25" i="16"/>
  <c r="R25" i="16"/>
  <c r="U25" i="16"/>
  <c r="F26" i="16"/>
  <c r="I26" i="16"/>
  <c r="J26" i="16"/>
  <c r="M26" i="16"/>
  <c r="N26" i="16"/>
  <c r="Q26" i="16"/>
  <c r="R26" i="16"/>
  <c r="U26" i="16"/>
  <c r="F27" i="16"/>
  <c r="I27" i="16"/>
  <c r="J27" i="16"/>
  <c r="M27" i="16"/>
  <c r="N27" i="16"/>
  <c r="Q27" i="16"/>
  <c r="R27" i="16"/>
  <c r="U27" i="16"/>
  <c r="F28" i="16"/>
  <c r="I28" i="16"/>
  <c r="J28" i="16"/>
  <c r="M28" i="16"/>
  <c r="N28" i="16"/>
  <c r="Q28" i="16"/>
  <c r="R28" i="16"/>
  <c r="U28" i="16"/>
  <c r="F29" i="16"/>
  <c r="I29" i="16"/>
  <c r="J29" i="16"/>
  <c r="M29" i="16"/>
  <c r="N29" i="16"/>
  <c r="Q29" i="16"/>
  <c r="R29" i="16"/>
  <c r="U29" i="16"/>
  <c r="F30" i="16"/>
  <c r="I30" i="16"/>
  <c r="J30" i="16"/>
  <c r="M30" i="16"/>
  <c r="N30" i="16"/>
  <c r="Q30" i="16"/>
  <c r="R30" i="16"/>
  <c r="U30" i="16"/>
  <c r="F31" i="16"/>
  <c r="I31" i="16"/>
  <c r="J31" i="16"/>
  <c r="M31" i="16"/>
  <c r="N31" i="16"/>
  <c r="Q31" i="16"/>
  <c r="R31" i="16"/>
  <c r="U31" i="16"/>
  <c r="F32" i="16"/>
  <c r="I32" i="16"/>
  <c r="J32" i="16"/>
  <c r="M32" i="16"/>
  <c r="N32" i="16"/>
  <c r="Q32" i="16"/>
  <c r="R32" i="16"/>
  <c r="U32" i="16"/>
  <c r="F33" i="16"/>
  <c r="I33" i="16"/>
  <c r="J33" i="16"/>
  <c r="M33" i="16"/>
  <c r="N33" i="16"/>
  <c r="Q33" i="16"/>
  <c r="R33" i="16"/>
  <c r="U33" i="16"/>
  <c r="F34" i="16"/>
  <c r="I34" i="16"/>
  <c r="J34" i="16"/>
  <c r="M34" i="16"/>
  <c r="N34" i="16"/>
  <c r="Q34" i="16"/>
  <c r="R34" i="16"/>
  <c r="U34" i="16"/>
  <c r="F35" i="16"/>
  <c r="I35" i="16"/>
  <c r="J35" i="16"/>
  <c r="M35" i="16"/>
  <c r="N35" i="16"/>
  <c r="Q35" i="16"/>
  <c r="R35" i="16"/>
  <c r="U35" i="16"/>
  <c r="F36" i="16"/>
  <c r="I36" i="16"/>
  <c r="J36" i="16"/>
  <c r="M36" i="16"/>
  <c r="N36" i="16"/>
  <c r="Q36" i="16"/>
  <c r="R36" i="16"/>
  <c r="U36" i="16"/>
  <c r="F37" i="16"/>
  <c r="I37" i="16"/>
  <c r="J37" i="16"/>
  <c r="M37" i="16"/>
  <c r="N37" i="16"/>
  <c r="Q37" i="16"/>
  <c r="R37" i="16"/>
  <c r="U37" i="16"/>
  <c r="F38" i="16"/>
  <c r="I38" i="16"/>
  <c r="J38" i="16"/>
  <c r="M38" i="16"/>
  <c r="N38" i="16"/>
  <c r="Q38" i="16"/>
  <c r="R38" i="16"/>
  <c r="U38" i="16"/>
  <c r="F39" i="16"/>
  <c r="I39" i="16"/>
  <c r="J39" i="16"/>
  <c r="M39" i="16"/>
  <c r="N39" i="16"/>
  <c r="Q39" i="16"/>
  <c r="R39" i="16"/>
  <c r="U39" i="16"/>
  <c r="F40" i="16"/>
  <c r="I40" i="16"/>
  <c r="J40" i="16"/>
  <c r="M40" i="16"/>
  <c r="N40" i="16"/>
  <c r="Q40" i="16"/>
  <c r="R40" i="16"/>
  <c r="U40" i="16"/>
  <c r="F41" i="16"/>
  <c r="I41" i="16"/>
  <c r="J41" i="16"/>
  <c r="M41" i="16"/>
  <c r="N41" i="16"/>
  <c r="Q41" i="16"/>
  <c r="R41" i="16"/>
  <c r="U41" i="16"/>
  <c r="F42" i="16"/>
  <c r="I42" i="16"/>
  <c r="J42" i="16"/>
  <c r="M42" i="16"/>
  <c r="N42" i="16"/>
  <c r="Q42" i="16"/>
  <c r="R42" i="16"/>
  <c r="U42" i="16"/>
  <c r="F43" i="16"/>
  <c r="I43" i="16"/>
  <c r="J43" i="16"/>
  <c r="M43" i="16"/>
  <c r="N43" i="16"/>
  <c r="Q43" i="16"/>
  <c r="R43" i="16"/>
  <c r="U43" i="16"/>
  <c r="F44" i="16"/>
  <c r="I44" i="16"/>
  <c r="J44" i="16"/>
  <c r="M44" i="16"/>
  <c r="N44" i="16"/>
  <c r="Q44" i="16"/>
  <c r="R44" i="16"/>
  <c r="U44" i="16"/>
  <c r="F45" i="16"/>
  <c r="I45" i="16"/>
  <c r="J45" i="16"/>
  <c r="M45" i="16"/>
  <c r="N45" i="16"/>
  <c r="Q45" i="16"/>
  <c r="R45" i="16"/>
  <c r="U45" i="16"/>
  <c r="F46" i="16"/>
  <c r="I46" i="16"/>
  <c r="J46" i="16"/>
  <c r="M46" i="16"/>
  <c r="N46" i="16"/>
  <c r="Q46" i="16"/>
  <c r="R46" i="16"/>
  <c r="U46" i="16"/>
  <c r="E3" i="16"/>
  <c r="E4" i="16"/>
  <c r="E5" i="16"/>
  <c r="E6" i="16"/>
  <c r="E7" i="16"/>
  <c r="E8" i="16"/>
  <c r="E9" i="16"/>
  <c r="E10" i="16"/>
  <c r="E11" i="16"/>
  <c r="E12" i="16"/>
  <c r="E13" i="16"/>
  <c r="E14" i="16"/>
  <c r="E15" i="16"/>
  <c r="E16" i="16"/>
  <c r="E17" i="16"/>
  <c r="E18" i="16"/>
  <c r="E19" i="16"/>
  <c r="E20" i="16"/>
  <c r="E21" i="16"/>
  <c r="E22" i="16"/>
  <c r="E23" i="16"/>
  <c r="E24" i="16"/>
  <c r="E25" i="16"/>
  <c r="E26" i="16"/>
  <c r="E27" i="16"/>
  <c r="E28" i="16"/>
  <c r="E29" i="16"/>
  <c r="E30" i="16"/>
  <c r="E31" i="16"/>
  <c r="E32" i="16"/>
  <c r="E33" i="16"/>
  <c r="E34" i="16"/>
  <c r="E35" i="16"/>
  <c r="E36" i="16"/>
  <c r="E37" i="16"/>
  <c r="E38" i="16"/>
  <c r="E39" i="16"/>
  <c r="E40" i="16"/>
  <c r="E41" i="16"/>
  <c r="E42" i="16"/>
  <c r="E43" i="16"/>
  <c r="E44" i="16"/>
  <c r="E45" i="16"/>
  <c r="E46" i="16"/>
  <c r="E2" i="16"/>
  <c r="B3" i="16"/>
  <c r="B4" i="16"/>
  <c r="B5" i="16"/>
  <c r="B6" i="16"/>
  <c r="B7" i="16"/>
  <c r="B8" i="16"/>
  <c r="B9" i="16"/>
  <c r="B10" i="16"/>
  <c r="B11" i="16"/>
  <c r="B12" i="16"/>
  <c r="B13" i="16"/>
  <c r="B14" i="16"/>
  <c r="B15" i="16"/>
  <c r="B16" i="16"/>
  <c r="B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2" i="16"/>
  <c r="A2" i="16"/>
  <c r="A5" i="16"/>
  <c r="A8" i="16"/>
  <c r="A11" i="16"/>
  <c r="A14" i="16"/>
  <c r="A17" i="16"/>
  <c r="A20" i="16"/>
  <c r="A23" i="16"/>
  <c r="A26" i="16"/>
  <c r="A29" i="16"/>
  <c r="A32" i="16"/>
  <c r="A35" i="16"/>
  <c r="A38" i="16"/>
  <c r="A41" i="16"/>
  <c r="A44" i="16"/>
  <c r="B1" i="16"/>
  <c r="A1" i="16"/>
  <c r="F1" i="1" l="1"/>
  <c r="E2" i="14"/>
  <c r="H2" i="14" s="1"/>
  <c r="K2" i="14" s="1"/>
  <c r="N2" i="14" s="1"/>
  <c r="Q2" i="14" s="1"/>
  <c r="N1" i="14"/>
  <c r="J1" i="1" l="1"/>
  <c r="F1" i="16"/>
  <c r="E2" i="11"/>
  <c r="H2" i="11" s="1"/>
  <c r="K2" i="11" s="1"/>
  <c r="N2" i="11" s="1"/>
  <c r="Q2" i="11" s="1"/>
  <c r="N1" i="11"/>
  <c r="N1" i="1" l="1"/>
  <c r="J1" i="16"/>
  <c r="E2" i="10"/>
  <c r="H2" i="10" s="1"/>
  <c r="K2" i="10" s="1"/>
  <c r="N2" i="10" s="1"/>
  <c r="Q2" i="10" s="1"/>
  <c r="N1" i="10"/>
  <c r="E2" i="9"/>
  <c r="H2" i="9" s="1"/>
  <c r="K2" i="9" s="1"/>
  <c r="N2" i="9" s="1"/>
  <c r="Q2" i="9" s="1"/>
  <c r="N1" i="9"/>
  <c r="E2" i="6"/>
  <c r="H2" i="6" s="1"/>
  <c r="K2" i="6" s="1"/>
  <c r="N2" i="6" s="1"/>
  <c r="Q2" i="6" s="1"/>
  <c r="N1" i="6"/>
  <c r="E2" i="4"/>
  <c r="H2" i="4" s="1"/>
  <c r="K2" i="4" s="1"/>
  <c r="N2" i="4" s="1"/>
  <c r="Q2" i="4" s="1"/>
  <c r="N1" i="4"/>
  <c r="E2" i="2"/>
  <c r="H2" i="2" s="1"/>
  <c r="K2" i="2" s="1"/>
  <c r="N2" i="2" s="1"/>
  <c r="Q2" i="2" s="1"/>
  <c r="AE80" i="3"/>
  <c r="Z80" i="3"/>
  <c r="U80" i="3"/>
  <c r="P80" i="3"/>
  <c r="K80" i="3"/>
  <c r="F80" i="3"/>
  <c r="AE79" i="3"/>
  <c r="Z79" i="3"/>
  <c r="U79" i="3"/>
  <c r="P79" i="3"/>
  <c r="K79" i="3"/>
  <c r="F79" i="3"/>
  <c r="AE78" i="3"/>
  <c r="Z78" i="3"/>
  <c r="U78" i="3"/>
  <c r="P78" i="3"/>
  <c r="K78" i="3"/>
  <c r="F78" i="3"/>
  <c r="AE77" i="3"/>
  <c r="Z77" i="3"/>
  <c r="U77" i="3"/>
  <c r="P77" i="3"/>
  <c r="K77" i="3"/>
  <c r="F77" i="3"/>
  <c r="AE76" i="3"/>
  <c r="Z76" i="3"/>
  <c r="U76" i="3"/>
  <c r="P76" i="3"/>
  <c r="K76" i="3"/>
  <c r="F76" i="3"/>
  <c r="AE75" i="3"/>
  <c r="Z75" i="3"/>
  <c r="U75" i="3"/>
  <c r="P75" i="3"/>
  <c r="K75" i="3"/>
  <c r="F75" i="3"/>
  <c r="AE74" i="3"/>
  <c r="Z74" i="3"/>
  <c r="U74" i="3"/>
  <c r="P74" i="3"/>
  <c r="K74" i="3"/>
  <c r="F74" i="3"/>
  <c r="AE73" i="3"/>
  <c r="Z73" i="3"/>
  <c r="U73" i="3"/>
  <c r="P73" i="3"/>
  <c r="K73" i="3"/>
  <c r="F73" i="3"/>
  <c r="AE72" i="3"/>
  <c r="Z72" i="3"/>
  <c r="U72" i="3"/>
  <c r="P72" i="3"/>
  <c r="K72" i="3"/>
  <c r="F72" i="3"/>
  <c r="AE71" i="3"/>
  <c r="Z71" i="3"/>
  <c r="U71" i="3"/>
  <c r="P71" i="3"/>
  <c r="K71" i="3"/>
  <c r="F71" i="3"/>
  <c r="AE70" i="3"/>
  <c r="Z70" i="3"/>
  <c r="U70" i="3"/>
  <c r="P70" i="3"/>
  <c r="K70" i="3"/>
  <c r="F70" i="3"/>
  <c r="AE69" i="3"/>
  <c r="Z69" i="3"/>
  <c r="U69" i="3"/>
  <c r="P69" i="3"/>
  <c r="K69" i="3"/>
  <c r="F69" i="3"/>
  <c r="AE68" i="3"/>
  <c r="Z68" i="3"/>
  <c r="U68" i="3"/>
  <c r="P68" i="3"/>
  <c r="K68" i="3"/>
  <c r="F68" i="3"/>
  <c r="AC2" i="3"/>
  <c r="X2" i="3"/>
  <c r="S2" i="3"/>
  <c r="N2" i="3"/>
  <c r="I2" i="3"/>
  <c r="N1" i="2"/>
  <c r="R1" i="1" l="1"/>
  <c r="R1" i="16" s="1"/>
  <c r="N1" i="16"/>
</calcChain>
</file>

<file path=xl/sharedStrings.xml><?xml version="1.0" encoding="utf-8"?>
<sst xmlns="http://schemas.openxmlformats.org/spreadsheetml/2006/main" count="1405" uniqueCount="257">
  <si>
    <t>Wagen</t>
  </si>
  <si>
    <t>WY-871AW</t>
  </si>
  <si>
    <t>M</t>
  </si>
  <si>
    <t>R</t>
  </si>
  <si>
    <t>D</t>
  </si>
  <si>
    <t>WY-307AX</t>
  </si>
  <si>
    <t>WY-450AX</t>
  </si>
  <si>
    <t>WY-741AT</t>
  </si>
  <si>
    <t>Spedition
L&amp;M</t>
  </si>
  <si>
    <t>Spedition
NBM OÖ</t>
  </si>
  <si>
    <t xml:space="preserve">Spedition  </t>
  </si>
  <si>
    <t xml:space="preserve"> </t>
  </si>
  <si>
    <t xml:space="preserve">Monteure
SC-Leiter </t>
  </si>
  <si>
    <t>SC-Leiter: Pum Roman</t>
  </si>
  <si>
    <r>
      <t xml:space="preserve">Tourenplan </t>
    </r>
    <r>
      <rPr>
        <b/>
        <sz val="36"/>
        <color rgb="FF00B0F0"/>
        <rFont val="Arial"/>
        <family val="2"/>
      </rPr>
      <t xml:space="preserve"> </t>
    </r>
    <r>
      <rPr>
        <b/>
        <sz val="36"/>
        <rFont val="Arial"/>
        <family val="2"/>
      </rPr>
      <t>für</t>
    </r>
  </si>
  <si>
    <t>BML - NOS (Zonen: A &amp; B &amp; C &amp; E)</t>
  </si>
  <si>
    <t>SC Wiener Neudorf</t>
  </si>
  <si>
    <t>M-Bus
WY-816AW</t>
  </si>
  <si>
    <t>M-Bus
WY-876AX</t>
  </si>
  <si>
    <t>M-Bus
WY-973AX</t>
  </si>
  <si>
    <t>M-Bus
WY-862AX</t>
  </si>
  <si>
    <t>M-Bus
WY-865AX</t>
  </si>
  <si>
    <t>M-Bus
WY-855AW</t>
  </si>
  <si>
    <t>M-Bus
WY-878AX</t>
  </si>
  <si>
    <t>M-Bus
WY-877AX</t>
  </si>
  <si>
    <t>M-Bus
WY-864AX</t>
  </si>
  <si>
    <t>M-Bus
WY-863AX</t>
  </si>
  <si>
    <t>Spedition Kusztrich</t>
  </si>
  <si>
    <t>Personal NOS</t>
  </si>
  <si>
    <t xml:space="preserve">SOLL: </t>
  </si>
  <si>
    <t xml:space="preserve">IST: </t>
  </si>
  <si>
    <t>Überstellung
Spedition Kusztrich</t>
  </si>
  <si>
    <t>SC-Leiter: 
Koeck Manfred</t>
  </si>
  <si>
    <t>BML - NOS (F)</t>
  </si>
  <si>
    <t>SC Graz</t>
  </si>
  <si>
    <t>LKW
WY-249BA</t>
  </si>
  <si>
    <t>LKW Kesic 1</t>
  </si>
  <si>
    <t>LKW Kesic 2</t>
  </si>
  <si>
    <t xml:space="preserve">7,5t
WY-353AY </t>
  </si>
  <si>
    <t>3,5t Bus
WY-152AX</t>
  </si>
  <si>
    <t>3,5t Bus
WY-831AZ</t>
  </si>
  <si>
    <t>3,5t Bus
WY-593AV</t>
  </si>
  <si>
    <t>3,5t Bus Systemwand
WY-311AW</t>
  </si>
  <si>
    <t>3,5t
Bus Kesic 1</t>
  </si>
  <si>
    <t>3,5t
Bus Lelic 1</t>
  </si>
  <si>
    <t>Überstellung Spedition
Kusztrich</t>
  </si>
  <si>
    <t/>
  </si>
  <si>
    <t>BML - NOS (G)</t>
  </si>
  <si>
    <t>SC Klagenfurt</t>
  </si>
  <si>
    <t>LKW Riegler 1</t>
  </si>
  <si>
    <t>LKW Riegler 2</t>
  </si>
  <si>
    <t>3,5t Bus
WY-978AY</t>
  </si>
  <si>
    <t xml:space="preserve">3,5t Bus
WY-439AW </t>
  </si>
  <si>
    <t>3,5t Bus
WY-284AW</t>
  </si>
  <si>
    <t>3,5t Bus Riegler 1</t>
  </si>
  <si>
    <t>3,5t Bus Riegler 2</t>
  </si>
  <si>
    <t>SC-Leiter: 
Thonhauser Florian</t>
  </si>
  <si>
    <t>BML - NOS (I)</t>
  </si>
  <si>
    <t>SC Innsbruck</t>
  </si>
  <si>
    <t>LKW Kapeller 2</t>
  </si>
  <si>
    <r>
      <t xml:space="preserve">BGO2 </t>
    </r>
    <r>
      <rPr>
        <b/>
        <sz val="18"/>
        <color rgb="FFFF0000"/>
        <rFont val="Arial"/>
        <family val="2"/>
      </rPr>
      <t xml:space="preserve"> </t>
    </r>
    <r>
      <rPr>
        <b/>
        <sz val="18"/>
        <rFont val="Arial"/>
        <family val="2"/>
      </rPr>
      <t>7,5t
WY-657AN</t>
    </r>
  </si>
  <si>
    <t>BGO1 3,5t
WY-980AY</t>
  </si>
  <si>
    <t>Frei</t>
  </si>
  <si>
    <t>SC-Leiter: 
Öhlinger Andreas</t>
  </si>
  <si>
    <t>BML - NOS (D &amp; H)</t>
  </si>
  <si>
    <t>SC Linz</t>
  </si>
  <si>
    <t>LKW Gebrüder Weiss</t>
  </si>
  <si>
    <t>LKW 
L&amp;M Liefermontagen</t>
  </si>
  <si>
    <t>LKW Eferding
WY-739 AT</t>
  </si>
  <si>
    <t>ULGB-BOX</t>
  </si>
  <si>
    <t>BML - NOS (J)</t>
  </si>
  <si>
    <t>SC Dornbirn</t>
  </si>
  <si>
    <t>ULGB -BOX</t>
  </si>
  <si>
    <t>BML - NOS</t>
  </si>
  <si>
    <t>Export DE</t>
  </si>
  <si>
    <t>RELOGG Hamburg
Krügel Umzugslogistik</t>
  </si>
  <si>
    <t>RELOGG Köln
Neumö Logistik</t>
  </si>
  <si>
    <t>RELOGG Berlin
Scholz Umzüge</t>
  </si>
  <si>
    <t>RELOGG Stuttgart
Arnholdt &amp; Sohn GmbH</t>
  </si>
  <si>
    <t>RELOGG Kassel
MM Express</t>
  </si>
  <si>
    <t>RELOGG Frankfurt 
H&amp;C Fermont GmbH</t>
  </si>
  <si>
    <t>RELOGG München
Paulus GmbH</t>
  </si>
  <si>
    <t>LAGER Chemnitz
Strongflow Handwerk</t>
  </si>
  <si>
    <t>RELOGG Nürnberg
Lauer GmbH</t>
  </si>
  <si>
    <t xml:space="preserve">LAGER Braunschweig 
BLT Dienstleistungen </t>
  </si>
  <si>
    <t>RELOGG Regensburg
Zitzelsberger GmbH</t>
  </si>
  <si>
    <t>LAGER Dortmund 
MfO Beermann</t>
  </si>
  <si>
    <t>Spedition
Lauer und Paul Logistik</t>
  </si>
  <si>
    <t>Spedition
Gebrüder Weiss</t>
  </si>
  <si>
    <t>L&amp;M Liefermontagen
(Nur Bayern)</t>
  </si>
  <si>
    <t>Spedition Kameen
(Kleintransporte)</t>
  </si>
  <si>
    <t>Tourenplan BML - Hali für KW 02 / 2025 SC Graz</t>
  </si>
  <si>
    <t>Montag</t>
  </si>
  <si>
    <t>EAUF+ Cont.-Anz.</t>
  </si>
  <si>
    <t>Dienstag</t>
  </si>
  <si>
    <t>Mittwoch</t>
  </si>
  <si>
    <t>Donnerstag</t>
  </si>
  <si>
    <t>Freitag</t>
  </si>
  <si>
    <t>Samstag</t>
  </si>
  <si>
    <t>BGO Bus 1
WY-152AX</t>
  </si>
  <si>
    <t>STEHT</t>
  </si>
  <si>
    <t>Abfahrt:</t>
  </si>
  <si>
    <t>Ankunft:</t>
  </si>
  <si>
    <t>BGO Bus 2
WY-154AX</t>
  </si>
  <si>
    <t>BGO Bus 3
WY-685AW</t>
  </si>
  <si>
    <t>LKW - Kesic</t>
  </si>
  <si>
    <t>PARTIE - KLF</t>
  </si>
  <si>
    <t xml:space="preserve">STEHT </t>
  </si>
  <si>
    <t>Sped. Winkler</t>
  </si>
  <si>
    <t>Überstellung</t>
  </si>
  <si>
    <t>Überstellung Spedition Winkler</t>
  </si>
  <si>
    <t>Abwesend</t>
  </si>
  <si>
    <t>Bauer</t>
  </si>
  <si>
    <t>Mazzoleni</t>
  </si>
  <si>
    <t>Hofmarcher</t>
  </si>
  <si>
    <t>Grill</t>
  </si>
  <si>
    <t>Petrovic</t>
  </si>
  <si>
    <t>Kropfitsch</t>
  </si>
  <si>
    <t>Almer</t>
  </si>
  <si>
    <t>Rabensteiner</t>
  </si>
  <si>
    <t>Lelic</t>
  </si>
  <si>
    <t>Kovacevic</t>
  </si>
  <si>
    <t>Nadarevic</t>
  </si>
  <si>
    <t>Zivaljevic</t>
  </si>
  <si>
    <t>Tutic</t>
  </si>
  <si>
    <t>Krank</t>
  </si>
  <si>
    <t>Reserve</t>
  </si>
  <si>
    <t>Urlaub</t>
  </si>
  <si>
    <t>ZA</t>
  </si>
  <si>
    <t>Helfer Kesic 1</t>
  </si>
  <si>
    <t>Helfer Kesic 2</t>
  </si>
  <si>
    <t>Helfer Kesic 3</t>
  </si>
  <si>
    <t>Helfer Kesic 4</t>
  </si>
  <si>
    <t>Helfer Jobcreativ 1</t>
  </si>
  <si>
    <t>Helfer Jobcreativ 2</t>
  </si>
  <si>
    <t>Helfer Actief Jobm. 1</t>
  </si>
  <si>
    <t>Helfer Actief Jobm. 2</t>
  </si>
  <si>
    <t>0</t>
  </si>
  <si>
    <t>4</t>
  </si>
  <si>
    <t>2</t>
  </si>
  <si>
    <t>Gebiet:</t>
  </si>
  <si>
    <r>
      <t xml:space="preserve">Tourenplan </t>
    </r>
    <r>
      <rPr>
        <b/>
        <sz val="10"/>
        <color rgb="FF00B0F0"/>
        <rFont val="Arial"/>
        <family val="2"/>
      </rPr>
      <t xml:space="preserve"> </t>
    </r>
    <r>
      <rPr>
        <b/>
        <sz val="10"/>
        <rFont val="Arial"/>
        <family val="2"/>
      </rPr>
      <t>für</t>
    </r>
  </si>
  <si>
    <t>61208</t>
  </si>
  <si>
    <t>WR. NEUSTADT</t>
  </si>
  <si>
    <t>Wien 7,15,13</t>
  </si>
  <si>
    <t>Wien 1,2</t>
  </si>
  <si>
    <t>Wien 19,18</t>
  </si>
  <si>
    <t>61192 + 61204</t>
  </si>
  <si>
    <t>61219</t>
  </si>
  <si>
    <t>Wien 8</t>
  </si>
  <si>
    <t>Wien 3</t>
  </si>
  <si>
    <t>Laab im Walde</t>
  </si>
  <si>
    <t>Antau</t>
  </si>
  <si>
    <t>61205</t>
  </si>
  <si>
    <t>61210 + 61217</t>
  </si>
  <si>
    <t>Wien 23,11</t>
  </si>
  <si>
    <t>Waidhofen/Ybbs</t>
  </si>
  <si>
    <t>Wien 21,22</t>
  </si>
  <si>
    <t>61203</t>
  </si>
  <si>
    <t>Wien 1,9</t>
  </si>
  <si>
    <t>Wien 1</t>
  </si>
  <si>
    <t>Hieflau</t>
  </si>
  <si>
    <t>61206</t>
  </si>
  <si>
    <t>Eisenstadt</t>
  </si>
  <si>
    <t>Wien 17,9</t>
  </si>
  <si>
    <t>Wien 10,12,23</t>
  </si>
  <si>
    <t>Wien 1,4,10</t>
  </si>
  <si>
    <t>61220</t>
  </si>
  <si>
    <t>Wien 11,3</t>
  </si>
  <si>
    <t>St. Pölten</t>
  </si>
  <si>
    <t>2 BML</t>
  </si>
  <si>
    <t>WY-872BA</t>
  </si>
  <si>
    <t>WY-308AX</t>
  </si>
  <si>
    <t>WY-659AN</t>
  </si>
  <si>
    <t>61233</t>
  </si>
  <si>
    <t>61232</t>
  </si>
  <si>
    <t>61231</t>
  </si>
  <si>
    <t>61229</t>
  </si>
  <si>
    <t>61223</t>
  </si>
  <si>
    <t>61230</t>
  </si>
  <si>
    <t>61243</t>
  </si>
  <si>
    <t>61235</t>
  </si>
  <si>
    <t>61242</t>
  </si>
  <si>
    <t>61241</t>
  </si>
  <si>
    <t>61117+61236+61247+61254</t>
  </si>
  <si>
    <r>
      <t xml:space="preserve">Tourenplan </t>
    </r>
    <r>
      <rPr>
        <b/>
        <sz val="28"/>
        <color rgb="FF00B0F0"/>
        <rFont val="Arial"/>
        <family val="2"/>
      </rPr>
      <t xml:space="preserve"> </t>
    </r>
    <r>
      <rPr>
        <b/>
        <sz val="28"/>
        <rFont val="Arial"/>
        <family val="2"/>
      </rPr>
      <t>für</t>
    </r>
  </si>
  <si>
    <t xml:space="preserve">
WY-772AZ</t>
  </si>
  <si>
    <t xml:space="preserve">
WY-308AX</t>
  </si>
  <si>
    <t xml:space="preserve">
WY-659AN</t>
  </si>
  <si>
    <t xml:space="preserve">
WY-450AX</t>
  </si>
  <si>
    <t xml:space="preserve">
WY-307AX</t>
  </si>
  <si>
    <t xml:space="preserve">
WY-741AT</t>
  </si>
  <si>
    <t xml:space="preserve">
WY-872BA</t>
  </si>
  <si>
    <t>Tourenplan_BML_Graz</t>
  </si>
  <si>
    <t>Tourenplan für KW15 (07.04.2025 - 11.04.2025)</t>
  </si>
  <si>
    <t>Zeit:  08:00</t>
  </si>
  <si>
    <t>1  WAB's</t>
  </si>
  <si>
    <t>Zeit:  07:30</t>
  </si>
  <si>
    <t>2+1</t>
  </si>
  <si>
    <t>2+2</t>
  </si>
  <si>
    <t>2  WAB's</t>
  </si>
  <si>
    <t>SC Innsbruck Tour 08.04</t>
  </si>
  <si>
    <r>
      <t xml:space="preserve">SC Innsbruck Tour 09.04 </t>
    </r>
    <r>
      <rPr>
        <sz val="16"/>
        <color rgb="FFFF0000"/>
        <rFont val="Arial"/>
        <family val="2"/>
      </rPr>
      <t>(Noch Platz)</t>
    </r>
  </si>
  <si>
    <t>15_2_01</t>
  </si>
  <si>
    <t>15_3_01</t>
  </si>
  <si>
    <t>SC Innsbruck - St. Anton Tour 08.04</t>
  </si>
  <si>
    <t xml:space="preserve">SC Innsbruck Tour 10.04 </t>
  </si>
  <si>
    <t>SC Innsbruck Tour 11.04</t>
  </si>
  <si>
    <t>15_3_02</t>
  </si>
  <si>
    <t>Montag, 07.04.2025</t>
  </si>
  <si>
    <t>Dienstag, 08.04.2025</t>
  </si>
  <si>
    <t>Mittwoch, 09.04.2025</t>
  </si>
  <si>
    <t>Donnerstag, 10.04.2025</t>
  </si>
  <si>
    <t>Freitag, 11.04.2025</t>
  </si>
  <si>
    <t>Samstag, 12.04.2025</t>
  </si>
  <si>
    <t>61207</t>
  </si>
  <si>
    <t>61198</t>
  </si>
  <si>
    <t>61197</t>
  </si>
  <si>
    <t>61200</t>
  </si>
  <si>
    <t>61166 + 61191</t>
  </si>
  <si>
    <t>61199</t>
  </si>
  <si>
    <t>61209</t>
  </si>
  <si>
    <t xml:space="preserve"> 61211 + 61222</t>
  </si>
  <si>
    <t>61221</t>
  </si>
  <si>
    <t>61216</t>
  </si>
  <si>
    <t>61201 + 61202</t>
  </si>
  <si>
    <t>61214 + 61215</t>
  </si>
  <si>
    <t>61228</t>
  </si>
  <si>
    <t>61227</t>
  </si>
  <si>
    <t>61212</t>
  </si>
  <si>
    <t>61226</t>
  </si>
  <si>
    <t>61239</t>
  </si>
  <si>
    <t>61238</t>
  </si>
  <si>
    <t>61240</t>
  </si>
  <si>
    <t>61246</t>
  </si>
  <si>
    <t>61245</t>
  </si>
  <si>
    <t>61244</t>
  </si>
  <si>
    <t>61248</t>
  </si>
  <si>
    <t>61234</t>
  </si>
  <si>
    <t>WR. NEUDORF</t>
  </si>
  <si>
    <t>LINZ</t>
  </si>
  <si>
    <t>Steyr</t>
  </si>
  <si>
    <t>GRAZ</t>
  </si>
  <si>
    <t>Innsbruck</t>
  </si>
  <si>
    <t>BUDAPEST</t>
  </si>
  <si>
    <t>WERK</t>
  </si>
  <si>
    <t xml:space="preserve">Graz + Lager </t>
  </si>
  <si>
    <t>UNTERACH</t>
  </si>
  <si>
    <t>STEYR</t>
  </si>
  <si>
    <t>FELDBACH</t>
  </si>
  <si>
    <t>KÄRNTEN</t>
  </si>
  <si>
    <t>SALZBURG</t>
  </si>
  <si>
    <t>DEUTSCHLAND</t>
  </si>
  <si>
    <t>POSTVERSAND</t>
  </si>
  <si>
    <t>Werk</t>
  </si>
  <si>
    <t>BAYERN</t>
  </si>
  <si>
    <t>MONTEURE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</si>
</sst>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quot;Ort(e):&quot;\ \ @"/>
    <numFmt numFmtId="165" formatCode="&quot;LLNr:&quot;\ \ @"/>
    <numFmt numFmtId="166" formatCode="&quot;Zeit:&quot;\ \ hh:mm;@"/>
    <numFmt numFmtId="167" formatCode="dddd\,\ dd/mm/yyyy"/>
    <numFmt numFmtId="168" formatCode="0&quot;  WAB's&quot;"/>
    <numFmt numFmtId="169" formatCode="&quot;KW&quot;\ 0&quot; / 2025&quot;"/>
    <numFmt numFmtId="170" formatCode="[$-407]d/\ mmm/\ yy;@"/>
    <numFmt numFmtId="171" formatCode="&quot;T-Nr.:&quot;\ 000000"/>
    <numFmt numFmtId="172" formatCode="&quot;Cont.:&quot;\ 000"/>
    <numFmt numFmtId="173" formatCode="0.00&quot; LE m³&quot;"/>
    <numFmt numFmtId="174" formatCode="#####0&quot; kg&quot;"/>
    <numFmt numFmtId="175" formatCode="00000"/>
    <numFmt numFmtId="176" formatCode="&quot;T-Nr.:&quot;\ 00000"/>
    <numFmt numFmtId="177" formatCode="&quot;Cont:&quot;\ @"/>
    <numFmt numFmtId="178" formatCode="&quot;C:&quot;@"/>
    <numFmt numFmtId="179" formatCode="[$-F800]dddd\,\ mmmm\ dd\,\ yyyy"/>
    <numFmt numFmtId="180" formatCode="&quot;LKW: &quot;@"/>
    <numFmt numFmtId="181" formatCode="&quot;7,5 t:&quot;\ @"/>
    <numFmt numFmtId="182" formatCode="hh:mm"/>
  </numFmts>
  <fonts count="65" x14ac:knownFonts="1">
    <font>
      <sz val="11"/>
      <color theme="1"/>
      <name val="Aptos Narrow"/>
      <family val="2"/>
      <scheme val="minor"/>
    </font>
    <font>
      <sz val="8"/>
      <color theme="1"/>
      <name val="Times New Roman"/>
      <family val="1"/>
    </font>
    <font>
      <sz val="8"/>
      <color theme="1"/>
      <name val="Aptos Narrow"/>
      <family val="2"/>
      <scheme val="minor"/>
    </font>
    <font>
      <b/>
      <sz val="12"/>
      <color theme="1"/>
      <name val="Times New Roman"/>
      <family val="1"/>
    </font>
    <font>
      <sz val="12"/>
      <name val="Arial"/>
      <family val="2"/>
    </font>
    <font>
      <b/>
      <sz val="36"/>
      <name val="Arial"/>
      <family val="2"/>
    </font>
    <font>
      <b/>
      <sz val="36"/>
      <color rgb="FF00B0F0"/>
      <name val="Arial"/>
      <family val="2"/>
    </font>
    <font>
      <b/>
      <sz val="36"/>
      <color rgb="FF009900"/>
      <name val="Arial"/>
      <family val="2"/>
    </font>
    <font>
      <b/>
      <sz val="24"/>
      <name val="Arial"/>
      <family val="2"/>
    </font>
    <font>
      <b/>
      <sz val="20"/>
      <name val="Arial"/>
      <family val="2"/>
    </font>
    <font>
      <b/>
      <sz val="18"/>
      <name val="Arial"/>
      <family val="2"/>
    </font>
    <font>
      <sz val="16"/>
      <color rgb="FF008000"/>
      <name val="Arial"/>
      <family val="2"/>
    </font>
    <font>
      <sz val="12"/>
      <color rgb="FF008000"/>
      <name val="Arial"/>
      <family val="2"/>
    </font>
    <font>
      <sz val="20"/>
      <color rgb="FFFF0000"/>
      <name val="Arial"/>
      <family val="2"/>
    </font>
    <font>
      <sz val="16"/>
      <color rgb="FF000000"/>
      <name val="Arial"/>
      <family val="2"/>
    </font>
    <font>
      <sz val="16"/>
      <color rgb="FFFFFFFF"/>
      <name val="Arial"/>
      <family val="2"/>
    </font>
    <font>
      <b/>
      <sz val="16"/>
      <color rgb="FF000000"/>
      <name val="Arial"/>
      <family val="2"/>
    </font>
    <font>
      <sz val="20"/>
      <name val="Arial"/>
      <family val="2"/>
    </font>
    <font>
      <sz val="12"/>
      <color rgb="FF000000"/>
      <name val="Arial"/>
      <family val="2"/>
    </font>
    <font>
      <b/>
      <sz val="16"/>
      <color rgb="FFFFFFFF"/>
      <name val="Arial"/>
      <family val="2"/>
    </font>
    <font>
      <sz val="12"/>
      <color rgb="FFFFFFFF"/>
      <name val="Arial"/>
      <family val="2"/>
    </font>
    <font>
      <sz val="16"/>
      <name val="Arial"/>
      <family val="2"/>
    </font>
    <font>
      <b/>
      <sz val="16"/>
      <name val="Arial"/>
      <family val="2"/>
    </font>
    <font>
      <sz val="10"/>
      <name val="Arial"/>
      <family val="2"/>
    </font>
    <font>
      <b/>
      <sz val="10"/>
      <name val="Arial"/>
      <family val="2"/>
    </font>
    <font>
      <b/>
      <sz val="9"/>
      <name val="Arial"/>
      <family val="2"/>
    </font>
    <font>
      <b/>
      <sz val="8"/>
      <color indexed="10"/>
      <name val="Arial"/>
      <family val="2"/>
    </font>
    <font>
      <sz val="8"/>
      <name val="Arial"/>
      <family val="2"/>
    </font>
    <font>
      <b/>
      <sz val="9"/>
      <color indexed="10"/>
      <name val="Arial"/>
      <family val="2"/>
    </font>
    <font>
      <b/>
      <sz val="9"/>
      <color rgb="FF0070C0"/>
      <name val="Arial"/>
      <family val="2"/>
    </font>
    <font>
      <b/>
      <sz val="9"/>
      <color rgb="FF00B050"/>
      <name val="Arial"/>
      <family val="2"/>
    </font>
    <font>
      <sz val="10"/>
      <color indexed="8"/>
      <name val="Arial"/>
      <family val="2"/>
    </font>
    <font>
      <sz val="9"/>
      <name val="Arial"/>
      <family val="2"/>
    </font>
    <font>
      <b/>
      <sz val="18"/>
      <color rgb="FFFF0000"/>
      <name val="Arial"/>
      <family val="2"/>
    </font>
    <font>
      <b/>
      <sz val="10"/>
      <color rgb="FF00B050"/>
      <name val="Times New Roman"/>
      <family val="1"/>
    </font>
    <font>
      <sz val="10"/>
      <color theme="1"/>
      <name val="Times New Roman"/>
      <family val="1"/>
    </font>
    <font>
      <b/>
      <sz val="14"/>
      <color theme="1"/>
      <name val="Times New Roman"/>
      <family val="1"/>
    </font>
    <font>
      <b/>
      <sz val="11"/>
      <color theme="1"/>
      <name val="Aptos Narrow"/>
      <family val="2"/>
      <scheme val="minor"/>
    </font>
    <font>
      <sz val="16"/>
      <color theme="9" tint="-0.249977111117893"/>
      <name val="Arial"/>
      <family val="2"/>
    </font>
    <font>
      <b/>
      <sz val="10"/>
      <color rgb="FF00B0F0"/>
      <name val="Arial"/>
      <family val="2"/>
    </font>
    <font>
      <b/>
      <sz val="10"/>
      <color rgb="FF009900"/>
      <name val="Arial"/>
      <family val="2"/>
    </font>
    <font>
      <sz val="10"/>
      <color theme="1"/>
      <name val="Aptos Narrow"/>
      <family val="2"/>
      <scheme val="minor"/>
    </font>
    <font>
      <sz val="10"/>
      <color rgb="FF008000"/>
      <name val="Arial"/>
      <family val="2"/>
    </font>
    <font>
      <sz val="10"/>
      <color rgb="FF000000"/>
      <name val="Arial"/>
      <family val="2"/>
    </font>
    <font>
      <sz val="10"/>
      <color rgb="FFFFFFFF"/>
      <name val="Arial"/>
      <family val="2"/>
    </font>
    <font>
      <b/>
      <sz val="10"/>
      <color rgb="FF000000"/>
      <name val="Arial"/>
      <family val="2"/>
    </font>
    <font>
      <b/>
      <sz val="12"/>
      <color theme="1"/>
      <name val="Aptos Narrow"/>
      <family val="2"/>
      <scheme val="minor"/>
    </font>
    <font>
      <b/>
      <sz val="11"/>
      <color rgb="FF000000"/>
      <name val="Aptos Narrow"/>
      <family val="2"/>
    </font>
    <font>
      <b/>
      <sz val="10"/>
      <color theme="1"/>
      <name val="Times New Roman"/>
      <family val="1"/>
    </font>
    <font>
      <sz val="8"/>
      <name val="Times New Roman"/>
      <family val="1"/>
    </font>
    <font>
      <b/>
      <sz val="11"/>
      <color theme="1"/>
      <name val="Times New Roman"/>
      <family val="1"/>
    </font>
    <font>
      <sz val="8"/>
      <color rgb="FF00B050"/>
      <name val="Times New Roman"/>
      <family val="1"/>
    </font>
    <font>
      <b/>
      <sz val="22"/>
      <name val="Arial"/>
      <family val="2"/>
    </font>
    <font>
      <sz val="22"/>
      <name val="Arial"/>
      <family val="2"/>
    </font>
    <font>
      <b/>
      <sz val="28"/>
      <color rgb="FF009900"/>
      <name val="Arial"/>
      <family val="2"/>
    </font>
    <font>
      <b/>
      <sz val="28"/>
      <name val="Arial"/>
      <family val="2"/>
    </font>
    <font>
      <b/>
      <sz val="28"/>
      <color rgb="FF00B0F0"/>
      <name val="Arial"/>
      <family val="2"/>
    </font>
    <font>
      <sz val="8"/>
      <name val="Aptos Narrow"/>
      <family val="2"/>
      <scheme val="minor"/>
    </font>
    <font>
      <b/>
      <sz val="12"/>
      <name val="Arial"/>
      <family val="2"/>
    </font>
    <font>
      <b/>
      <sz val="12"/>
      <color rgb="FFFF0000"/>
      <name val="Arial"/>
      <family val="2"/>
    </font>
    <font>
      <b/>
      <sz val="10"/>
      <color rgb="FFFFFFFF"/>
      <name val="Arial"/>
      <family val="2"/>
    </font>
    <font>
      <sz val="24"/>
      <name val="Arial"/>
      <family val="2"/>
    </font>
    <font>
      <sz val="16"/>
      <color rgb="FFFF0000"/>
      <name val="Arial"/>
      <family val="2"/>
    </font>
    <font>
      <sz val="12"/>
      <color theme="9" tint="-0.249977111117893"/>
      <name val="Arial"/>
      <family val="2"/>
    </font>
    <font>
      <sz val="14"/>
      <color rgb="FF008000"/>
      <name val="Arial"/>
      <family val="2"/>
    </font>
  </fonts>
  <fills count="18">
    <fill>
      <patternFill patternType="none"/>
    </fill>
    <fill>
      <patternFill patternType="gray125"/>
    </fill>
    <fill>
      <patternFill patternType="solid">
        <fgColor indexed="65"/>
        <bgColor indexed="64"/>
      </patternFill>
    </fill>
    <fill>
      <patternFill patternType="solid">
        <fgColor theme="0" tint="-0.249977111117893"/>
        <bgColor indexed="64"/>
      </patternFill>
    </fill>
    <fill>
      <patternFill patternType="solid">
        <fgColor theme="1"/>
        <bgColor indexed="64"/>
      </patternFill>
    </fill>
    <fill>
      <patternFill patternType="solid">
        <fgColor indexed="22"/>
        <bgColor indexed="64"/>
      </patternFill>
    </fill>
    <fill>
      <patternFill patternType="solid">
        <fgColor indexed="9"/>
        <bgColor indexed="64"/>
      </patternFill>
    </fill>
    <fill>
      <patternFill patternType="solid">
        <fgColor indexed="41"/>
        <bgColor indexed="64"/>
      </patternFill>
    </fill>
    <fill>
      <patternFill patternType="solid">
        <fgColor theme="0" tint="-4.9989318521683403E-2"/>
        <bgColor indexed="64"/>
      </patternFill>
    </fill>
    <fill>
      <patternFill patternType="solid">
        <fgColor indexed="43"/>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8" tint="0.79998168889431442"/>
        <bgColor indexed="64"/>
      </patternFill>
    </fill>
    <fill>
      <patternFill patternType="solid">
        <fgColor rgb="FFDCDCDC"/>
        <bgColor indexed="64"/>
      </patternFill>
    </fill>
    <fill>
      <patternFill patternType="solid">
        <fgColor rgb="FFFFC000"/>
        <bgColor indexed="64"/>
      </patternFill>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s>
  <borders count="44">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style="medium">
        <color indexed="64"/>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style="medium">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bottom style="thin">
        <color indexed="64"/>
      </bottom>
      <diagonal/>
    </border>
    <border>
      <left style="medium">
        <color indexed="64"/>
      </left>
      <right style="medium">
        <color indexed="64"/>
      </right>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medium">
        <color indexed="64"/>
      </right>
      <top style="thin">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medium">
        <color indexed="64"/>
      </right>
      <top style="thin">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style="thin">
        <color indexed="64"/>
      </left>
      <right style="medium">
        <color rgb="FF000000"/>
      </right>
      <top style="medium">
        <color rgb="FF000000"/>
      </top>
      <bottom style="medium">
        <color rgb="FF000000"/>
      </bottom>
      <diagonal/>
    </border>
  </borders>
  <cellStyleXfs count="3">
    <xf numFmtId="0" fontId="0" fillId="0" borderId="0"/>
    <xf numFmtId="0" fontId="4" fillId="0" borderId="0"/>
    <xf numFmtId="0" fontId="23" fillId="0" borderId="0"/>
  </cellStyleXfs>
  <cellXfs count="1063">
    <xf numFmtId="0" fontId="0" fillId="0" borderId="0" xfId="0"/>
    <xf numFmtId="0" fontId="0" fillId="0" borderId="0" xfId="0" applyAlignment="1">
      <alignment horizontal="center"/>
    </xf>
    <xf numFmtId="0" fontId="1" fillId="0" borderId="14" xfId="0" applyFont="1" applyBorder="1" applyAlignment="1" applyProtection="1">
      <alignment horizontal="center" vertical="center"/>
      <protection locked="0"/>
    </xf>
    <xf numFmtId="0" fontId="2" fillId="0" borderId="6" xfId="0" applyFont="1" applyBorder="1" applyAlignment="1" applyProtection="1">
      <alignment horizontal="center" vertical="center"/>
      <protection locked="0"/>
      <extLst>
        <ext xmlns:xfpb="http://schemas.microsoft.com/office/spreadsheetml/2022/featurepropertybag" uri="{C7286773-470A-42A8-94C5-96B5CB345126}">
          <xfpb:xfComplement i="0"/>
        </ext>
      </extLst>
    </xf>
    <xf numFmtId="0" fontId="2" fillId="0" borderId="5" xfId="0" applyFont="1" applyBorder="1" applyAlignment="1" applyProtection="1">
      <alignment horizontal="center" vertical="center"/>
      <protection locked="0"/>
      <extLst>
        <ext xmlns:xfpb="http://schemas.microsoft.com/office/spreadsheetml/2022/featurepropertybag" uri="{C7286773-470A-42A8-94C5-96B5CB345126}">
          <xfpb:xfComplement i="0"/>
        </ext>
      </extLst>
    </xf>
    <xf numFmtId="0" fontId="4" fillId="0" borderId="1" xfId="1" applyBorder="1" applyAlignment="1">
      <alignment horizontal="center"/>
    </xf>
    <xf numFmtId="0" fontId="4" fillId="0" borderId="0" xfId="1"/>
    <xf numFmtId="0" fontId="8" fillId="0" borderId="1" xfId="1" applyFont="1" applyBorder="1"/>
    <xf numFmtId="170" fontId="9" fillId="3" borderId="9" xfId="1" applyNumberFormat="1" applyFont="1" applyFill="1" applyBorder="1" applyAlignment="1">
      <alignment horizontal="centerContinuous" vertical="center"/>
    </xf>
    <xf numFmtId="170" fontId="9" fillId="3" borderId="2" xfId="1" applyNumberFormat="1" applyFont="1" applyFill="1" applyBorder="1" applyAlignment="1">
      <alignment horizontal="centerContinuous" vertical="center"/>
    </xf>
    <xf numFmtId="49" fontId="11" fillId="0" borderId="18" xfId="1" applyNumberFormat="1" applyFont="1" applyBorder="1" applyAlignment="1">
      <alignment horizontal="centerContinuous" vertical="center" shrinkToFit="1"/>
    </xf>
    <xf numFmtId="49" fontId="11" fillId="0" borderId="13" xfId="1" applyNumberFormat="1" applyFont="1" applyBorder="1" applyAlignment="1">
      <alignment horizontal="centerContinuous" vertical="center" shrinkToFit="1"/>
    </xf>
    <xf numFmtId="49" fontId="11" fillId="0" borderId="17" xfId="1" applyNumberFormat="1" applyFont="1" applyBorder="1" applyAlignment="1">
      <alignment horizontal="centerContinuous" vertical="center" shrinkToFit="1"/>
    </xf>
    <xf numFmtId="0" fontId="13" fillId="0" borderId="0" xfId="1" applyFont="1" applyAlignment="1">
      <alignment wrapText="1"/>
    </xf>
    <xf numFmtId="0" fontId="13" fillId="0" borderId="0" xfId="1" applyFont="1"/>
    <xf numFmtId="171" fontId="11" fillId="0" borderId="20" xfId="1" applyNumberFormat="1" applyFont="1" applyBorder="1" applyAlignment="1">
      <alignment horizontal="left" vertical="center" shrinkToFit="1"/>
    </xf>
    <xf numFmtId="49" fontId="11" fillId="0" borderId="0" xfId="1" applyNumberFormat="1" applyFont="1" applyAlignment="1">
      <alignment vertical="center" shrinkToFit="1"/>
    </xf>
    <xf numFmtId="172" fontId="14" fillId="0" borderId="21" xfId="1" applyNumberFormat="1" applyFont="1" applyBorder="1" applyAlignment="1">
      <alignment vertical="center" shrinkToFit="1"/>
    </xf>
    <xf numFmtId="49" fontId="11" fillId="0" borderId="20" xfId="1" applyNumberFormat="1" applyFont="1" applyBorder="1" applyAlignment="1">
      <alignment vertical="center" shrinkToFit="1"/>
    </xf>
    <xf numFmtId="49" fontId="11" fillId="0" borderId="21" xfId="1" applyNumberFormat="1" applyFont="1" applyBorder="1" applyAlignment="1">
      <alignment vertical="center" shrinkToFit="1"/>
    </xf>
    <xf numFmtId="172" fontId="15" fillId="0" borderId="21" xfId="1" applyNumberFormat="1" applyFont="1" applyBorder="1" applyAlignment="1">
      <alignment vertical="center" shrinkToFit="1"/>
    </xf>
    <xf numFmtId="49" fontId="11" fillId="0" borderId="6" xfId="1" applyNumberFormat="1" applyFont="1" applyBorder="1" applyAlignment="1">
      <alignment vertical="center" shrinkToFit="1"/>
    </xf>
    <xf numFmtId="49" fontId="11" fillId="0" borderId="23" xfId="1" applyNumberFormat="1" applyFont="1" applyBorder="1" applyAlignment="1">
      <alignment horizontal="left" vertical="center" shrinkToFit="1"/>
    </xf>
    <xf numFmtId="49" fontId="11" fillId="0" borderId="24" xfId="1" applyNumberFormat="1" applyFont="1" applyBorder="1" applyAlignment="1">
      <alignment horizontal="left" vertical="center" shrinkToFit="1"/>
    </xf>
    <xf numFmtId="49" fontId="11" fillId="0" borderId="26" xfId="1" applyNumberFormat="1" applyFont="1" applyBorder="1" applyAlignment="1">
      <alignment horizontal="left" vertical="center" shrinkToFit="1"/>
    </xf>
    <xf numFmtId="20" fontId="11" fillId="0" borderId="24" xfId="1" applyNumberFormat="1" applyFont="1" applyBorder="1" applyAlignment="1">
      <alignment horizontal="left" vertical="center" shrinkToFit="1"/>
    </xf>
    <xf numFmtId="20" fontId="11" fillId="0" borderId="25" xfId="1" applyNumberFormat="1" applyFont="1" applyBorder="1" applyAlignment="1">
      <alignment horizontal="left" vertical="center" shrinkToFit="1"/>
    </xf>
    <xf numFmtId="20" fontId="14" fillId="0" borderId="25" xfId="1" applyNumberFormat="1" applyFont="1" applyBorder="1" applyAlignment="1">
      <alignment horizontal="center" vertical="center" shrinkToFit="1"/>
    </xf>
    <xf numFmtId="20" fontId="11" fillId="0" borderId="27" xfId="1" applyNumberFormat="1" applyFont="1" applyBorder="1" applyAlignment="1">
      <alignment horizontal="left" vertical="center" shrinkToFit="1"/>
    </xf>
    <xf numFmtId="49" fontId="11" fillId="0" borderId="30" xfId="1" applyNumberFormat="1" applyFont="1" applyBorder="1" applyAlignment="1">
      <alignment vertical="center" shrinkToFit="1"/>
    </xf>
    <xf numFmtId="49" fontId="11" fillId="0" borderId="31" xfId="1" applyNumberFormat="1" applyFont="1" applyBorder="1" applyAlignment="1">
      <alignment vertical="center" shrinkToFit="1"/>
    </xf>
    <xf numFmtId="49" fontId="11" fillId="0" borderId="11" xfId="1" applyNumberFormat="1" applyFont="1" applyBorder="1" applyAlignment="1">
      <alignment vertical="center" shrinkToFit="1"/>
    </xf>
    <xf numFmtId="49" fontId="11" fillId="0" borderId="33" xfId="1" applyNumberFormat="1" applyFont="1" applyBorder="1" applyAlignment="1">
      <alignment vertical="center" shrinkToFit="1"/>
    </xf>
    <xf numFmtId="171" fontId="14" fillId="0" borderId="20" xfId="1" applyNumberFormat="1" applyFont="1" applyBorder="1" applyAlignment="1">
      <alignment horizontal="left" vertical="center" shrinkToFit="1"/>
    </xf>
    <xf numFmtId="49" fontId="14" fillId="0" borderId="0" xfId="1" applyNumberFormat="1" applyFont="1" applyAlignment="1">
      <alignment vertical="center" shrinkToFit="1"/>
    </xf>
    <xf numFmtId="49" fontId="14" fillId="0" borderId="26" xfId="1" applyNumberFormat="1" applyFont="1" applyBorder="1" applyAlignment="1">
      <alignment horizontal="left" vertical="center" shrinkToFit="1"/>
    </xf>
    <xf numFmtId="49" fontId="14" fillId="0" borderId="24" xfId="1" applyNumberFormat="1" applyFont="1" applyBorder="1" applyAlignment="1">
      <alignment horizontal="left" vertical="center" shrinkToFit="1"/>
    </xf>
    <xf numFmtId="49" fontId="11" fillId="0" borderId="32" xfId="1" applyNumberFormat="1" applyFont="1" applyBorder="1" applyAlignment="1">
      <alignment vertical="center" shrinkToFit="1"/>
    </xf>
    <xf numFmtId="20" fontId="11" fillId="0" borderId="24" xfId="1" quotePrefix="1" applyNumberFormat="1" applyFont="1" applyBorder="1" applyAlignment="1">
      <alignment horizontal="left" vertical="center" shrinkToFit="1"/>
    </xf>
    <xf numFmtId="20" fontId="11" fillId="0" borderId="25" xfId="1" quotePrefix="1" applyNumberFormat="1" applyFont="1" applyBorder="1" applyAlignment="1">
      <alignment horizontal="left" vertical="center" shrinkToFit="1"/>
    </xf>
    <xf numFmtId="49" fontId="11" fillId="0" borderId="12" xfId="1" applyNumberFormat="1" applyFont="1" applyBorder="1" applyAlignment="1">
      <alignment horizontal="left" vertical="center" shrinkToFit="1"/>
    </xf>
    <xf numFmtId="20" fontId="11" fillId="0" borderId="15" xfId="1" applyNumberFormat="1" applyFont="1" applyBorder="1" applyAlignment="1">
      <alignment horizontal="left" vertical="center" shrinkToFit="1"/>
    </xf>
    <xf numFmtId="49" fontId="11" fillId="0" borderId="34" xfId="1" applyNumberFormat="1" applyFont="1" applyBorder="1" applyAlignment="1">
      <alignment horizontal="left" vertical="center" shrinkToFit="1"/>
    </xf>
    <xf numFmtId="20" fontId="11" fillId="0" borderId="35" xfId="1" applyNumberFormat="1" applyFont="1" applyBorder="1" applyAlignment="1">
      <alignment horizontal="left" vertical="center" shrinkToFit="1"/>
    </xf>
    <xf numFmtId="49" fontId="11" fillId="0" borderId="15" xfId="1" applyNumberFormat="1" applyFont="1" applyBorder="1" applyAlignment="1">
      <alignment horizontal="left" vertical="center" shrinkToFit="1"/>
    </xf>
    <xf numFmtId="20" fontId="11" fillId="0" borderId="5" xfId="1" applyNumberFormat="1" applyFont="1" applyBorder="1" applyAlignment="1">
      <alignment horizontal="left" vertical="center" shrinkToFit="1"/>
    </xf>
    <xf numFmtId="49" fontId="10" fillId="4" borderId="11" xfId="1" applyNumberFormat="1" applyFont="1" applyFill="1" applyBorder="1" applyAlignment="1">
      <alignment horizontal="left" vertical="center"/>
    </xf>
    <xf numFmtId="49" fontId="11" fillId="0" borderId="0" xfId="1" applyNumberFormat="1" applyFont="1" applyAlignment="1">
      <alignment horizontal="left" vertical="center" shrinkToFit="1"/>
    </xf>
    <xf numFmtId="20" fontId="11" fillId="0" borderId="0" xfId="1" applyNumberFormat="1" applyFont="1" applyAlignment="1">
      <alignment horizontal="left" vertical="center" shrinkToFit="1"/>
    </xf>
    <xf numFmtId="20" fontId="11" fillId="0" borderId="6" xfId="1" applyNumberFormat="1" applyFont="1" applyBorder="1" applyAlignment="1">
      <alignment horizontal="left" vertical="center" shrinkToFit="1"/>
    </xf>
    <xf numFmtId="49" fontId="11" fillId="0" borderId="18" xfId="1" applyNumberFormat="1" applyFont="1" applyBorder="1" applyAlignment="1">
      <alignment vertical="center" shrinkToFit="1"/>
    </xf>
    <xf numFmtId="49" fontId="11" fillId="0" borderId="13" xfId="1" applyNumberFormat="1" applyFont="1" applyBorder="1" applyAlignment="1">
      <alignment vertical="center" shrinkToFit="1"/>
    </xf>
    <xf numFmtId="49" fontId="11" fillId="0" borderId="14" xfId="1" applyNumberFormat="1" applyFont="1" applyBorder="1" applyAlignment="1">
      <alignment vertical="center" shrinkToFit="1"/>
    </xf>
    <xf numFmtId="20" fontId="11" fillId="0" borderId="21" xfId="1" applyNumberFormat="1" applyFont="1" applyBorder="1" applyAlignment="1">
      <alignment horizontal="left" vertical="center" shrinkToFit="1"/>
    </xf>
    <xf numFmtId="49" fontId="11" fillId="0" borderId="20" xfId="1" applyNumberFormat="1" applyFont="1" applyBorder="1" applyAlignment="1">
      <alignment horizontal="left" vertical="center" shrinkToFit="1"/>
    </xf>
    <xf numFmtId="1" fontId="17" fillId="0" borderId="0" xfId="1" applyNumberFormat="1" applyFont="1"/>
    <xf numFmtId="49" fontId="8" fillId="0" borderId="2" xfId="1" applyNumberFormat="1" applyFont="1" applyBorder="1" applyAlignment="1">
      <alignment horizontal="left" vertical="center"/>
    </xf>
    <xf numFmtId="49" fontId="8" fillId="0" borderId="8" xfId="1" applyNumberFormat="1" applyFont="1" applyBorder="1" applyAlignment="1">
      <alignment vertical="center"/>
    </xf>
    <xf numFmtId="49" fontId="8" fillId="0" borderId="2" xfId="1" applyNumberFormat="1" applyFont="1" applyBorder="1" applyAlignment="1">
      <alignment horizontal="center" vertical="center"/>
    </xf>
    <xf numFmtId="49" fontId="8" fillId="0" borderId="14" xfId="1" applyNumberFormat="1" applyFont="1" applyBorder="1" applyAlignment="1">
      <alignment horizontal="left" vertical="center"/>
    </xf>
    <xf numFmtId="49" fontId="8" fillId="0" borderId="14" xfId="1" applyNumberFormat="1" applyFont="1" applyBorder="1" applyAlignment="1">
      <alignment horizontal="center" vertical="center"/>
    </xf>
    <xf numFmtId="1" fontId="17" fillId="0" borderId="0" xfId="1" applyNumberFormat="1" applyFont="1" applyAlignment="1">
      <alignment vertical="center"/>
    </xf>
    <xf numFmtId="0" fontId="4" fillId="0" borderId="0" xfId="1" applyAlignment="1">
      <alignment vertical="center"/>
    </xf>
    <xf numFmtId="172" fontId="14" fillId="0" borderId="10" xfId="1" applyNumberFormat="1" applyFont="1" applyBorder="1" applyAlignment="1">
      <alignment horizontal="left" vertical="center" shrinkToFit="1"/>
    </xf>
    <xf numFmtId="173" fontId="16" fillId="0" borderId="13" xfId="1" applyNumberFormat="1" applyFont="1" applyBorder="1" applyAlignment="1">
      <alignment horizontal="left" vertical="center" shrinkToFit="1"/>
    </xf>
    <xf numFmtId="0" fontId="18" fillId="0" borderId="13" xfId="1" applyFont="1" applyBorder="1" applyAlignment="1">
      <alignment horizontal="left"/>
    </xf>
    <xf numFmtId="172" fontId="15" fillId="0" borderId="10" xfId="1" applyNumberFormat="1" applyFont="1" applyBorder="1" applyAlignment="1">
      <alignment horizontal="left" vertical="center" shrinkToFit="1"/>
    </xf>
    <xf numFmtId="173" fontId="19" fillId="0" borderId="13" xfId="1" applyNumberFormat="1" applyFont="1" applyBorder="1" applyAlignment="1">
      <alignment horizontal="left" vertical="center" shrinkToFit="1"/>
    </xf>
    <xf numFmtId="0" fontId="20" fillId="0" borderId="14" xfId="1" applyFont="1" applyBorder="1" applyAlignment="1">
      <alignment horizontal="left"/>
    </xf>
    <xf numFmtId="0" fontId="20" fillId="0" borderId="13" xfId="1" applyFont="1" applyBorder="1" applyAlignment="1">
      <alignment horizontal="left"/>
    </xf>
    <xf numFmtId="173" fontId="16" fillId="0" borderId="14" xfId="1" applyNumberFormat="1" applyFont="1" applyBorder="1" applyAlignment="1">
      <alignment horizontal="left" vertical="center" shrinkToFit="1"/>
    </xf>
    <xf numFmtId="172" fontId="21" fillId="0" borderId="10" xfId="1" applyNumberFormat="1" applyFont="1" applyBorder="1" applyAlignment="1">
      <alignment horizontal="left" vertical="center" shrinkToFit="1"/>
    </xf>
    <xf numFmtId="173" fontId="22" fillId="0" borderId="13" xfId="1" applyNumberFormat="1" applyFont="1" applyBorder="1" applyAlignment="1">
      <alignment horizontal="left" vertical="center" shrinkToFit="1"/>
    </xf>
    <xf numFmtId="173" fontId="19" fillId="0" borderId="14" xfId="1" applyNumberFormat="1" applyFont="1" applyBorder="1" applyAlignment="1">
      <alignment vertical="center" shrinkToFit="1"/>
    </xf>
    <xf numFmtId="49" fontId="16" fillId="0" borderId="12" xfId="1" applyNumberFormat="1" applyFont="1" applyBorder="1" applyAlignment="1">
      <alignment horizontal="left" vertical="center" shrinkToFit="1"/>
    </xf>
    <xf numFmtId="174" fontId="16" fillId="0" borderId="15" xfId="1" applyNumberFormat="1" applyFont="1" applyBorder="1" applyAlignment="1">
      <alignment vertical="center" shrinkToFit="1"/>
    </xf>
    <xf numFmtId="49" fontId="19" fillId="0" borderId="12" xfId="1" applyNumberFormat="1" applyFont="1" applyBorder="1" applyAlignment="1">
      <alignment horizontal="left" vertical="center" shrinkToFit="1"/>
    </xf>
    <xf numFmtId="49" fontId="19" fillId="0" borderId="15" xfId="1" applyNumberFormat="1" applyFont="1" applyBorder="1" applyAlignment="1">
      <alignment vertical="center" shrinkToFit="1"/>
    </xf>
    <xf numFmtId="49" fontId="19" fillId="0" borderId="5" xfId="1" applyNumberFormat="1" applyFont="1" applyBorder="1" applyAlignment="1">
      <alignment vertical="center" shrinkToFit="1"/>
    </xf>
    <xf numFmtId="49" fontId="16" fillId="0" borderId="15" xfId="1" applyNumberFormat="1" applyFont="1" applyBorder="1" applyAlignment="1">
      <alignment vertical="center" shrinkToFit="1"/>
    </xf>
    <xf numFmtId="49" fontId="16" fillId="0" borderId="5" xfId="1" applyNumberFormat="1" applyFont="1" applyBorder="1" applyAlignment="1">
      <alignment vertical="center" shrinkToFit="1"/>
    </xf>
    <xf numFmtId="49" fontId="22" fillId="0" borderId="12" xfId="1" applyNumberFormat="1" applyFont="1" applyBorder="1" applyAlignment="1">
      <alignment horizontal="left" vertical="center" shrinkToFit="1"/>
    </xf>
    <xf numFmtId="49" fontId="22" fillId="0" borderId="15" xfId="1" applyNumberFormat="1" applyFont="1" applyBorder="1" applyAlignment="1">
      <alignment vertical="center" shrinkToFit="1"/>
    </xf>
    <xf numFmtId="172" fontId="22" fillId="0" borderId="0" xfId="1" applyNumberFormat="1" applyFont="1" applyAlignment="1">
      <alignment horizontal="left" vertical="center" shrinkToFit="1"/>
    </xf>
    <xf numFmtId="173" fontId="22" fillId="0" borderId="0" xfId="1" applyNumberFormat="1" applyFont="1" applyAlignment="1">
      <alignment vertical="center" shrinkToFit="1"/>
    </xf>
    <xf numFmtId="173" fontId="22" fillId="0" borderId="6" xfId="1" applyNumberFormat="1" applyFont="1" applyBorder="1" applyAlignment="1">
      <alignment vertical="center" shrinkToFit="1"/>
    </xf>
    <xf numFmtId="49" fontId="22" fillId="0" borderId="15" xfId="1" applyNumberFormat="1" applyFont="1" applyBorder="1" applyAlignment="1">
      <alignment horizontal="left" vertical="center" shrinkToFit="1"/>
    </xf>
    <xf numFmtId="49" fontId="22" fillId="0" borderId="5" xfId="1" applyNumberFormat="1" applyFont="1" applyBorder="1" applyAlignment="1">
      <alignment vertical="center" shrinkToFit="1"/>
    </xf>
    <xf numFmtId="0" fontId="17" fillId="0" borderId="0" xfId="2" applyFont="1"/>
    <xf numFmtId="16" fontId="10" fillId="2" borderId="9" xfId="1" applyNumberFormat="1" applyFont="1" applyFill="1" applyBorder="1" applyAlignment="1">
      <alignment vertical="center"/>
    </xf>
    <xf numFmtId="16" fontId="10" fillId="2" borderId="2" xfId="1" applyNumberFormat="1" applyFont="1" applyFill="1" applyBorder="1" applyAlignment="1">
      <alignment vertical="center"/>
    </xf>
    <xf numFmtId="0" fontId="23" fillId="0" borderId="0" xfId="2"/>
    <xf numFmtId="0" fontId="24" fillId="0" borderId="15" xfId="2" applyFont="1" applyBorder="1"/>
    <xf numFmtId="0" fontId="24" fillId="0" borderId="8" xfId="2" applyFont="1" applyBorder="1" applyAlignment="1">
      <alignment horizontal="center"/>
    </xf>
    <xf numFmtId="15" fontId="25" fillId="6" borderId="2" xfId="1" applyNumberFormat="1" applyFont="1" applyFill="1" applyBorder="1" applyAlignment="1">
      <alignment horizontal="center" vertical="center"/>
    </xf>
    <xf numFmtId="0" fontId="24" fillId="0" borderId="9" xfId="2" applyFont="1" applyBorder="1" applyAlignment="1">
      <alignment horizontal="center"/>
    </xf>
    <xf numFmtId="15" fontId="25" fillId="0" borderId="2" xfId="2" applyNumberFormat="1" applyFont="1" applyBorder="1" applyAlignment="1">
      <alignment horizontal="center"/>
    </xf>
    <xf numFmtId="20" fontId="27" fillId="0" borderId="0" xfId="2" applyNumberFormat="1" applyFont="1" applyAlignment="1">
      <alignment horizontal="left" shrinkToFit="1"/>
    </xf>
    <xf numFmtId="20" fontId="27" fillId="0" borderId="24" xfId="2" applyNumberFormat="1" applyFont="1" applyBorder="1" applyAlignment="1">
      <alignment horizontal="left" shrinkToFit="1"/>
    </xf>
    <xf numFmtId="0" fontId="27" fillId="0" borderId="0" xfId="2" applyFont="1" applyAlignment="1">
      <alignment horizontal="center" shrinkToFit="1"/>
    </xf>
    <xf numFmtId="0" fontId="27" fillId="0" borderId="24" xfId="2" applyFont="1" applyBorder="1" applyAlignment="1">
      <alignment horizontal="center" shrinkToFit="1"/>
    </xf>
    <xf numFmtId="20" fontId="27" fillId="0" borderId="15" xfId="2" applyNumberFormat="1" applyFont="1" applyBorder="1" applyAlignment="1">
      <alignment horizontal="left" shrinkToFit="1"/>
    </xf>
    <xf numFmtId="0" fontId="27" fillId="0" borderId="10" xfId="1" applyFont="1" applyBorder="1" applyAlignment="1">
      <alignment horizontal="right" vertical="center" shrinkToFit="1"/>
    </xf>
    <xf numFmtId="49" fontId="27" fillId="0" borderId="13" xfId="1" applyNumberFormat="1" applyFont="1" applyBorder="1" applyAlignment="1">
      <alignment horizontal="right" vertical="center" shrinkToFit="1"/>
    </xf>
    <xf numFmtId="0" fontId="27" fillId="0" borderId="13" xfId="1" applyFont="1" applyBorder="1" applyAlignment="1">
      <alignment horizontal="left" vertical="center" shrinkToFit="1"/>
    </xf>
    <xf numFmtId="0" fontId="27" fillId="0" borderId="18" xfId="1" applyFont="1" applyBorder="1" applyAlignment="1">
      <alignment horizontal="right" vertical="center" shrinkToFit="1"/>
    </xf>
    <xf numFmtId="49" fontId="27" fillId="0" borderId="13" xfId="1" applyNumberFormat="1" applyFont="1" applyBorder="1" applyAlignment="1">
      <alignment horizontal="left" vertical="center" shrinkToFit="1"/>
    </xf>
    <xf numFmtId="0" fontId="27" fillId="0" borderId="13" xfId="1" applyFont="1" applyBorder="1"/>
    <xf numFmtId="49" fontId="27" fillId="0" borderId="14" xfId="1" applyNumberFormat="1" applyFont="1" applyBorder="1" applyAlignment="1">
      <alignment horizontal="right" vertical="center" shrinkToFit="1"/>
    </xf>
    <xf numFmtId="0" fontId="27" fillId="0" borderId="13" xfId="1" applyFont="1" applyBorder="1" applyAlignment="1">
      <alignment horizontal="right" vertical="center" shrinkToFit="1"/>
    </xf>
    <xf numFmtId="49" fontId="27" fillId="0" borderId="14" xfId="1" applyNumberFormat="1" applyFont="1" applyBorder="1" applyAlignment="1">
      <alignment horizontal="left" vertical="center" shrinkToFit="1"/>
    </xf>
    <xf numFmtId="49" fontId="27" fillId="0" borderId="23" xfId="1" applyNumberFormat="1" applyFont="1" applyBorder="1" applyAlignment="1">
      <alignment horizontal="right" vertical="center" shrinkToFit="1"/>
    </xf>
    <xf numFmtId="49" fontId="27" fillId="0" borderId="24" xfId="1" applyNumberFormat="1" applyFont="1" applyBorder="1" applyAlignment="1">
      <alignment horizontal="right" vertical="center" shrinkToFit="1"/>
    </xf>
    <xf numFmtId="0" fontId="27" fillId="0" borderId="24" xfId="1" applyFont="1" applyBorder="1" applyAlignment="1">
      <alignment horizontal="left" vertical="center" shrinkToFit="1"/>
    </xf>
    <xf numFmtId="49" fontId="27" fillId="0" borderId="26" xfId="1" applyNumberFormat="1" applyFont="1" applyBorder="1" applyAlignment="1">
      <alignment horizontal="right" vertical="center" shrinkToFit="1"/>
    </xf>
    <xf numFmtId="49" fontId="27" fillId="0" borderId="24" xfId="1" applyNumberFormat="1" applyFont="1" applyBorder="1" applyAlignment="1">
      <alignment horizontal="left" vertical="center" shrinkToFit="1"/>
    </xf>
    <xf numFmtId="0" fontId="27" fillId="0" borderId="24" xfId="1" applyFont="1" applyBorder="1"/>
    <xf numFmtId="49" fontId="27" fillId="0" borderId="27" xfId="1" applyNumberFormat="1" applyFont="1" applyBorder="1" applyAlignment="1">
      <alignment horizontal="right" vertical="center" shrinkToFit="1"/>
    </xf>
    <xf numFmtId="49" fontId="27" fillId="0" borderId="27" xfId="1" applyNumberFormat="1" applyFont="1" applyBorder="1" applyAlignment="1">
      <alignment horizontal="left" vertical="center" shrinkToFit="1"/>
    </xf>
    <xf numFmtId="49" fontId="10" fillId="5" borderId="0" xfId="1" applyNumberFormat="1" applyFont="1" applyFill="1" applyAlignment="1" applyProtection="1">
      <alignment horizontal="left" vertical="center" shrinkToFit="1"/>
      <protection locked="0"/>
    </xf>
    <xf numFmtId="49" fontId="27" fillId="0" borderId="11" xfId="1" applyNumberFormat="1" applyFont="1" applyBorder="1" applyAlignment="1">
      <alignment horizontal="right" vertical="center" shrinkToFit="1"/>
    </xf>
    <xf numFmtId="49" fontId="27" fillId="0" borderId="0" xfId="1" applyNumberFormat="1" applyFont="1" applyAlignment="1">
      <alignment horizontal="right" vertical="center" shrinkToFit="1"/>
    </xf>
    <xf numFmtId="0" fontId="27" fillId="0" borderId="0" xfId="1" applyFont="1" applyAlignment="1">
      <alignment horizontal="left" vertical="center" shrinkToFit="1"/>
    </xf>
    <xf numFmtId="49" fontId="27" fillId="0" borderId="20" xfId="1" applyNumberFormat="1" applyFont="1" applyBorder="1" applyAlignment="1">
      <alignment horizontal="right" vertical="center" shrinkToFit="1"/>
    </xf>
    <xf numFmtId="49" fontId="27" fillId="0" borderId="0" xfId="1" applyNumberFormat="1" applyFont="1" applyAlignment="1">
      <alignment horizontal="left" vertical="center" shrinkToFit="1"/>
    </xf>
    <xf numFmtId="0" fontId="27" fillId="0" borderId="0" xfId="1" applyFont="1"/>
    <xf numFmtId="0" fontId="27" fillId="0" borderId="6" xfId="1" applyFont="1" applyBorder="1"/>
    <xf numFmtId="49" fontId="27" fillId="0" borderId="12" xfId="1" applyNumberFormat="1" applyFont="1" applyBorder="1" applyAlignment="1">
      <alignment horizontal="right" vertical="center" shrinkToFit="1"/>
    </xf>
    <xf numFmtId="49" fontId="27" fillId="0" borderId="15" xfId="1" applyNumberFormat="1" applyFont="1" applyBorder="1" applyAlignment="1">
      <alignment horizontal="right" vertical="center" shrinkToFit="1"/>
    </xf>
    <xf numFmtId="0" fontId="27" fillId="0" borderId="15" xfId="1" applyFont="1" applyBorder="1" applyAlignment="1">
      <alignment horizontal="left" vertical="center" shrinkToFit="1"/>
    </xf>
    <xf numFmtId="49" fontId="27" fillId="0" borderId="34" xfId="1" applyNumberFormat="1" applyFont="1" applyBorder="1" applyAlignment="1">
      <alignment horizontal="right" vertical="center" shrinkToFit="1"/>
    </xf>
    <xf numFmtId="49" fontId="27" fillId="0" borderId="15" xfId="1" applyNumberFormat="1" applyFont="1" applyBorder="1" applyAlignment="1">
      <alignment horizontal="left" vertical="center" shrinkToFit="1"/>
    </xf>
    <xf numFmtId="0" fontId="27" fillId="0" borderId="15" xfId="1" applyFont="1" applyBorder="1"/>
    <xf numFmtId="0" fontId="27" fillId="0" borderId="5" xfId="1" applyFont="1" applyBorder="1"/>
    <xf numFmtId="0" fontId="23" fillId="0" borderId="0" xfId="2" applyAlignment="1">
      <alignment horizontal="left"/>
    </xf>
    <xf numFmtId="0" fontId="24" fillId="5" borderId="10" xfId="2" applyFont="1" applyFill="1" applyBorder="1" applyAlignment="1">
      <alignment horizontal="left"/>
    </xf>
    <xf numFmtId="0" fontId="31" fillId="0" borderId="0" xfId="1" applyFont="1"/>
    <xf numFmtId="0" fontId="32" fillId="0" borderId="13" xfId="2" applyFont="1" applyBorder="1" applyAlignment="1">
      <alignment horizontal="left"/>
    </xf>
    <xf numFmtId="0" fontId="31" fillId="0" borderId="18" xfId="1" applyFont="1" applyBorder="1"/>
    <xf numFmtId="0" fontId="32" fillId="0" borderId="14" xfId="2" applyFont="1" applyBorder="1" applyAlignment="1">
      <alignment horizontal="left"/>
    </xf>
    <xf numFmtId="0" fontId="31" fillId="0" borderId="13" xfId="1" applyFont="1" applyBorder="1"/>
    <xf numFmtId="0" fontId="23" fillId="5" borderId="11" xfId="2" applyFill="1" applyBorder="1" applyAlignment="1">
      <alignment horizontal="left"/>
    </xf>
    <xf numFmtId="0" fontId="31" fillId="0" borderId="20" xfId="1" applyFont="1" applyBorder="1"/>
    <xf numFmtId="0" fontId="23" fillId="0" borderId="6" xfId="2" applyBorder="1" applyAlignment="1">
      <alignment horizontal="left"/>
    </xf>
    <xf numFmtId="0" fontId="32" fillId="0" borderId="0" xfId="2" applyFont="1" applyAlignment="1">
      <alignment horizontal="left"/>
    </xf>
    <xf numFmtId="0" fontId="23" fillId="5" borderId="12" xfId="2" applyFill="1" applyBorder="1" applyAlignment="1">
      <alignment horizontal="left"/>
    </xf>
    <xf numFmtId="0" fontId="31" fillId="0" borderId="15" xfId="1" applyFont="1" applyBorder="1"/>
    <xf numFmtId="0" fontId="23" fillId="0" borderId="15" xfId="2" applyBorder="1" applyAlignment="1">
      <alignment horizontal="left"/>
    </xf>
    <xf numFmtId="0" fontId="32" fillId="0" borderId="15" xfId="2" applyFont="1" applyBorder="1" applyAlignment="1">
      <alignment horizontal="left"/>
    </xf>
    <xf numFmtId="0" fontId="31" fillId="0" borderId="34" xfId="1" applyFont="1" applyBorder="1"/>
    <xf numFmtId="0" fontId="23" fillId="0" borderId="5" xfId="2" applyBorder="1" applyAlignment="1">
      <alignment horizontal="left"/>
    </xf>
    <xf numFmtId="0" fontId="23" fillId="0" borderId="0" xfId="1" applyFont="1"/>
    <xf numFmtId="0" fontId="27" fillId="0" borderId="0" xfId="2" applyFont="1"/>
    <xf numFmtId="20" fontId="27" fillId="0" borderId="0" xfId="2" applyNumberFormat="1" applyFont="1" applyAlignment="1">
      <alignment horizontal="left"/>
    </xf>
    <xf numFmtId="0" fontId="24" fillId="0" borderId="0" xfId="2" applyFont="1" applyAlignment="1">
      <alignment horizontal="left" vertical="center" wrapText="1"/>
    </xf>
    <xf numFmtId="0" fontId="24" fillId="0" borderId="0" xfId="2" applyFont="1" applyAlignment="1">
      <alignment horizontal="left" vertical="center"/>
    </xf>
    <xf numFmtId="0" fontId="31" fillId="9" borderId="7" xfId="1" applyFont="1" applyFill="1" applyBorder="1"/>
    <xf numFmtId="0" fontId="23" fillId="9" borderId="7" xfId="2" applyFill="1" applyBorder="1"/>
    <xf numFmtId="0" fontId="23" fillId="9" borderId="4" xfId="1" applyFont="1" applyFill="1" applyBorder="1"/>
    <xf numFmtId="0" fontId="23" fillId="9" borderId="4" xfId="2" applyFill="1" applyBorder="1"/>
    <xf numFmtId="0" fontId="23" fillId="9" borderId="3" xfId="1" applyFont="1" applyFill="1" applyBorder="1"/>
    <xf numFmtId="0" fontId="23" fillId="9" borderId="3" xfId="2" applyFill="1" applyBorder="1"/>
    <xf numFmtId="167" fontId="9" fillId="3" borderId="8" xfId="1" applyNumberFormat="1" applyFont="1" applyFill="1" applyBorder="1" applyAlignment="1">
      <alignment horizontal="centerContinuous" vertical="center"/>
    </xf>
    <xf numFmtId="167" fontId="9" fillId="3" borderId="9" xfId="1" applyNumberFormat="1" applyFont="1" applyFill="1" applyBorder="1" applyAlignment="1">
      <alignment horizontal="centerContinuous" vertical="center"/>
    </xf>
    <xf numFmtId="167" fontId="9" fillId="3" borderId="2" xfId="1" applyNumberFormat="1" applyFont="1" applyFill="1" applyBorder="1" applyAlignment="1">
      <alignment horizontal="centerContinuous" vertical="center"/>
    </xf>
    <xf numFmtId="0" fontId="8" fillId="0" borderId="7" xfId="1" applyFont="1" applyBorder="1"/>
    <xf numFmtId="49" fontId="11" fillId="0" borderId="11" xfId="1" applyNumberFormat="1" applyFont="1" applyBorder="1" applyAlignment="1">
      <alignment horizontal="left" vertical="center" shrinkToFit="1"/>
    </xf>
    <xf numFmtId="49" fontId="14" fillId="0" borderId="20" xfId="1" applyNumberFormat="1" applyFont="1" applyBorder="1" applyAlignment="1">
      <alignment horizontal="left" vertical="center" shrinkToFit="1"/>
    </xf>
    <xf numFmtId="49" fontId="14" fillId="0" borderId="0" xfId="1" applyNumberFormat="1" applyFont="1" applyAlignment="1">
      <alignment horizontal="left" vertical="center" shrinkToFit="1"/>
    </xf>
    <xf numFmtId="20" fontId="14" fillId="0" borderId="21" xfId="1" applyNumberFormat="1" applyFont="1" applyBorder="1" applyAlignment="1">
      <alignment horizontal="center" vertical="center" shrinkToFit="1"/>
    </xf>
    <xf numFmtId="20" fontId="11" fillId="0" borderId="0" xfId="1" quotePrefix="1" applyNumberFormat="1" applyFont="1" applyAlignment="1">
      <alignment horizontal="left" vertical="center" shrinkToFit="1"/>
    </xf>
    <xf numFmtId="20" fontId="11" fillId="0" borderId="21" xfId="1" quotePrefix="1" applyNumberFormat="1" applyFont="1" applyBorder="1" applyAlignment="1">
      <alignment horizontal="left" vertical="center" shrinkToFit="1"/>
    </xf>
    <xf numFmtId="167" fontId="9" fillId="3" borderId="10" xfId="1" applyNumberFormat="1" applyFont="1" applyFill="1" applyBorder="1" applyAlignment="1">
      <alignment horizontal="centerContinuous" vertical="center"/>
    </xf>
    <xf numFmtId="167" fontId="9" fillId="3" borderId="13" xfId="1" applyNumberFormat="1" applyFont="1" applyFill="1" applyBorder="1" applyAlignment="1">
      <alignment horizontal="centerContinuous" vertical="center"/>
    </xf>
    <xf numFmtId="167" fontId="9" fillId="3" borderId="14" xfId="1" applyNumberFormat="1" applyFont="1" applyFill="1" applyBorder="1" applyAlignment="1">
      <alignment horizontal="centerContinuous" vertical="center"/>
    </xf>
    <xf numFmtId="49" fontId="11" fillId="0" borderId="31" xfId="1" applyNumberFormat="1" applyFont="1" applyBorder="1" applyAlignment="1">
      <alignment horizontal="left" vertical="center" shrinkToFit="1"/>
    </xf>
    <xf numFmtId="20" fontId="11" fillId="0" borderId="30" xfId="1" applyNumberFormat="1" applyFont="1" applyBorder="1" applyAlignment="1">
      <alignment horizontal="left" vertical="center" shrinkToFit="1"/>
    </xf>
    <xf numFmtId="20" fontId="11" fillId="0" borderId="32" xfId="1" applyNumberFormat="1" applyFont="1" applyBorder="1" applyAlignment="1">
      <alignment horizontal="left" vertical="center" shrinkToFit="1"/>
    </xf>
    <xf numFmtId="49" fontId="14" fillId="0" borderId="31" xfId="1" applyNumberFormat="1" applyFont="1" applyBorder="1" applyAlignment="1">
      <alignment horizontal="left" vertical="center" shrinkToFit="1"/>
    </xf>
    <xf numFmtId="49" fontId="14" fillId="0" borderId="30" xfId="1" applyNumberFormat="1" applyFont="1" applyBorder="1" applyAlignment="1">
      <alignment horizontal="left" vertical="center" shrinkToFit="1"/>
    </xf>
    <xf numFmtId="20" fontId="14" fillId="0" borderId="32" xfId="1" applyNumberFormat="1" applyFont="1" applyBorder="1" applyAlignment="1">
      <alignment horizontal="center" vertical="center" shrinkToFit="1"/>
    </xf>
    <xf numFmtId="20" fontId="11" fillId="0" borderId="30" xfId="1" quotePrefix="1" applyNumberFormat="1" applyFont="1" applyBorder="1" applyAlignment="1">
      <alignment horizontal="left" vertical="center" shrinkToFit="1"/>
    </xf>
    <xf numFmtId="20" fontId="11" fillId="0" borderId="32" xfId="1" quotePrefix="1" applyNumberFormat="1" applyFont="1" applyBorder="1" applyAlignment="1">
      <alignment horizontal="left" vertical="center" shrinkToFit="1"/>
    </xf>
    <xf numFmtId="170" fontId="9" fillId="3" borderId="13" xfId="1" applyNumberFormat="1" applyFont="1" applyFill="1" applyBorder="1" applyAlignment="1">
      <alignment horizontal="centerContinuous" vertical="center"/>
    </xf>
    <xf numFmtId="170" fontId="9" fillId="3" borderId="14" xfId="1" applyNumberFormat="1" applyFont="1" applyFill="1" applyBorder="1" applyAlignment="1">
      <alignment horizontal="centerContinuous" vertical="center"/>
    </xf>
    <xf numFmtId="171" fontId="11" fillId="0" borderId="11" xfId="1" applyNumberFormat="1" applyFont="1" applyBorder="1" applyAlignment="1">
      <alignment horizontal="left" vertical="center" shrinkToFit="1"/>
    </xf>
    <xf numFmtId="49" fontId="11" fillId="0" borderId="29" xfId="1" applyNumberFormat="1" applyFont="1" applyBorder="1" applyAlignment="1">
      <alignment horizontal="left" vertical="center" shrinkToFit="1"/>
    </xf>
    <xf numFmtId="20" fontId="11" fillId="0" borderId="33" xfId="1" applyNumberFormat="1" applyFont="1" applyBorder="1" applyAlignment="1">
      <alignment horizontal="left" vertical="center" shrinkToFit="1"/>
    </xf>
    <xf numFmtId="49" fontId="11" fillId="0" borderId="29" xfId="1" applyNumberFormat="1" applyFont="1" applyBorder="1" applyAlignment="1">
      <alignment vertical="center" shrinkToFit="1"/>
    </xf>
    <xf numFmtId="49" fontId="11" fillId="0" borderId="10" xfId="1" applyNumberFormat="1" applyFont="1" applyBorder="1" applyAlignment="1">
      <alignment horizontal="centerContinuous" vertical="center" shrinkToFit="1"/>
    </xf>
    <xf numFmtId="49" fontId="9" fillId="3" borderId="3" xfId="1" applyNumberFormat="1" applyFont="1" applyFill="1" applyBorder="1" applyAlignment="1">
      <alignment horizontal="center" vertical="center"/>
    </xf>
    <xf numFmtId="49" fontId="19" fillId="0" borderId="10" xfId="1" applyNumberFormat="1" applyFont="1" applyBorder="1" applyAlignment="1">
      <alignment horizontal="left" vertical="center" shrinkToFit="1"/>
    </xf>
    <xf numFmtId="49" fontId="19" fillId="0" borderId="13" xfId="1" applyNumberFormat="1" applyFont="1" applyBorder="1" applyAlignment="1">
      <alignment vertical="center" shrinkToFit="1"/>
    </xf>
    <xf numFmtId="49" fontId="19" fillId="0" borderId="14" xfId="1" applyNumberFormat="1" applyFont="1" applyBorder="1" applyAlignment="1">
      <alignment vertical="center" shrinkToFit="1"/>
    </xf>
    <xf numFmtId="172" fontId="14" fillId="0" borderId="11" xfId="1" applyNumberFormat="1" applyFont="1" applyBorder="1" applyAlignment="1">
      <alignment horizontal="left" vertical="center" shrinkToFit="1"/>
    </xf>
    <xf numFmtId="173" fontId="16" fillId="0" borderId="0" xfId="1" applyNumberFormat="1" applyFont="1" applyAlignment="1">
      <alignment horizontal="left" vertical="center" shrinkToFit="1"/>
    </xf>
    <xf numFmtId="0" fontId="18" fillId="0" borderId="0" xfId="1" applyFont="1" applyAlignment="1">
      <alignment horizontal="left"/>
    </xf>
    <xf numFmtId="172" fontId="15" fillId="0" borderId="11" xfId="1" applyNumberFormat="1" applyFont="1" applyBorder="1" applyAlignment="1">
      <alignment horizontal="left" vertical="center" shrinkToFit="1"/>
    </xf>
    <xf numFmtId="173" fontId="19" fillId="0" borderId="0" xfId="1" applyNumberFormat="1" applyFont="1" applyAlignment="1">
      <alignment horizontal="left" vertical="center" shrinkToFit="1"/>
    </xf>
    <xf numFmtId="173" fontId="19" fillId="0" borderId="6" xfId="1" applyNumberFormat="1" applyFont="1" applyBorder="1" applyAlignment="1">
      <alignment vertical="center" shrinkToFit="1"/>
    </xf>
    <xf numFmtId="49" fontId="16" fillId="0" borderId="10" xfId="1" applyNumberFormat="1" applyFont="1" applyBorder="1" applyAlignment="1">
      <alignment horizontal="left" vertical="center" shrinkToFit="1"/>
    </xf>
    <xf numFmtId="174" fontId="16" fillId="0" borderId="13" xfId="1" applyNumberFormat="1" applyFont="1" applyBorder="1" applyAlignment="1">
      <alignment vertical="center" shrinkToFit="1"/>
    </xf>
    <xf numFmtId="49" fontId="16" fillId="0" borderId="13" xfId="1" applyNumberFormat="1" applyFont="1" applyBorder="1" applyAlignment="1">
      <alignment vertical="center" shrinkToFit="1"/>
    </xf>
    <xf numFmtId="49" fontId="22" fillId="0" borderId="13" xfId="1" applyNumberFormat="1" applyFont="1" applyBorder="1" applyAlignment="1">
      <alignment vertical="center" shrinkToFit="1"/>
    </xf>
    <xf numFmtId="49" fontId="16" fillId="0" borderId="14" xfId="1" applyNumberFormat="1" applyFont="1" applyBorder="1" applyAlignment="1">
      <alignment vertical="center" shrinkToFit="1"/>
    </xf>
    <xf numFmtId="172" fontId="22" fillId="0" borderId="11" xfId="1" applyNumberFormat="1" applyFont="1" applyBorder="1" applyAlignment="1">
      <alignment horizontal="left" vertical="center" shrinkToFit="1"/>
    </xf>
    <xf numFmtId="0" fontId="4" fillId="0" borderId="14" xfId="1" applyBorder="1" applyAlignment="1">
      <alignment horizontal="left"/>
    </xf>
    <xf numFmtId="49" fontId="22" fillId="0" borderId="10" xfId="1" applyNumberFormat="1" applyFont="1" applyBorder="1" applyAlignment="1">
      <alignment horizontal="left" vertical="center" shrinkToFit="1"/>
    </xf>
    <xf numFmtId="49" fontId="22" fillId="0" borderId="14" xfId="1" applyNumberFormat="1" applyFont="1" applyBorder="1" applyAlignment="1">
      <alignment vertical="center" shrinkToFit="1"/>
    </xf>
    <xf numFmtId="0" fontId="10" fillId="0" borderId="1" xfId="1" applyFont="1" applyBorder="1" applyAlignment="1">
      <alignment horizontal="center" vertical="center" wrapText="1"/>
    </xf>
    <xf numFmtId="0" fontId="10" fillId="0" borderId="1" xfId="1" applyFont="1" applyBorder="1" applyAlignment="1">
      <alignment horizontal="center" vertical="center"/>
    </xf>
    <xf numFmtId="166" fontId="35" fillId="0" borderId="12" xfId="0" applyNumberFormat="1" applyFont="1" applyBorder="1" applyAlignment="1" applyProtection="1">
      <alignment horizontal="left" vertical="center"/>
      <protection locked="0"/>
    </xf>
    <xf numFmtId="0" fontId="1" fillId="10" borderId="13" xfId="0" applyFont="1" applyFill="1" applyBorder="1" applyAlignment="1">
      <alignment horizontal="center" vertical="center"/>
    </xf>
    <xf numFmtId="0" fontId="1" fillId="10" borderId="15" xfId="0" applyFont="1" applyFill="1" applyBorder="1" applyAlignment="1">
      <alignment horizontal="center" vertical="center"/>
    </xf>
    <xf numFmtId="0" fontId="36" fillId="10" borderId="1" xfId="0" applyFont="1" applyFill="1" applyBorder="1" applyAlignment="1">
      <alignment horizontal="center" vertical="center"/>
    </xf>
    <xf numFmtId="167" fontId="36" fillId="10" borderId="10" xfId="0" applyNumberFormat="1" applyFont="1" applyFill="1" applyBorder="1" applyAlignment="1">
      <alignment horizontal="centerContinuous" vertical="center"/>
    </xf>
    <xf numFmtId="167" fontId="36" fillId="10" borderId="13" xfId="0" applyNumberFormat="1" applyFont="1" applyFill="1" applyBorder="1" applyAlignment="1">
      <alignment horizontal="centerContinuous" vertical="center"/>
    </xf>
    <xf numFmtId="167" fontId="36" fillId="10" borderId="14" xfId="0" applyNumberFormat="1" applyFont="1" applyFill="1" applyBorder="1" applyAlignment="1">
      <alignment horizontal="centerContinuous" vertical="center"/>
    </xf>
    <xf numFmtId="164" fontId="35" fillId="0" borderId="11" xfId="0" applyNumberFormat="1" applyFont="1" applyBorder="1" applyAlignment="1" applyProtection="1">
      <alignment vertical="center"/>
      <protection locked="0"/>
    </xf>
    <xf numFmtId="164" fontId="35" fillId="0" borderId="11" xfId="0" applyNumberFormat="1" applyFont="1" applyBorder="1" applyAlignment="1" applyProtection="1">
      <alignment horizontal="center" vertical="center"/>
      <protection locked="0"/>
    </xf>
    <xf numFmtId="168" fontId="35" fillId="0" borderId="15" xfId="0" applyNumberFormat="1" applyFont="1" applyBorder="1" applyAlignment="1" applyProtection="1">
      <alignment horizontal="right" vertical="center"/>
      <protection locked="0"/>
    </xf>
    <xf numFmtId="0" fontId="0" fillId="0" borderId="0" xfId="0" applyAlignment="1">
      <alignment horizontal="right"/>
    </xf>
    <xf numFmtId="165" fontId="34" fillId="0" borderId="13" xfId="0" applyNumberFormat="1" applyFont="1" applyBorder="1" applyAlignment="1" applyProtection="1">
      <alignment horizontal="right" vertical="center"/>
      <protection locked="0"/>
    </xf>
    <xf numFmtId="166" fontId="35" fillId="0" borderId="12" xfId="0" applyNumberFormat="1" applyFont="1" applyBorder="1" applyAlignment="1" applyProtection="1">
      <alignment vertical="center"/>
      <protection locked="0"/>
    </xf>
    <xf numFmtId="168" fontId="35" fillId="0" borderId="15" xfId="0" applyNumberFormat="1" applyFont="1" applyBorder="1" applyAlignment="1" applyProtection="1">
      <alignment vertical="center"/>
      <protection locked="0"/>
    </xf>
    <xf numFmtId="0" fontId="1" fillId="10" borderId="0" xfId="0" applyFont="1" applyFill="1" applyAlignment="1">
      <alignment horizontal="center" vertical="center"/>
    </xf>
    <xf numFmtId="0" fontId="1" fillId="0" borderId="0" xfId="0" applyFont="1" applyAlignment="1">
      <alignment horizontal="center" vertical="center"/>
    </xf>
    <xf numFmtId="0" fontId="1" fillId="8" borderId="0" xfId="0" applyFont="1" applyFill="1" applyAlignment="1">
      <alignment horizontal="center" vertical="center"/>
    </xf>
    <xf numFmtId="166" fontId="35" fillId="0" borderId="11" xfId="0" applyNumberFormat="1" applyFont="1" applyBorder="1" applyAlignment="1" applyProtection="1">
      <alignment horizontal="left" vertical="center"/>
      <protection locked="0"/>
    </xf>
    <xf numFmtId="168" fontId="35" fillId="0" borderId="0" xfId="0" applyNumberFormat="1" applyFont="1" applyAlignment="1" applyProtection="1">
      <alignment horizontal="right" vertical="center"/>
      <protection locked="0"/>
    </xf>
    <xf numFmtId="0" fontId="1" fillId="0" borderId="6" xfId="0" applyFont="1" applyBorder="1" applyAlignment="1" applyProtection="1">
      <alignment horizontal="center" vertical="center"/>
      <protection locked="0"/>
    </xf>
    <xf numFmtId="0" fontId="1" fillId="8" borderId="13" xfId="0" applyFont="1" applyFill="1" applyBorder="1" applyAlignment="1">
      <alignment horizontal="center" vertical="center"/>
    </xf>
    <xf numFmtId="0" fontId="1" fillId="8" borderId="15" xfId="0" applyFont="1" applyFill="1" applyBorder="1" applyAlignment="1">
      <alignment horizontal="center" vertical="center"/>
    </xf>
    <xf numFmtId="164" fontId="35" fillId="0" borderId="0" xfId="0" applyNumberFormat="1" applyFont="1" applyAlignment="1" applyProtection="1">
      <alignment horizontal="right" vertical="center"/>
      <protection locked="0"/>
    </xf>
    <xf numFmtId="0" fontId="1" fillId="0" borderId="13" xfId="0" applyFont="1" applyBorder="1" applyAlignment="1" applyProtection="1">
      <alignment horizontal="center" vertical="center"/>
      <protection locked="0"/>
    </xf>
    <xf numFmtId="0" fontId="2" fillId="0" borderId="0" xfId="0" applyFont="1" applyAlignment="1" applyProtection="1">
      <alignment horizontal="center" vertical="center"/>
      <protection locked="0"/>
      <extLst>
        <ext xmlns:xfpb="http://schemas.microsoft.com/office/spreadsheetml/2022/featurepropertybag" uri="{C7286773-470A-42A8-94C5-96B5CB345126}">
          <xfpb:xfComplement i="0"/>
        </ext>
      </extLst>
    </xf>
    <xf numFmtId="0" fontId="2" fillId="0" borderId="15" xfId="0" applyFont="1" applyBorder="1" applyAlignment="1" applyProtection="1">
      <alignment horizontal="center" vertical="center"/>
      <protection locked="0"/>
      <extLst>
        <ext xmlns:xfpb="http://schemas.microsoft.com/office/spreadsheetml/2022/featurepropertybag" uri="{C7286773-470A-42A8-94C5-96B5CB345126}">
          <xfpb:xfComplement i="0"/>
        </ext>
      </extLst>
    </xf>
    <xf numFmtId="166" fontId="35" fillId="0" borderId="11" xfId="0" applyNumberFormat="1" applyFont="1" applyBorder="1" applyAlignment="1" applyProtection="1">
      <alignment vertical="center"/>
      <protection locked="0"/>
    </xf>
    <xf numFmtId="168" fontId="35" fillId="0" borderId="0" xfId="0" applyNumberFormat="1" applyFont="1" applyAlignment="1" applyProtection="1">
      <alignment vertical="center"/>
      <protection locked="0"/>
    </xf>
    <xf numFmtId="0" fontId="1" fillId="0" borderId="15" xfId="0" applyFont="1" applyBorder="1" applyAlignment="1">
      <alignment horizontal="center" vertical="center"/>
    </xf>
    <xf numFmtId="0" fontId="41" fillId="0" borderId="0" xfId="0" applyFont="1"/>
    <xf numFmtId="49" fontId="24" fillId="4" borderId="11" xfId="1" applyNumberFormat="1" applyFont="1" applyFill="1" applyBorder="1" applyAlignment="1">
      <alignment horizontal="left" vertical="center"/>
    </xf>
    <xf numFmtId="49" fontId="24" fillId="3" borderId="3" xfId="1" applyNumberFormat="1" applyFont="1" applyFill="1" applyBorder="1" applyAlignment="1">
      <alignment horizontal="center" vertical="center"/>
    </xf>
    <xf numFmtId="49" fontId="24" fillId="0" borderId="14" xfId="1" applyNumberFormat="1" applyFont="1" applyBorder="1" applyAlignment="1">
      <alignment horizontal="left" vertical="center"/>
    </xf>
    <xf numFmtId="49" fontId="24" fillId="0" borderId="14" xfId="1" applyNumberFormat="1" applyFont="1" applyBorder="1" applyAlignment="1">
      <alignment horizontal="center" vertical="center"/>
    </xf>
    <xf numFmtId="49" fontId="24" fillId="0" borderId="2" xfId="1" applyNumberFormat="1" applyFont="1" applyBorder="1" applyAlignment="1">
      <alignment horizontal="left" vertical="center"/>
    </xf>
    <xf numFmtId="49" fontId="24" fillId="0" borderId="8" xfId="1" applyNumberFormat="1" applyFont="1" applyBorder="1" applyAlignment="1">
      <alignment vertical="center"/>
    </xf>
    <xf numFmtId="49" fontId="24" fillId="0" borderId="2" xfId="1" applyNumberFormat="1" applyFont="1" applyBorder="1" applyAlignment="1">
      <alignment horizontal="center" vertical="center"/>
    </xf>
    <xf numFmtId="49" fontId="24" fillId="0" borderId="12" xfId="1" applyNumberFormat="1" applyFont="1" applyBorder="1" applyAlignment="1">
      <alignment horizontal="left" vertical="center" shrinkToFit="1"/>
    </xf>
    <xf numFmtId="0" fontId="46" fillId="12" borderId="1" xfId="0" applyFont="1" applyFill="1" applyBorder="1" applyAlignment="1">
      <alignment horizontal="center" vertical="center"/>
    </xf>
    <xf numFmtId="0" fontId="37" fillId="12" borderId="2" xfId="0" applyFont="1" applyFill="1" applyBorder="1" applyAlignment="1">
      <alignment horizontal="center" vertical="center"/>
    </xf>
    <xf numFmtId="0" fontId="9" fillId="0" borderId="1" xfId="1" applyFont="1" applyBorder="1" applyAlignment="1">
      <alignment horizontal="center" vertical="center"/>
    </xf>
    <xf numFmtId="49" fontId="42" fillId="0" borderId="0" xfId="1" applyNumberFormat="1" applyFont="1" applyAlignment="1">
      <alignment vertical="center" shrinkToFit="1"/>
    </xf>
    <xf numFmtId="49" fontId="42" fillId="0" borderId="20" xfId="1" applyNumberFormat="1" applyFont="1" applyBorder="1" applyAlignment="1">
      <alignment vertical="center" shrinkToFit="1"/>
    </xf>
    <xf numFmtId="49" fontId="42" fillId="0" borderId="6" xfId="1" applyNumberFormat="1" applyFont="1" applyBorder="1" applyAlignment="1">
      <alignment vertical="center" shrinkToFit="1"/>
    </xf>
    <xf numFmtId="49" fontId="42" fillId="0" borderId="24" xfId="1" applyNumberFormat="1" applyFont="1" applyBorder="1" applyAlignment="1">
      <alignment horizontal="left" vertical="center" shrinkToFit="1"/>
    </xf>
    <xf numFmtId="20" fontId="42" fillId="0" borderId="24" xfId="1" applyNumberFormat="1" applyFont="1" applyBorder="1" applyAlignment="1">
      <alignment horizontal="left" vertical="center" shrinkToFit="1"/>
    </xf>
    <xf numFmtId="49" fontId="42" fillId="0" borderId="30" xfId="1" applyNumberFormat="1" applyFont="1" applyBorder="1" applyAlignment="1">
      <alignment vertical="center" shrinkToFit="1"/>
    </xf>
    <xf numFmtId="49" fontId="42" fillId="0" borderId="31" xfId="1" applyNumberFormat="1" applyFont="1" applyBorder="1" applyAlignment="1">
      <alignment vertical="center" shrinkToFit="1"/>
    </xf>
    <xf numFmtId="49" fontId="42" fillId="0" borderId="33" xfId="1" applyNumberFormat="1" applyFont="1" applyBorder="1" applyAlignment="1">
      <alignment vertical="center" shrinkToFit="1"/>
    </xf>
    <xf numFmtId="49" fontId="42" fillId="0" borderId="32" xfId="1" applyNumberFormat="1" applyFont="1" applyBorder="1" applyAlignment="1">
      <alignment vertical="center" shrinkToFit="1"/>
    </xf>
    <xf numFmtId="49" fontId="42" fillId="0" borderId="21" xfId="1" applyNumberFormat="1" applyFont="1" applyBorder="1" applyAlignment="1">
      <alignment vertical="center" shrinkToFit="1"/>
    </xf>
    <xf numFmtId="20" fontId="42" fillId="0" borderId="25" xfId="1" applyNumberFormat="1" applyFont="1" applyBorder="1" applyAlignment="1">
      <alignment horizontal="left" vertical="center" shrinkToFit="1"/>
    </xf>
    <xf numFmtId="49" fontId="42" fillId="0" borderId="15" xfId="1" applyNumberFormat="1" applyFont="1" applyBorder="1" applyAlignment="1">
      <alignment horizontal="left" vertical="center" shrinkToFit="1"/>
    </xf>
    <xf numFmtId="20" fontId="42" fillId="0" borderId="15" xfId="1" applyNumberFormat="1" applyFont="1" applyBorder="1" applyAlignment="1">
      <alignment horizontal="left" vertical="center" shrinkToFit="1"/>
    </xf>
    <xf numFmtId="49" fontId="42" fillId="0" borderId="34" xfId="1" applyNumberFormat="1" applyFont="1" applyBorder="1" applyAlignment="1">
      <alignment horizontal="left" vertical="center" shrinkToFit="1"/>
    </xf>
    <xf numFmtId="20" fontId="42" fillId="0" borderId="35" xfId="1" applyNumberFormat="1" applyFont="1" applyBorder="1" applyAlignment="1">
      <alignment horizontal="left" vertical="center" shrinkToFit="1"/>
    </xf>
    <xf numFmtId="20" fontId="42" fillId="0" borderId="5" xfId="1" applyNumberFormat="1" applyFont="1" applyBorder="1" applyAlignment="1">
      <alignment horizontal="left" vertical="center" shrinkToFit="1"/>
    </xf>
    <xf numFmtId="49" fontId="42" fillId="0" borderId="0" xfId="1" applyNumberFormat="1" applyFont="1" applyAlignment="1">
      <alignment horizontal="left" vertical="center" shrinkToFit="1"/>
    </xf>
    <xf numFmtId="20" fontId="42" fillId="0" borderId="0" xfId="1" applyNumberFormat="1" applyFont="1" applyAlignment="1">
      <alignment horizontal="left" vertical="center" shrinkToFit="1"/>
    </xf>
    <xf numFmtId="20" fontId="42" fillId="0" borderId="6" xfId="1" applyNumberFormat="1" applyFont="1" applyBorder="1" applyAlignment="1">
      <alignment horizontal="left" vertical="center" shrinkToFit="1"/>
    </xf>
    <xf numFmtId="49" fontId="42" fillId="0" borderId="18" xfId="1" applyNumberFormat="1" applyFont="1" applyBorder="1" applyAlignment="1">
      <alignment vertical="center" shrinkToFit="1"/>
    </xf>
    <xf numFmtId="49" fontId="42" fillId="0" borderId="13" xfId="1" applyNumberFormat="1" applyFont="1" applyBorder="1" applyAlignment="1">
      <alignment vertical="center" shrinkToFit="1"/>
    </xf>
    <xf numFmtId="49" fontId="42" fillId="0" borderId="14" xfId="1" applyNumberFormat="1" applyFont="1" applyBorder="1" applyAlignment="1">
      <alignment vertical="center" shrinkToFit="1"/>
    </xf>
    <xf numFmtId="20" fontId="42" fillId="0" borderId="21" xfId="1" applyNumberFormat="1" applyFont="1" applyBorder="1" applyAlignment="1">
      <alignment horizontal="left" vertical="center" shrinkToFit="1"/>
    </xf>
    <xf numFmtId="49" fontId="42" fillId="0" borderId="20" xfId="1" applyNumberFormat="1" applyFont="1" applyBorder="1" applyAlignment="1">
      <alignment horizontal="left" vertical="center" shrinkToFit="1"/>
    </xf>
    <xf numFmtId="173" fontId="24" fillId="0" borderId="13" xfId="1" applyNumberFormat="1" applyFont="1" applyBorder="1" applyAlignment="1">
      <alignment horizontal="left" vertical="center" shrinkToFit="1"/>
    </xf>
    <xf numFmtId="0" fontId="23" fillId="0" borderId="14" xfId="1" applyFont="1" applyBorder="1" applyAlignment="1">
      <alignment horizontal="left"/>
    </xf>
    <xf numFmtId="0" fontId="1" fillId="0" borderId="6" xfId="0" applyFont="1" applyBorder="1" applyAlignment="1" applyProtection="1">
      <alignment horizontal="center" vertical="center"/>
      <protection locked="0"/>
      <extLst>
        <ext xmlns:xfpb="http://schemas.microsoft.com/office/spreadsheetml/2022/featurepropertybag" uri="{C7286773-470A-42A8-94C5-96B5CB345126}">
          <xfpb:xfComplement i="0"/>
        </ext>
      </extLst>
    </xf>
    <xf numFmtId="0" fontId="1" fillId="0" borderId="5" xfId="0" applyFont="1" applyBorder="1" applyAlignment="1" applyProtection="1">
      <alignment horizontal="center" vertical="center"/>
      <protection locked="0"/>
      <extLst>
        <ext xmlns:xfpb="http://schemas.microsoft.com/office/spreadsheetml/2022/featurepropertybag" uri="{C7286773-470A-42A8-94C5-96B5CB345126}">
          <xfpb:xfComplement i="0"/>
        </ext>
      </extLst>
    </xf>
    <xf numFmtId="0" fontId="49" fillId="8" borderId="0" xfId="0" applyFont="1" applyFill="1" applyAlignment="1">
      <alignment horizontal="center" vertical="center"/>
    </xf>
    <xf numFmtId="0" fontId="49" fillId="0" borderId="6" xfId="0" applyFont="1" applyBorder="1" applyAlignment="1" applyProtection="1">
      <alignment horizontal="center" vertical="center"/>
      <protection locked="0"/>
      <extLst>
        <ext xmlns:xfpb="http://schemas.microsoft.com/office/spreadsheetml/2022/featurepropertybag" uri="{C7286773-470A-42A8-94C5-96B5CB345126}">
          <xfpb:xfComplement i="0"/>
        </ext>
      </extLst>
    </xf>
    <xf numFmtId="0" fontId="49" fillId="8" borderId="15" xfId="0" applyFont="1" applyFill="1" applyBorder="1" applyAlignment="1">
      <alignment horizontal="center" vertical="center"/>
    </xf>
    <xf numFmtId="0" fontId="49" fillId="0" borderId="5" xfId="0" applyFont="1" applyBorder="1" applyAlignment="1" applyProtection="1">
      <alignment horizontal="center" vertical="center"/>
      <protection locked="0"/>
      <extLst>
        <ext xmlns:xfpb="http://schemas.microsoft.com/office/spreadsheetml/2022/featurepropertybag" uri="{C7286773-470A-42A8-94C5-96B5CB345126}">
          <xfpb:xfComplement i="0"/>
        </ext>
      </extLst>
    </xf>
    <xf numFmtId="164" fontId="49" fillId="0" borderId="0" xfId="0" applyNumberFormat="1" applyFont="1" applyAlignment="1" applyProtection="1">
      <alignment vertical="center"/>
      <protection locked="0"/>
    </xf>
    <xf numFmtId="168" fontId="49" fillId="0" borderId="15" xfId="0" applyNumberFormat="1" applyFont="1" applyBorder="1" applyAlignment="1" applyProtection="1">
      <alignment horizontal="right" vertical="center"/>
      <protection locked="0"/>
    </xf>
    <xf numFmtId="166" fontId="49" fillId="0" borderId="12" xfId="0" applyNumberFormat="1" applyFont="1" applyBorder="1" applyAlignment="1" applyProtection="1">
      <alignment horizontal="left" vertical="center"/>
      <protection locked="0"/>
    </xf>
    <xf numFmtId="165" fontId="51" fillId="0" borderId="10" xfId="0" applyNumberFormat="1" applyFont="1" applyBorder="1" applyAlignment="1" applyProtection="1">
      <alignment vertical="center"/>
      <protection locked="0"/>
    </xf>
    <xf numFmtId="0" fontId="51" fillId="0" borderId="13" xfId="0" applyFont="1" applyBorder="1" applyAlignment="1" applyProtection="1">
      <alignment vertical="center"/>
      <protection locked="0"/>
    </xf>
    <xf numFmtId="164" fontId="49" fillId="0" borderId="11" xfId="0" applyNumberFormat="1" applyFont="1" applyBorder="1" applyAlignment="1" applyProtection="1">
      <alignment vertical="center"/>
      <protection locked="0"/>
    </xf>
    <xf numFmtId="165" fontId="51" fillId="0" borderId="13" xfId="0" applyNumberFormat="1" applyFont="1" applyBorder="1" applyAlignment="1" applyProtection="1">
      <alignment vertical="center"/>
      <protection locked="0"/>
    </xf>
    <xf numFmtId="165" fontId="49" fillId="0" borderId="11" xfId="0" applyNumberFormat="1" applyFont="1" applyBorder="1" applyAlignment="1" applyProtection="1">
      <alignment vertical="center"/>
      <protection locked="0"/>
    </xf>
    <xf numFmtId="0" fontId="48" fillId="10" borderId="1" xfId="0" applyFont="1" applyFill="1" applyBorder="1" applyAlignment="1">
      <alignment horizontal="center" vertical="center"/>
    </xf>
    <xf numFmtId="0" fontId="37" fillId="0" borderId="8" xfId="0" applyFont="1" applyBorder="1" applyAlignment="1">
      <alignment horizontal="centerContinuous" vertical="center"/>
    </xf>
    <xf numFmtId="0" fontId="0" fillId="0" borderId="9" xfId="0" applyBorder="1" applyAlignment="1">
      <alignment horizontal="centerContinuous"/>
    </xf>
    <xf numFmtId="0" fontId="0" fillId="0" borderId="9" xfId="0" applyBorder="1" applyAlignment="1">
      <alignment horizontal="centerContinuous" vertical="center"/>
    </xf>
    <xf numFmtId="0" fontId="0" fillId="0" borderId="2" xfId="0" applyBorder="1" applyAlignment="1">
      <alignment horizontal="centerContinuous"/>
    </xf>
    <xf numFmtId="49" fontId="52" fillId="3" borderId="3" xfId="1" applyNumberFormat="1" applyFont="1" applyFill="1" applyBorder="1" applyAlignment="1">
      <alignment horizontal="center" vertical="center"/>
    </xf>
    <xf numFmtId="1" fontId="53" fillId="0" borderId="0" xfId="1" applyNumberFormat="1" applyFont="1" applyAlignment="1">
      <alignment vertical="center"/>
    </xf>
    <xf numFmtId="0" fontId="53" fillId="0" borderId="0" xfId="1" applyFont="1" applyAlignment="1">
      <alignment vertical="center"/>
    </xf>
    <xf numFmtId="49" fontId="9" fillId="3" borderId="1" xfId="1" applyNumberFormat="1" applyFont="1" applyFill="1" applyBorder="1" applyAlignment="1">
      <alignment horizontal="center" vertical="center"/>
    </xf>
    <xf numFmtId="20" fontId="4" fillId="0" borderId="0" xfId="1" applyNumberFormat="1"/>
    <xf numFmtId="168" fontId="35" fillId="14" borderId="15" xfId="0" applyNumberFormat="1" applyFont="1" applyFill="1" applyBorder="1" applyAlignment="1" applyProtection="1">
      <alignment horizontal="right" vertical="center"/>
      <protection locked="0"/>
    </xf>
    <xf numFmtId="49" fontId="13" fillId="0" borderId="0" xfId="1" applyNumberFormat="1" applyFont="1" applyAlignment="1">
      <alignment wrapText="1"/>
    </xf>
    <xf numFmtId="0" fontId="2" fillId="14" borderId="6" xfId="0" applyFont="1" applyFill="1" applyBorder="1" applyAlignment="1" applyProtection="1">
      <alignment horizontal="center" vertical="center"/>
      <protection locked="0"/>
      <extLst>
        <ext xmlns:xfpb="http://schemas.microsoft.com/office/spreadsheetml/2022/featurepropertybag" uri="{C7286773-470A-42A8-94C5-96B5CB345126}">
          <xfpb:xfComplement i="0"/>
        </ext>
      </extLst>
    </xf>
    <xf numFmtId="20" fontId="13" fillId="0" borderId="0" xfId="1" applyNumberFormat="1" applyFont="1"/>
    <xf numFmtId="49" fontId="13" fillId="0" borderId="0" xfId="1" applyNumberFormat="1" applyFont="1"/>
    <xf numFmtId="49" fontId="8" fillId="0" borderId="6" xfId="1" applyNumberFormat="1" applyFont="1" applyBorder="1" applyAlignment="1">
      <alignment horizontal="left" vertical="center"/>
    </xf>
    <xf numFmtId="49" fontId="8" fillId="0" borderId="11" xfId="1" applyNumberFormat="1" applyFont="1" applyBorder="1" applyAlignment="1">
      <alignment vertical="center"/>
    </xf>
    <xf numFmtId="49" fontId="8" fillId="0" borderId="6" xfId="1" applyNumberFormat="1" applyFont="1" applyBorder="1" applyAlignment="1">
      <alignment horizontal="center" vertical="center"/>
    </xf>
    <xf numFmtId="165" fontId="34" fillId="0" borderId="13" xfId="0" applyNumberFormat="1" applyFont="1" applyBorder="1" applyAlignment="1" applyProtection="1">
      <alignment horizontal="left" vertical="center"/>
      <protection locked="0"/>
    </xf>
    <xf numFmtId="49" fontId="42" fillId="0" borderId="13" xfId="1" applyNumberFormat="1" applyFont="1" applyBorder="1" applyAlignment="1">
      <alignment horizontal="centerContinuous" vertical="center" shrinkToFit="1"/>
    </xf>
    <xf numFmtId="49" fontId="42" fillId="0" borderId="17" xfId="1" applyNumberFormat="1" applyFont="1" applyBorder="1" applyAlignment="1">
      <alignment horizontal="centerContinuous" vertical="center" shrinkToFit="1"/>
    </xf>
    <xf numFmtId="172" fontId="43" fillId="0" borderId="10" xfId="1" applyNumberFormat="1" applyFont="1" applyBorder="1" applyAlignment="1">
      <alignment horizontal="left" vertical="center" shrinkToFit="1"/>
    </xf>
    <xf numFmtId="173" fontId="45" fillId="0" borderId="13" xfId="1" applyNumberFormat="1" applyFont="1" applyBorder="1" applyAlignment="1">
      <alignment horizontal="left" vertical="center" shrinkToFit="1"/>
    </xf>
    <xf numFmtId="0" fontId="43" fillId="0" borderId="13" xfId="1" applyFont="1" applyBorder="1" applyAlignment="1">
      <alignment horizontal="left"/>
    </xf>
    <xf numFmtId="172" fontId="44" fillId="0" borderId="10" xfId="1" applyNumberFormat="1" applyFont="1" applyBorder="1" applyAlignment="1">
      <alignment horizontal="left" vertical="center" shrinkToFit="1"/>
    </xf>
    <xf numFmtId="173" fontId="60" fillId="0" borderId="13" xfId="1" applyNumberFormat="1" applyFont="1" applyBorder="1" applyAlignment="1">
      <alignment horizontal="left" vertical="center" shrinkToFit="1"/>
    </xf>
    <xf numFmtId="0" fontId="44" fillId="0" borderId="14" xfId="1" applyFont="1" applyBorder="1" applyAlignment="1">
      <alignment horizontal="left"/>
    </xf>
    <xf numFmtId="0" fontId="44" fillId="0" borderId="13" xfId="1" applyFont="1" applyBorder="1" applyAlignment="1">
      <alignment horizontal="left"/>
    </xf>
    <xf numFmtId="173" fontId="45" fillId="0" borderId="14" xfId="1" applyNumberFormat="1" applyFont="1" applyBorder="1" applyAlignment="1">
      <alignment horizontal="left" vertical="center" shrinkToFit="1"/>
    </xf>
    <xf numFmtId="172" fontId="23" fillId="0" borderId="10" xfId="1" applyNumberFormat="1" applyFont="1" applyBorder="1" applyAlignment="1">
      <alignment horizontal="left" vertical="center" shrinkToFit="1"/>
    </xf>
    <xf numFmtId="173" fontId="60" fillId="0" borderId="14" xfId="1" applyNumberFormat="1" applyFont="1" applyBorder="1" applyAlignment="1">
      <alignment vertical="center" shrinkToFit="1"/>
    </xf>
    <xf numFmtId="49" fontId="45" fillId="0" borderId="12" xfId="1" applyNumberFormat="1" applyFont="1" applyBorder="1" applyAlignment="1">
      <alignment horizontal="left" vertical="center" shrinkToFit="1"/>
    </xf>
    <xf numFmtId="174" fontId="45" fillId="0" borderId="15" xfId="1" applyNumberFormat="1" applyFont="1" applyBorder="1" applyAlignment="1">
      <alignment vertical="center" shrinkToFit="1"/>
    </xf>
    <xf numFmtId="49" fontId="60" fillId="0" borderId="12" xfId="1" applyNumberFormat="1" applyFont="1" applyBorder="1" applyAlignment="1">
      <alignment horizontal="left" vertical="center" shrinkToFit="1"/>
    </xf>
    <xf numFmtId="49" fontId="60" fillId="0" borderId="15" xfId="1" applyNumberFormat="1" applyFont="1" applyBorder="1" applyAlignment="1">
      <alignment vertical="center" shrinkToFit="1"/>
    </xf>
    <xf numFmtId="49" fontId="60" fillId="0" borderId="5" xfId="1" applyNumberFormat="1" applyFont="1" applyBorder="1" applyAlignment="1">
      <alignment vertical="center" shrinkToFit="1"/>
    </xf>
    <xf numFmtId="49" fontId="45" fillId="0" borderId="15" xfId="1" applyNumberFormat="1" applyFont="1" applyBorder="1" applyAlignment="1">
      <alignment vertical="center" shrinkToFit="1"/>
    </xf>
    <xf numFmtId="49" fontId="45" fillId="0" borderId="5" xfId="1" applyNumberFormat="1" applyFont="1" applyBorder="1" applyAlignment="1">
      <alignment vertical="center" shrinkToFit="1"/>
    </xf>
    <xf numFmtId="49" fontId="24" fillId="0" borderId="15" xfId="1" applyNumberFormat="1" applyFont="1" applyBorder="1" applyAlignment="1">
      <alignment vertical="center" shrinkToFit="1"/>
    </xf>
    <xf numFmtId="49" fontId="24" fillId="0" borderId="5" xfId="1" applyNumberFormat="1" applyFont="1" applyBorder="1" applyAlignment="1">
      <alignment vertical="center" shrinkToFit="1"/>
    </xf>
    <xf numFmtId="49" fontId="45" fillId="0" borderId="10" xfId="1" applyNumberFormat="1" applyFont="1" applyBorder="1" applyAlignment="1">
      <alignment horizontal="left" vertical="center" shrinkToFit="1"/>
    </xf>
    <xf numFmtId="174" fontId="45" fillId="0" borderId="13" xfId="1" applyNumberFormat="1" applyFont="1" applyBorder="1" applyAlignment="1">
      <alignment vertical="center" shrinkToFit="1"/>
    </xf>
    <xf numFmtId="49" fontId="60" fillId="0" borderId="10" xfId="1" applyNumberFormat="1" applyFont="1" applyBorder="1" applyAlignment="1">
      <alignment horizontal="left" vertical="center" shrinkToFit="1"/>
    </xf>
    <xf numFmtId="49" fontId="60" fillId="0" borderId="13" xfId="1" applyNumberFormat="1" applyFont="1" applyBorder="1" applyAlignment="1">
      <alignment vertical="center" shrinkToFit="1"/>
    </xf>
    <xf numFmtId="49" fontId="60" fillId="0" borderId="14" xfId="1" applyNumberFormat="1" applyFont="1" applyBorder="1" applyAlignment="1">
      <alignment vertical="center" shrinkToFit="1"/>
    </xf>
    <xf numFmtId="49" fontId="45" fillId="0" borderId="13" xfId="1" applyNumberFormat="1" applyFont="1" applyBorder="1" applyAlignment="1">
      <alignment vertical="center" shrinkToFit="1"/>
    </xf>
    <xf numFmtId="49" fontId="45" fillId="0" borderId="14" xfId="1" applyNumberFormat="1" applyFont="1" applyBorder="1" applyAlignment="1">
      <alignment vertical="center" shrinkToFit="1"/>
    </xf>
    <xf numFmtId="49" fontId="24" fillId="0" borderId="10" xfId="1" applyNumberFormat="1" applyFont="1" applyBorder="1" applyAlignment="1">
      <alignment horizontal="left" vertical="center" shrinkToFit="1"/>
    </xf>
    <xf numFmtId="49" fontId="24" fillId="0" borderId="13" xfId="1" applyNumberFormat="1" applyFont="1" applyBorder="1" applyAlignment="1">
      <alignment vertical="center" shrinkToFit="1"/>
    </xf>
    <xf numFmtId="49" fontId="24" fillId="0" borderId="14" xfId="1" applyNumberFormat="1" applyFont="1" applyBorder="1" applyAlignment="1">
      <alignment vertical="center" shrinkToFit="1"/>
    </xf>
    <xf numFmtId="172" fontId="43" fillId="0" borderId="11" xfId="1" applyNumberFormat="1" applyFont="1" applyBorder="1" applyAlignment="1">
      <alignment horizontal="left" vertical="center" shrinkToFit="1"/>
    </xf>
    <xf numFmtId="173" fontId="45" fillId="0" borderId="0" xfId="1" applyNumberFormat="1" applyFont="1" applyAlignment="1">
      <alignment horizontal="left" vertical="center" shrinkToFit="1"/>
    </xf>
    <xf numFmtId="0" fontId="43" fillId="0" borderId="0" xfId="1" applyFont="1" applyAlignment="1">
      <alignment horizontal="left"/>
    </xf>
    <xf numFmtId="172" fontId="44" fillId="0" borderId="11" xfId="1" applyNumberFormat="1" applyFont="1" applyBorder="1" applyAlignment="1">
      <alignment horizontal="left" vertical="center" shrinkToFit="1"/>
    </xf>
    <xf numFmtId="173" fontId="60" fillId="0" borderId="0" xfId="1" applyNumberFormat="1" applyFont="1" applyAlignment="1">
      <alignment horizontal="left" vertical="center" shrinkToFit="1"/>
    </xf>
    <xf numFmtId="173" fontId="60" fillId="0" borderId="6" xfId="1" applyNumberFormat="1" applyFont="1" applyBorder="1" applyAlignment="1">
      <alignment vertical="center" shrinkToFit="1"/>
    </xf>
    <xf numFmtId="172" fontId="24" fillId="0" borderId="0" xfId="1" applyNumberFormat="1" applyFont="1" applyAlignment="1">
      <alignment horizontal="left" vertical="center" shrinkToFit="1"/>
    </xf>
    <xf numFmtId="173" fontId="24" fillId="0" borderId="0" xfId="1" applyNumberFormat="1" applyFont="1" applyAlignment="1">
      <alignment vertical="center" shrinkToFit="1"/>
    </xf>
    <xf numFmtId="172" fontId="24" fillId="0" borderId="11" xfId="1" applyNumberFormat="1" applyFont="1" applyBorder="1" applyAlignment="1">
      <alignment horizontal="left" vertical="center" shrinkToFit="1"/>
    </xf>
    <xf numFmtId="173" fontId="24" fillId="0" borderId="6" xfId="1" applyNumberFormat="1" applyFont="1" applyBorder="1" applyAlignment="1">
      <alignment vertical="center" shrinkToFit="1"/>
    </xf>
    <xf numFmtId="49" fontId="24" fillId="0" borderId="15" xfId="1" applyNumberFormat="1" applyFont="1" applyBorder="1" applyAlignment="1">
      <alignment horizontal="left" vertical="center" shrinkToFit="1"/>
    </xf>
    <xf numFmtId="49" fontId="4" fillId="0" borderId="0" xfId="1" applyNumberFormat="1"/>
    <xf numFmtId="0" fontId="58" fillId="0" borderId="0" xfId="1" applyFont="1" applyAlignment="1">
      <alignment horizontal="center"/>
    </xf>
    <xf numFmtId="20" fontId="59" fillId="0" borderId="0" xfId="1" applyNumberFormat="1" applyFont="1"/>
    <xf numFmtId="165" fontId="34" fillId="14" borderId="10" xfId="0" applyNumberFormat="1" applyFont="1" applyFill="1" applyBorder="1" applyAlignment="1" applyProtection="1">
      <alignment horizontal="left" vertical="center"/>
      <protection locked="0"/>
    </xf>
    <xf numFmtId="49" fontId="21" fillId="0" borderId="20" xfId="1" applyNumberFormat="1" applyFont="1" applyBorder="1" applyAlignment="1">
      <alignment horizontal="left" vertical="center" shrinkToFit="1"/>
    </xf>
    <xf numFmtId="49" fontId="21" fillId="0" borderId="0" xfId="1" applyNumberFormat="1" applyFont="1" applyAlignment="1">
      <alignment vertical="center" shrinkToFit="1"/>
    </xf>
    <xf numFmtId="49" fontId="22" fillId="0" borderId="21" xfId="1" applyNumberFormat="1" applyFont="1" applyBorder="1" applyAlignment="1">
      <alignment horizontal="center" vertical="center" shrinkToFit="1"/>
    </xf>
    <xf numFmtId="49" fontId="21" fillId="0" borderId="26" xfId="1" applyNumberFormat="1" applyFont="1" applyBorder="1" applyAlignment="1">
      <alignment horizontal="left" vertical="center" shrinkToFit="1"/>
    </xf>
    <xf numFmtId="49" fontId="21" fillId="0" borderId="24" xfId="1" applyNumberFormat="1" applyFont="1" applyBorder="1" applyAlignment="1">
      <alignment horizontal="left" vertical="center" shrinkToFit="1"/>
    </xf>
    <xf numFmtId="20" fontId="21" fillId="0" borderId="25" xfId="1" applyNumberFormat="1" applyFont="1" applyBorder="1" applyAlignment="1">
      <alignment horizontal="center" vertical="center" shrinkToFit="1"/>
    </xf>
    <xf numFmtId="49" fontId="21" fillId="0" borderId="32" xfId="1" applyNumberFormat="1" applyFont="1" applyBorder="1" applyAlignment="1">
      <alignment vertical="center" shrinkToFit="1"/>
    </xf>
    <xf numFmtId="49" fontId="21" fillId="0" borderId="21" xfId="1" applyNumberFormat="1" applyFont="1" applyBorder="1" applyAlignment="1">
      <alignment vertical="center" shrinkToFit="1"/>
    </xf>
    <xf numFmtId="49" fontId="21" fillId="0" borderId="0" xfId="1" applyNumberFormat="1" applyFont="1" applyAlignment="1">
      <alignment horizontal="left" vertical="center" shrinkToFit="1"/>
    </xf>
    <xf numFmtId="49" fontId="21" fillId="0" borderId="30" xfId="1" applyNumberFormat="1" applyFont="1" applyBorder="1" applyAlignment="1">
      <alignment vertical="center" shrinkToFit="1"/>
    </xf>
    <xf numFmtId="49" fontId="21" fillId="0" borderId="31" xfId="1" applyNumberFormat="1" applyFont="1" applyBorder="1" applyAlignment="1">
      <alignment vertical="center" shrinkToFit="1"/>
    </xf>
    <xf numFmtId="20" fontId="21" fillId="0" borderId="21" xfId="1" applyNumberFormat="1" applyFont="1" applyBorder="1" applyAlignment="1">
      <alignment horizontal="center" vertical="center" shrinkToFit="1"/>
    </xf>
    <xf numFmtId="49" fontId="21" fillId="0" borderId="20" xfId="1" applyNumberFormat="1" applyFont="1" applyBorder="1" applyAlignment="1">
      <alignment vertical="center" shrinkToFit="1"/>
    </xf>
    <xf numFmtId="49" fontId="22" fillId="0" borderId="20" xfId="1" applyNumberFormat="1" applyFont="1" applyBorder="1" applyAlignment="1">
      <alignment horizontal="left" vertical="center" shrinkToFit="1"/>
    </xf>
    <xf numFmtId="49" fontId="10" fillId="4" borderId="8" xfId="1" applyNumberFormat="1" applyFont="1" applyFill="1" applyBorder="1" applyAlignment="1">
      <alignment horizontal="left" vertical="center"/>
    </xf>
    <xf numFmtId="166" fontId="35" fillId="0" borderId="15" xfId="0" applyNumberFormat="1" applyFont="1" applyBorder="1" applyAlignment="1" applyProtection="1">
      <alignment horizontal="left" vertical="center"/>
      <protection locked="0"/>
    </xf>
    <xf numFmtId="166" fontId="35" fillId="14" borderId="12" xfId="0" applyNumberFormat="1" applyFont="1" applyFill="1" applyBorder="1" applyAlignment="1" applyProtection="1">
      <alignment horizontal="left" vertical="center"/>
      <protection locked="0"/>
    </xf>
    <xf numFmtId="165" fontId="51" fillId="0" borderId="10" xfId="0" applyNumberFormat="1" applyFont="1" applyBorder="1" applyAlignment="1" applyProtection="1">
      <alignment horizontal="centerContinuous" vertical="center" shrinkToFit="1"/>
      <protection locked="0"/>
    </xf>
    <xf numFmtId="165" fontId="51" fillId="0" borderId="13" xfId="0" applyNumberFormat="1" applyFont="1" applyBorder="1" applyAlignment="1" applyProtection="1">
      <alignment horizontal="centerContinuous" vertical="center" shrinkToFit="1"/>
      <protection locked="0"/>
    </xf>
    <xf numFmtId="20" fontId="21" fillId="0" borderId="27" xfId="1" applyNumberFormat="1" applyFont="1" applyBorder="1" applyAlignment="1">
      <alignment horizontal="center" vertical="center" shrinkToFit="1"/>
    </xf>
    <xf numFmtId="49" fontId="21" fillId="0" borderId="33" xfId="1" applyNumberFormat="1" applyFont="1" applyBorder="1" applyAlignment="1">
      <alignment vertical="center" shrinkToFit="1"/>
    </xf>
    <xf numFmtId="49" fontId="21" fillId="0" borderId="15" xfId="1" applyNumberFormat="1" applyFont="1" applyBorder="1" applyAlignment="1">
      <alignment horizontal="left" vertical="center" shrinkToFit="1"/>
    </xf>
    <xf numFmtId="20" fontId="21" fillId="0" borderId="5" xfId="1" applyNumberFormat="1" applyFont="1" applyBorder="1" applyAlignment="1">
      <alignment horizontal="center" vertical="center" shrinkToFit="1"/>
    </xf>
    <xf numFmtId="49" fontId="21" fillId="0" borderId="34" xfId="1" applyNumberFormat="1" applyFont="1" applyBorder="1" applyAlignment="1">
      <alignment horizontal="left" vertical="center" shrinkToFit="1"/>
    </xf>
    <xf numFmtId="49" fontId="21" fillId="0" borderId="8" xfId="1" applyNumberFormat="1" applyFont="1" applyBorder="1" applyAlignment="1">
      <alignment vertical="center" shrinkToFit="1"/>
    </xf>
    <xf numFmtId="49" fontId="22" fillId="0" borderId="9" xfId="1" applyNumberFormat="1" applyFont="1" applyBorder="1" applyAlignment="1">
      <alignment vertical="center" shrinkToFit="1"/>
    </xf>
    <xf numFmtId="49" fontId="21" fillId="0" borderId="2" xfId="1" applyNumberFormat="1" applyFont="1" applyBorder="1" applyAlignment="1">
      <alignment vertical="center" shrinkToFit="1"/>
    </xf>
    <xf numFmtId="49" fontId="22" fillId="0" borderId="6" xfId="1" applyNumberFormat="1" applyFont="1" applyBorder="1" applyAlignment="1">
      <alignment horizontal="center" vertical="center" shrinkToFit="1"/>
    </xf>
    <xf numFmtId="164" fontId="35" fillId="0" borderId="0" xfId="0" applyNumberFormat="1" applyFont="1" applyAlignment="1" applyProtection="1">
      <alignment vertical="center"/>
      <protection locked="0"/>
    </xf>
    <xf numFmtId="164" fontId="35" fillId="0" borderId="11" xfId="0" applyNumberFormat="1" applyFont="1" applyBorder="1" applyAlignment="1" applyProtection="1">
      <alignment horizontal="left" vertical="center"/>
      <protection locked="0"/>
    </xf>
    <xf numFmtId="164" fontId="35" fillId="0" borderId="0" xfId="0" applyNumberFormat="1" applyFont="1" applyAlignment="1" applyProtection="1">
      <alignment horizontal="left" vertical="center"/>
      <protection locked="0"/>
    </xf>
    <xf numFmtId="165" fontId="34" fillId="0" borderId="10" xfId="0" applyNumberFormat="1" applyFont="1" applyBorder="1" applyAlignment="1" applyProtection="1">
      <alignment horizontal="left" vertical="center"/>
      <protection locked="0"/>
    </xf>
    <xf numFmtId="165" fontId="34" fillId="0" borderId="10" xfId="0" applyNumberFormat="1" applyFont="1" applyBorder="1" applyAlignment="1" applyProtection="1">
      <alignment vertical="center"/>
      <protection locked="0"/>
    </xf>
    <xf numFmtId="165" fontId="34" fillId="0" borderId="13" xfId="0" applyNumberFormat="1" applyFont="1" applyBorder="1" applyAlignment="1" applyProtection="1">
      <alignment vertical="center"/>
      <protection locked="0"/>
    </xf>
    <xf numFmtId="165" fontId="34" fillId="0" borderId="11" xfId="0" applyNumberFormat="1" applyFont="1" applyBorder="1" applyAlignment="1" applyProtection="1">
      <alignment vertical="center"/>
      <protection locked="0"/>
    </xf>
    <xf numFmtId="165" fontId="34" fillId="0" borderId="0" xfId="0" applyNumberFormat="1" applyFont="1" applyAlignment="1" applyProtection="1">
      <alignment vertical="center"/>
      <protection locked="0"/>
    </xf>
    <xf numFmtId="165" fontId="34" fillId="0" borderId="11" xfId="0" applyNumberFormat="1" applyFont="1" applyBorder="1" applyAlignment="1" applyProtection="1">
      <alignment horizontal="left" vertical="center"/>
      <protection locked="0"/>
    </xf>
    <xf numFmtId="165" fontId="34" fillId="0" borderId="0" xfId="0" applyNumberFormat="1" applyFont="1" applyAlignment="1" applyProtection="1">
      <alignment horizontal="left" vertical="center"/>
      <protection locked="0"/>
    </xf>
    <xf numFmtId="165" fontId="34" fillId="14" borderId="13" xfId="0" applyNumberFormat="1" applyFont="1" applyFill="1" applyBorder="1" applyAlignment="1" applyProtection="1">
      <alignment horizontal="left" vertical="center"/>
      <protection locked="0"/>
    </xf>
    <xf numFmtId="0" fontId="4" fillId="0" borderId="8" xfId="1" applyBorder="1"/>
    <xf numFmtId="0" fontId="4" fillId="0" borderId="26" xfId="1" applyBorder="1"/>
    <xf numFmtId="0" fontId="4" fillId="0" borderId="13" xfId="1" applyBorder="1"/>
    <xf numFmtId="0" fontId="4" fillId="0" borderId="17" xfId="1" applyBorder="1"/>
    <xf numFmtId="0" fontId="4" fillId="0" borderId="24" xfId="1" applyBorder="1"/>
    <xf numFmtId="0" fontId="4" fillId="0" borderId="25" xfId="1" applyBorder="1"/>
    <xf numFmtId="0" fontId="4" fillId="0" borderId="23" xfId="1" applyBorder="1"/>
    <xf numFmtId="0" fontId="4" fillId="0" borderId="11" xfId="1" applyBorder="1"/>
    <xf numFmtId="0" fontId="4" fillId="0" borderId="21" xfId="1" applyBorder="1"/>
    <xf numFmtId="49" fontId="11" fillId="0" borderId="13" xfId="1" applyNumberFormat="1" applyFont="1" applyBorder="1" applyAlignment="1">
      <alignment horizontal="center" vertical="center" shrinkToFit="1"/>
    </xf>
    <xf numFmtId="49" fontId="11" fillId="0" borderId="17" xfId="1" applyNumberFormat="1" applyFont="1" applyBorder="1" applyAlignment="1">
      <alignment horizontal="center" vertical="center" shrinkToFit="1"/>
    </xf>
    <xf numFmtId="49" fontId="11" fillId="0" borderId="18" xfId="1" applyNumberFormat="1" applyFont="1" applyBorder="1" applyAlignment="1">
      <alignment horizontal="center" vertical="center" shrinkToFit="1"/>
    </xf>
    <xf numFmtId="20" fontId="15" fillId="0" borderId="25" xfId="1" applyNumberFormat="1" applyFont="1" applyBorder="1" applyAlignment="1">
      <alignment horizontal="center" vertical="center" shrinkToFit="1"/>
    </xf>
    <xf numFmtId="49" fontId="11" fillId="0" borderId="31" xfId="1" applyNumberFormat="1" applyFont="1" applyBorder="1" applyAlignment="1">
      <alignment horizontal="center" vertical="center" shrinkToFit="1"/>
    </xf>
    <xf numFmtId="49" fontId="11" fillId="0" borderId="30" xfId="1" applyNumberFormat="1" applyFont="1" applyBorder="1" applyAlignment="1">
      <alignment horizontal="center" vertical="center" shrinkToFit="1"/>
    </xf>
    <xf numFmtId="49" fontId="11" fillId="0" borderId="32" xfId="1" applyNumberFormat="1" applyFont="1" applyBorder="1" applyAlignment="1">
      <alignment horizontal="center" vertical="center" shrinkToFit="1"/>
    </xf>
    <xf numFmtId="49" fontId="11" fillId="0" borderId="33" xfId="1" applyNumberFormat="1" applyFont="1" applyBorder="1" applyAlignment="1">
      <alignment horizontal="center" vertical="center" shrinkToFit="1"/>
    </xf>
    <xf numFmtId="172" fontId="15" fillId="0" borderId="6" xfId="1" applyNumberFormat="1" applyFont="1" applyBorder="1" applyAlignment="1">
      <alignment vertical="center" shrinkToFit="1"/>
    </xf>
    <xf numFmtId="20" fontId="15" fillId="0" borderId="27" xfId="1" applyNumberFormat="1" applyFont="1" applyBorder="1" applyAlignment="1">
      <alignment horizontal="center" vertical="center" shrinkToFit="1"/>
    </xf>
    <xf numFmtId="49" fontId="11" fillId="0" borderId="29" xfId="1" applyNumberFormat="1" applyFont="1" applyBorder="1" applyAlignment="1">
      <alignment horizontal="center" vertical="center" shrinkToFit="1"/>
    </xf>
    <xf numFmtId="20" fontId="15" fillId="0" borderId="24" xfId="1" applyNumberFormat="1" applyFont="1" applyBorder="1" applyAlignment="1">
      <alignment horizontal="center" vertical="center" shrinkToFit="1"/>
    </xf>
    <xf numFmtId="20" fontId="14" fillId="0" borderId="24" xfId="1" applyNumberFormat="1" applyFont="1" applyBorder="1" applyAlignment="1">
      <alignment horizontal="center" vertical="center" shrinkToFit="1"/>
    </xf>
    <xf numFmtId="20" fontId="11" fillId="0" borderId="25" xfId="1" applyNumberFormat="1" applyFont="1" applyBorder="1" applyAlignment="1">
      <alignment horizontal="right" vertical="center" shrinkToFit="1"/>
    </xf>
    <xf numFmtId="20" fontId="11" fillId="0" borderId="24" xfId="1" applyNumberFormat="1" applyFont="1" applyBorder="1" applyAlignment="1">
      <alignment horizontal="right" vertical="center" shrinkToFit="1"/>
    </xf>
    <xf numFmtId="49" fontId="11" fillId="0" borderId="24" xfId="1" applyNumberFormat="1" applyFont="1" applyBorder="1" applyAlignment="1">
      <alignment vertical="center" shrinkToFit="1"/>
    </xf>
    <xf numFmtId="20" fontId="15" fillId="0" borderId="25" xfId="1" applyNumberFormat="1" applyFont="1" applyBorder="1" applyAlignment="1">
      <alignment vertical="center" shrinkToFit="1"/>
    </xf>
    <xf numFmtId="20" fontId="11" fillId="0" borderId="15" xfId="1" applyNumberFormat="1" applyFont="1" applyBorder="1" applyAlignment="1">
      <alignment vertical="center" shrinkToFit="1"/>
    </xf>
    <xf numFmtId="20" fontId="11" fillId="0" borderId="35" xfId="1" applyNumberFormat="1" applyFont="1" applyBorder="1" applyAlignment="1">
      <alignment vertical="center" shrinkToFit="1"/>
    </xf>
    <xf numFmtId="176" fontId="11" fillId="0" borderId="20" xfId="1" applyNumberFormat="1" applyFont="1" applyBorder="1" applyAlignment="1">
      <alignment horizontal="left" vertical="center" shrinkToFit="1"/>
    </xf>
    <xf numFmtId="49" fontId="11" fillId="0" borderId="21" xfId="1" applyNumberFormat="1" applyFont="1" applyBorder="1" applyAlignment="1">
      <alignment horizontal="center" vertical="center" shrinkToFit="1"/>
    </xf>
    <xf numFmtId="20" fontId="11" fillId="0" borderId="24" xfId="1" applyNumberFormat="1" applyFont="1" applyBorder="1" applyAlignment="1">
      <alignment horizontal="center" vertical="center" shrinkToFit="1"/>
    </xf>
    <xf numFmtId="20" fontId="11" fillId="0" borderId="25" xfId="1" applyNumberFormat="1" applyFont="1" applyBorder="1" applyAlignment="1">
      <alignment horizontal="center" vertical="center" shrinkToFit="1"/>
    </xf>
    <xf numFmtId="49" fontId="11" fillId="0" borderId="20" xfId="1" applyNumberFormat="1" applyFont="1" applyBorder="1" applyAlignment="1">
      <alignment horizontal="center" vertical="center" shrinkToFit="1"/>
    </xf>
    <xf numFmtId="177" fontId="38" fillId="0" borderId="10" xfId="1" applyNumberFormat="1" applyFont="1" applyBorder="1" applyAlignment="1">
      <alignment horizontal="center" vertical="center" shrinkToFit="1"/>
    </xf>
    <xf numFmtId="173" fontId="38" fillId="0" borderId="13" xfId="1" applyNumberFormat="1" applyFont="1" applyBorder="1" applyAlignment="1">
      <alignment horizontal="centerContinuous" vertical="center" shrinkToFit="1"/>
    </xf>
    <xf numFmtId="173" fontId="38" fillId="0" borderId="13" xfId="1" applyNumberFormat="1" applyFont="1" applyBorder="1" applyAlignment="1">
      <alignment horizontal="center" vertical="center" shrinkToFit="1"/>
    </xf>
    <xf numFmtId="174" fontId="38" fillId="0" borderId="15" xfId="1" applyNumberFormat="1" applyFont="1" applyBorder="1" applyAlignment="1">
      <alignment horizontal="centerContinuous" vertical="center" shrinkToFit="1"/>
    </xf>
    <xf numFmtId="174" fontId="38" fillId="0" borderId="5" xfId="1" applyNumberFormat="1" applyFont="1" applyBorder="1" applyAlignment="1">
      <alignment horizontal="centerContinuous" vertical="center" shrinkToFit="1"/>
    </xf>
    <xf numFmtId="174" fontId="38" fillId="0" borderId="15" xfId="1" applyNumberFormat="1" applyFont="1" applyBorder="1" applyAlignment="1">
      <alignment horizontal="center" vertical="center" shrinkToFit="1"/>
    </xf>
    <xf numFmtId="174" fontId="38" fillId="0" borderId="5" xfId="1" applyNumberFormat="1" applyFont="1" applyBorder="1" applyAlignment="1">
      <alignment horizontal="center" vertical="center" shrinkToFit="1"/>
    </xf>
    <xf numFmtId="174" fontId="22" fillId="0" borderId="15" xfId="1" applyNumberFormat="1" applyFont="1" applyBorder="1" applyAlignment="1">
      <alignment vertical="center" shrinkToFit="1"/>
    </xf>
    <xf numFmtId="174" fontId="22" fillId="0" borderId="5" xfId="1" applyNumberFormat="1" applyFont="1" applyBorder="1" applyAlignment="1">
      <alignment vertical="center" shrinkToFit="1"/>
    </xf>
    <xf numFmtId="0" fontId="0" fillId="12" borderId="7" xfId="0" applyFill="1" applyBorder="1" applyAlignment="1">
      <alignment horizontal="center"/>
    </xf>
    <xf numFmtId="0" fontId="0" fillId="12" borderId="4" xfId="0" applyFill="1" applyBorder="1" applyAlignment="1">
      <alignment horizontal="center"/>
    </xf>
    <xf numFmtId="0" fontId="0" fillId="12" borderId="3" xfId="0" applyFill="1" applyBorder="1" applyAlignment="1">
      <alignment horizontal="center"/>
    </xf>
    <xf numFmtId="49" fontId="24" fillId="8" borderId="37" xfId="1" quotePrefix="1" applyNumberFormat="1" applyFont="1" applyFill="1" applyBorder="1" applyAlignment="1">
      <alignment horizontal="center" vertical="center" wrapText="1"/>
    </xf>
    <xf numFmtId="49" fontId="24" fillId="8" borderId="37" xfId="1" applyNumberFormat="1" applyFont="1" applyFill="1" applyBorder="1" applyAlignment="1">
      <alignment horizontal="center" vertical="center"/>
    </xf>
    <xf numFmtId="16" fontId="24" fillId="2" borderId="8" xfId="1" applyNumberFormat="1" applyFont="1" applyFill="1" applyBorder="1" applyAlignment="1">
      <alignment horizontal="center" vertical="center"/>
    </xf>
    <xf numFmtId="16" fontId="24" fillId="2" borderId="9" xfId="1" applyNumberFormat="1" applyFont="1" applyFill="1" applyBorder="1" applyAlignment="1">
      <alignment horizontal="center" vertical="center"/>
    </xf>
    <xf numFmtId="16" fontId="24" fillId="2" borderId="2" xfId="1" applyNumberFormat="1" applyFont="1" applyFill="1" applyBorder="1" applyAlignment="1">
      <alignment horizontal="center" vertical="center"/>
    </xf>
    <xf numFmtId="16" fontId="40" fillId="2" borderId="8" xfId="1" applyNumberFormat="1" applyFont="1" applyFill="1" applyBorder="1" applyAlignment="1">
      <alignment horizontal="center" vertical="center"/>
    </xf>
    <xf numFmtId="16" fontId="40" fillId="2" borderId="9" xfId="1" applyNumberFormat="1" applyFont="1" applyFill="1" applyBorder="1" applyAlignment="1">
      <alignment horizontal="center" vertical="center"/>
    </xf>
    <xf numFmtId="16" fontId="40" fillId="2" borderId="2" xfId="1" applyNumberFormat="1" applyFont="1" applyFill="1" applyBorder="1" applyAlignment="1">
      <alignment horizontal="center" vertical="center"/>
    </xf>
    <xf numFmtId="169" fontId="24" fillId="0" borderId="8" xfId="1" applyNumberFormat="1" applyFont="1" applyBorder="1" applyAlignment="1">
      <alignment horizontal="center" vertical="center"/>
    </xf>
    <xf numFmtId="169" fontId="24" fillId="0" borderId="9" xfId="1" applyNumberFormat="1" applyFont="1" applyBorder="1" applyAlignment="1">
      <alignment horizontal="center" vertical="center"/>
    </xf>
    <xf numFmtId="169" fontId="24" fillId="0" borderId="2" xfId="1" applyNumberFormat="1" applyFont="1" applyBorder="1" applyAlignment="1">
      <alignment horizontal="center" vertical="center"/>
    </xf>
    <xf numFmtId="167" fontId="24" fillId="13" borderId="8" xfId="1" applyNumberFormat="1" applyFont="1" applyFill="1" applyBorder="1" applyAlignment="1">
      <alignment horizontal="center" vertical="center"/>
    </xf>
    <xf numFmtId="167" fontId="24" fillId="3" borderId="9" xfId="1" applyNumberFormat="1" applyFont="1" applyFill="1" applyBorder="1" applyAlignment="1">
      <alignment horizontal="center" vertical="center"/>
    </xf>
    <xf numFmtId="167" fontId="24" fillId="3" borderId="2" xfId="1" applyNumberFormat="1" applyFont="1" applyFill="1" applyBorder="1" applyAlignment="1">
      <alignment horizontal="center" vertical="center"/>
    </xf>
    <xf numFmtId="0" fontId="0" fillId="15" borderId="7" xfId="0" applyFill="1" applyBorder="1" applyAlignment="1">
      <alignment horizontal="center"/>
    </xf>
    <xf numFmtId="0" fontId="0" fillId="15" borderId="4" xfId="0" applyFill="1" applyBorder="1" applyAlignment="1">
      <alignment horizontal="center"/>
    </xf>
    <xf numFmtId="0" fontId="0" fillId="15" borderId="3" xfId="0" applyFill="1" applyBorder="1" applyAlignment="1">
      <alignment horizontal="center"/>
    </xf>
    <xf numFmtId="49" fontId="24" fillId="3" borderId="37" xfId="1" quotePrefix="1" applyNumberFormat="1" applyFont="1" applyFill="1" applyBorder="1" applyAlignment="1">
      <alignment horizontal="center" vertical="center" wrapText="1"/>
    </xf>
    <xf numFmtId="49" fontId="24" fillId="3" borderId="37" xfId="1" applyNumberFormat="1" applyFont="1" applyFill="1" applyBorder="1" applyAlignment="1">
      <alignment horizontal="center" vertical="center"/>
    </xf>
    <xf numFmtId="49" fontId="24" fillId="3" borderId="39" xfId="1" quotePrefix="1" applyNumberFormat="1" applyFont="1" applyFill="1" applyBorder="1" applyAlignment="1">
      <alignment horizontal="center" vertical="center" wrapText="1"/>
    </xf>
    <xf numFmtId="0" fontId="24" fillId="0" borderId="7" xfId="1" applyFont="1" applyBorder="1" applyAlignment="1">
      <alignment horizontal="center" vertical="center" wrapText="1"/>
    </xf>
    <xf numFmtId="0" fontId="24" fillId="0" borderId="3" xfId="1" applyFont="1" applyBorder="1" applyAlignment="1">
      <alignment horizontal="center" vertical="center" wrapText="1"/>
    </xf>
    <xf numFmtId="0" fontId="3" fillId="10" borderId="10" xfId="0" applyFont="1" applyFill="1" applyBorder="1" applyAlignment="1">
      <alignment horizontal="center" vertical="center" wrapText="1"/>
    </xf>
    <xf numFmtId="0" fontId="3" fillId="10" borderId="11" xfId="0" applyFont="1" applyFill="1" applyBorder="1" applyAlignment="1">
      <alignment horizontal="center" vertical="center" wrapText="1"/>
    </xf>
    <xf numFmtId="0" fontId="3" fillId="10" borderId="12" xfId="0" applyFont="1" applyFill="1" applyBorder="1" applyAlignment="1">
      <alignment horizontal="center" vertical="center" wrapText="1"/>
    </xf>
    <xf numFmtId="0" fontId="3" fillId="10" borderId="10" xfId="0" quotePrefix="1" applyFont="1" applyFill="1" applyBorder="1" applyAlignment="1">
      <alignment horizontal="center" vertical="center" wrapText="1"/>
    </xf>
    <xf numFmtId="0" fontId="3" fillId="10" borderId="10" xfId="0" quotePrefix="1" applyFont="1" applyFill="1" applyBorder="1" applyAlignment="1">
      <alignment horizontal="center" vertical="center"/>
    </xf>
    <xf numFmtId="0" fontId="3" fillId="10" borderId="11" xfId="0" applyFont="1" applyFill="1" applyBorder="1" applyAlignment="1">
      <alignment horizontal="center" vertical="center"/>
    </xf>
    <xf numFmtId="0" fontId="3" fillId="10" borderId="12" xfId="0" applyFont="1" applyFill="1" applyBorder="1" applyAlignment="1">
      <alignment horizontal="center" vertical="center"/>
    </xf>
    <xf numFmtId="0" fontId="3" fillId="10" borderId="7" xfId="0" quotePrefix="1" applyFont="1" applyFill="1" applyBorder="1" applyAlignment="1">
      <alignment horizontal="center" vertical="center" wrapText="1"/>
    </xf>
    <xf numFmtId="0" fontId="3" fillId="10" borderId="4" xfId="0" applyFont="1" applyFill="1" applyBorder="1" applyAlignment="1">
      <alignment horizontal="center" vertical="center" wrapText="1"/>
    </xf>
    <xf numFmtId="0" fontId="3" fillId="10" borderId="3" xfId="0" applyFont="1" applyFill="1" applyBorder="1" applyAlignment="1">
      <alignment horizontal="center" vertical="center" wrapText="1"/>
    </xf>
    <xf numFmtId="0" fontId="3" fillId="10" borderId="7" xfId="0" applyFont="1" applyFill="1" applyBorder="1" applyAlignment="1">
      <alignment horizontal="center" vertical="center" wrapText="1"/>
    </xf>
    <xf numFmtId="0" fontId="24" fillId="3" borderId="7" xfId="1" applyFont="1" applyFill="1" applyBorder="1" applyAlignment="1">
      <alignment horizontal="center" vertical="center" wrapText="1" shrinkToFit="1"/>
    </xf>
    <xf numFmtId="0" fontId="24" fillId="3" borderId="3" xfId="1" applyFont="1" applyFill="1" applyBorder="1" applyAlignment="1">
      <alignment horizontal="center" vertical="center" wrapText="1" shrinkToFit="1"/>
    </xf>
    <xf numFmtId="49" fontId="24" fillId="0" borderId="8" xfId="1" applyNumberFormat="1" applyFont="1" applyBorder="1" applyAlignment="1">
      <alignment horizontal="center"/>
    </xf>
    <xf numFmtId="49" fontId="24" fillId="0" borderId="9" xfId="1" applyNumberFormat="1" applyFont="1" applyBorder="1" applyAlignment="1">
      <alignment horizontal="center"/>
    </xf>
    <xf numFmtId="49" fontId="24" fillId="0" borderId="2" xfId="1" applyNumberFormat="1" applyFont="1" applyBorder="1" applyAlignment="1">
      <alignment horizontal="center"/>
    </xf>
    <xf numFmtId="49" fontId="24" fillId="10" borderId="37" xfId="1" quotePrefix="1" applyNumberFormat="1" applyFont="1" applyFill="1" applyBorder="1" applyAlignment="1">
      <alignment horizontal="center" vertical="center" wrapText="1"/>
    </xf>
    <xf numFmtId="49" fontId="24" fillId="10" borderId="37" xfId="1" applyNumberFormat="1" applyFont="1" applyFill="1" applyBorder="1" applyAlignment="1">
      <alignment horizontal="center" vertical="center"/>
    </xf>
    <xf numFmtId="49" fontId="24" fillId="5" borderId="16" xfId="1" quotePrefix="1" applyNumberFormat="1" applyFont="1" applyFill="1" applyBorder="1" applyAlignment="1">
      <alignment horizontal="center" vertical="center"/>
    </xf>
    <xf numFmtId="49" fontId="24" fillId="5" borderId="19" xfId="1" applyNumberFormat="1" applyFont="1" applyFill="1" applyBorder="1" applyAlignment="1">
      <alignment horizontal="center" vertical="center"/>
    </xf>
    <xf numFmtId="49" fontId="24" fillId="5" borderId="22" xfId="1" applyNumberFormat="1" applyFont="1" applyFill="1" applyBorder="1" applyAlignment="1">
      <alignment horizontal="center" vertical="center"/>
    </xf>
    <xf numFmtId="49" fontId="43" fillId="0" borderId="18" xfId="1" applyNumberFormat="1" applyFont="1" applyBorder="1" applyAlignment="1">
      <alignment horizontal="center" vertical="center" shrinkToFit="1"/>
    </xf>
    <xf numFmtId="49" fontId="43" fillId="0" borderId="13" xfId="1" applyNumberFormat="1" applyFont="1" applyBorder="1" applyAlignment="1">
      <alignment horizontal="center" vertical="center" shrinkToFit="1"/>
    </xf>
    <xf numFmtId="49" fontId="43" fillId="0" borderId="17" xfId="1" applyNumberFormat="1" applyFont="1" applyBorder="1" applyAlignment="1">
      <alignment horizontal="center" vertical="center" shrinkToFit="1"/>
    </xf>
    <xf numFmtId="0" fontId="24" fillId="3" borderId="10" xfId="1" applyFont="1" applyFill="1" applyBorder="1" applyAlignment="1">
      <alignment horizontal="center" vertical="center" wrapText="1" shrinkToFit="1"/>
    </xf>
    <xf numFmtId="0" fontId="24" fillId="3" borderId="12" xfId="1" applyFont="1" applyFill="1" applyBorder="1" applyAlignment="1">
      <alignment horizontal="center" vertical="center" wrapText="1" shrinkToFit="1"/>
    </xf>
    <xf numFmtId="49" fontId="10" fillId="5" borderId="10" xfId="1" quotePrefix="1" applyNumberFormat="1" applyFont="1" applyFill="1" applyBorder="1" applyAlignment="1">
      <alignment horizontal="center" vertical="center"/>
    </xf>
    <xf numFmtId="49" fontId="10" fillId="5" borderId="11" xfId="1" quotePrefix="1" applyNumberFormat="1" applyFont="1" applyFill="1" applyBorder="1" applyAlignment="1">
      <alignment horizontal="center" vertical="center"/>
    </xf>
    <xf numFmtId="49" fontId="10" fillId="5" borderId="12" xfId="1" quotePrefix="1" applyNumberFormat="1" applyFont="1" applyFill="1" applyBorder="1" applyAlignment="1">
      <alignment horizontal="center" vertical="center"/>
    </xf>
    <xf numFmtId="49" fontId="10" fillId="5" borderId="10" xfId="1" quotePrefix="1" applyNumberFormat="1" applyFont="1" applyFill="1" applyBorder="1" applyAlignment="1">
      <alignment horizontal="center" vertical="center" wrapText="1"/>
    </xf>
    <xf numFmtId="49" fontId="10" fillId="8" borderId="31" xfId="1" applyNumberFormat="1" applyFont="1" applyFill="1" applyBorder="1" applyAlignment="1">
      <alignment horizontal="center" vertical="center" wrapText="1"/>
    </xf>
    <xf numFmtId="49" fontId="10" fillId="8" borderId="20" xfId="1" applyNumberFormat="1" applyFont="1" applyFill="1" applyBorder="1" applyAlignment="1">
      <alignment horizontal="center" vertical="center"/>
    </xf>
    <xf numFmtId="180" fontId="10" fillId="3" borderId="10" xfId="1" quotePrefix="1" applyNumberFormat="1" applyFont="1" applyFill="1" applyBorder="1" applyAlignment="1">
      <alignment horizontal="center" vertical="center" wrapText="1"/>
    </xf>
    <xf numFmtId="180" fontId="10" fillId="3" borderId="11" xfId="1" quotePrefix="1" applyNumberFormat="1" applyFont="1" applyFill="1" applyBorder="1" applyAlignment="1">
      <alignment horizontal="center" vertical="center" wrapText="1"/>
    </xf>
    <xf numFmtId="180" fontId="10" fillId="3" borderId="23" xfId="1" quotePrefix="1" applyNumberFormat="1" applyFont="1" applyFill="1" applyBorder="1" applyAlignment="1">
      <alignment horizontal="center" vertical="center" wrapText="1"/>
    </xf>
    <xf numFmtId="180" fontId="10" fillId="3" borderId="31" xfId="1" quotePrefix="1" applyNumberFormat="1" applyFont="1" applyFill="1" applyBorder="1" applyAlignment="1">
      <alignment horizontal="center" vertical="center" wrapText="1"/>
    </xf>
    <xf numFmtId="180" fontId="10" fillId="3" borderId="20" xfId="1" applyNumberFormat="1" applyFont="1" applyFill="1" applyBorder="1" applyAlignment="1">
      <alignment horizontal="center" vertical="center"/>
    </xf>
    <xf numFmtId="180" fontId="10" fillId="3" borderId="26" xfId="1" applyNumberFormat="1" applyFont="1" applyFill="1" applyBorder="1" applyAlignment="1">
      <alignment horizontal="center" vertical="center"/>
    </xf>
    <xf numFmtId="181" fontId="10" fillId="10" borderId="31" xfId="1" applyNumberFormat="1" applyFont="1" applyFill="1" applyBorder="1" applyAlignment="1">
      <alignment horizontal="center" vertical="center" wrapText="1"/>
    </xf>
    <xf numFmtId="181" fontId="10" fillId="10" borderId="20" xfId="1" applyNumberFormat="1" applyFont="1" applyFill="1" applyBorder="1" applyAlignment="1">
      <alignment horizontal="center" vertical="center"/>
    </xf>
    <xf numFmtId="181" fontId="10" fillId="10" borderId="26" xfId="1" applyNumberFormat="1" applyFont="1" applyFill="1" applyBorder="1" applyAlignment="1">
      <alignment horizontal="center" vertical="center"/>
    </xf>
    <xf numFmtId="49" fontId="10" fillId="8" borderId="26" xfId="1" applyNumberFormat="1" applyFont="1" applyFill="1" applyBorder="1" applyAlignment="1">
      <alignment horizontal="center" vertical="center"/>
    </xf>
    <xf numFmtId="180" fontId="10" fillId="3" borderId="31" xfId="1" applyNumberFormat="1" applyFont="1" applyFill="1" applyBorder="1" applyAlignment="1">
      <alignment horizontal="center" vertical="center" wrapText="1"/>
    </xf>
    <xf numFmtId="16" fontId="55" fillId="2" borderId="8" xfId="1" applyNumberFormat="1" applyFont="1" applyFill="1" applyBorder="1" applyAlignment="1">
      <alignment horizontal="center" vertical="center"/>
    </xf>
    <xf numFmtId="16" fontId="55" fillId="2" borderId="9" xfId="1" applyNumberFormat="1" applyFont="1" applyFill="1" applyBorder="1" applyAlignment="1">
      <alignment horizontal="center" vertical="center"/>
    </xf>
    <xf numFmtId="16" fontId="55" fillId="2" borderId="2" xfId="1" applyNumberFormat="1" applyFont="1" applyFill="1" applyBorder="1" applyAlignment="1">
      <alignment horizontal="center" vertical="center"/>
    </xf>
    <xf numFmtId="16" fontId="54" fillId="2" borderId="8" xfId="1" applyNumberFormat="1" applyFont="1" applyFill="1" applyBorder="1" applyAlignment="1">
      <alignment horizontal="center" vertical="center"/>
    </xf>
    <xf numFmtId="16" fontId="54" fillId="2" borderId="9" xfId="1" applyNumberFormat="1" applyFont="1" applyFill="1" applyBorder="1" applyAlignment="1">
      <alignment horizontal="center" vertical="center"/>
    </xf>
    <xf numFmtId="16" fontId="54" fillId="2" borderId="2" xfId="1" applyNumberFormat="1" applyFont="1" applyFill="1" applyBorder="1" applyAlignment="1">
      <alignment horizontal="center" vertical="center"/>
    </xf>
    <xf numFmtId="169" fontId="55" fillId="0" borderId="8" xfId="1" applyNumberFormat="1" applyFont="1" applyBorder="1" applyAlignment="1">
      <alignment horizontal="center" vertical="center"/>
    </xf>
    <xf numFmtId="169" fontId="55" fillId="0" borderId="9" xfId="1" applyNumberFormat="1" applyFont="1" applyBorder="1" applyAlignment="1">
      <alignment horizontal="center" vertical="center"/>
    </xf>
    <xf numFmtId="169" fontId="55" fillId="0" borderId="2" xfId="1" applyNumberFormat="1" applyFont="1" applyBorder="1" applyAlignment="1">
      <alignment horizontal="center" vertical="center"/>
    </xf>
    <xf numFmtId="49" fontId="10" fillId="5" borderId="16" xfId="1" quotePrefix="1" applyNumberFormat="1" applyFont="1" applyFill="1" applyBorder="1" applyAlignment="1">
      <alignment horizontal="center" vertical="center"/>
    </xf>
    <xf numFmtId="49" fontId="10" fillId="5" borderId="19" xfId="1" applyNumberFormat="1" applyFont="1" applyFill="1" applyBorder="1" applyAlignment="1">
      <alignment horizontal="center" vertical="center"/>
    </xf>
    <xf numFmtId="49" fontId="10" fillId="5" borderId="22" xfId="1" applyNumberFormat="1" applyFont="1" applyFill="1" applyBorder="1" applyAlignment="1">
      <alignment horizontal="center" vertical="center"/>
    </xf>
    <xf numFmtId="0" fontId="10" fillId="3" borderId="10" xfId="1" applyFont="1" applyFill="1" applyBorder="1" applyAlignment="1">
      <alignment horizontal="center" vertical="center" wrapText="1" shrinkToFit="1"/>
    </xf>
    <xf numFmtId="0" fontId="10" fillId="3" borderId="12" xfId="1" applyFont="1" applyFill="1" applyBorder="1" applyAlignment="1">
      <alignment horizontal="center" vertical="center" wrapText="1" shrinkToFit="1"/>
    </xf>
    <xf numFmtId="0" fontId="10" fillId="3" borderId="7" xfId="1" applyFont="1" applyFill="1" applyBorder="1" applyAlignment="1">
      <alignment horizontal="center" vertical="center" wrapText="1" shrinkToFit="1"/>
    </xf>
    <xf numFmtId="0" fontId="10" fillId="3" borderId="3" xfId="1" applyFont="1" applyFill="1" applyBorder="1" applyAlignment="1">
      <alignment horizontal="center" vertical="center" wrapText="1" shrinkToFit="1"/>
    </xf>
    <xf numFmtId="49" fontId="10" fillId="0" borderId="8" xfId="1" applyNumberFormat="1" applyFont="1" applyBorder="1" applyAlignment="1">
      <alignment horizontal="center"/>
    </xf>
    <xf numFmtId="49" fontId="10" fillId="0" borderId="9" xfId="1" applyNumberFormat="1" applyFont="1" applyBorder="1" applyAlignment="1">
      <alignment horizontal="center"/>
    </xf>
    <xf numFmtId="49" fontId="10" fillId="0" borderId="2" xfId="1" applyNumberFormat="1" applyFont="1" applyBorder="1" applyAlignment="1">
      <alignment horizontal="center"/>
    </xf>
    <xf numFmtId="49" fontId="11" fillId="0" borderId="31" xfId="1" applyNumberFormat="1" applyFont="1" applyBorder="1" applyAlignment="1">
      <alignment horizontal="center" vertical="center" shrinkToFit="1"/>
    </xf>
    <xf numFmtId="49" fontId="11" fillId="0" borderId="30" xfId="1" applyNumberFormat="1" applyFont="1" applyBorder="1" applyAlignment="1">
      <alignment horizontal="center" vertical="center" shrinkToFit="1"/>
    </xf>
    <xf numFmtId="49" fontId="11" fillId="0" borderId="33" xfId="1" applyNumberFormat="1" applyFont="1" applyBorder="1" applyAlignment="1">
      <alignment horizontal="center" vertical="center" shrinkToFit="1"/>
    </xf>
    <xf numFmtId="49" fontId="10" fillId="8" borderId="37" xfId="1" quotePrefix="1" applyNumberFormat="1" applyFont="1" applyFill="1" applyBorder="1" applyAlignment="1">
      <alignment horizontal="center" vertical="center" wrapText="1"/>
    </xf>
    <xf numFmtId="49" fontId="10" fillId="8" borderId="37" xfId="1" applyNumberFormat="1" applyFont="1" applyFill="1" applyBorder="1" applyAlignment="1">
      <alignment horizontal="center" vertical="center"/>
    </xf>
    <xf numFmtId="49" fontId="11" fillId="0" borderId="29" xfId="1" applyNumberFormat="1" applyFont="1" applyBorder="1" applyAlignment="1">
      <alignment horizontal="center" vertical="center" shrinkToFit="1"/>
    </xf>
    <xf numFmtId="49" fontId="11" fillId="0" borderId="32" xfId="1" applyNumberFormat="1" applyFont="1" applyBorder="1" applyAlignment="1">
      <alignment horizontal="center" vertical="center" shrinkToFit="1"/>
    </xf>
    <xf numFmtId="49" fontId="14" fillId="0" borderId="18" xfId="1" applyNumberFormat="1" applyFont="1" applyBorder="1" applyAlignment="1">
      <alignment horizontal="center" vertical="center" shrinkToFit="1"/>
    </xf>
    <xf numFmtId="49" fontId="14" fillId="0" borderId="13" xfId="1" applyNumberFormat="1" applyFont="1" applyBorder="1" applyAlignment="1">
      <alignment horizontal="center" vertical="center" shrinkToFit="1"/>
    </xf>
    <xf numFmtId="49" fontId="14" fillId="0" borderId="17" xfId="1" applyNumberFormat="1" applyFont="1" applyBorder="1" applyAlignment="1">
      <alignment horizontal="center" vertical="center" shrinkToFit="1"/>
    </xf>
    <xf numFmtId="49" fontId="10" fillId="10" borderId="37" xfId="1" quotePrefix="1" applyNumberFormat="1" applyFont="1" applyFill="1" applyBorder="1" applyAlignment="1">
      <alignment horizontal="center" vertical="center" wrapText="1"/>
    </xf>
    <xf numFmtId="49" fontId="10" fillId="10" borderId="37" xfId="1" applyNumberFormat="1" applyFont="1" applyFill="1" applyBorder="1" applyAlignment="1">
      <alignment horizontal="center" vertical="center"/>
    </xf>
    <xf numFmtId="49" fontId="14" fillId="0" borderId="31" xfId="1" applyNumberFormat="1" applyFont="1" applyBorder="1" applyAlignment="1">
      <alignment horizontal="center" vertical="center" shrinkToFit="1"/>
    </xf>
    <xf numFmtId="49" fontId="14" fillId="0" borderId="30" xfId="1" applyNumberFormat="1" applyFont="1" applyBorder="1" applyAlignment="1">
      <alignment horizontal="center" vertical="center" shrinkToFit="1"/>
    </xf>
    <xf numFmtId="49" fontId="14" fillId="0" borderId="32" xfId="1" applyNumberFormat="1" applyFont="1" applyBorder="1" applyAlignment="1">
      <alignment horizontal="center" vertical="center" shrinkToFit="1"/>
    </xf>
    <xf numFmtId="49" fontId="10" fillId="3" borderId="37" xfId="1" quotePrefix="1" applyNumberFormat="1" applyFont="1" applyFill="1" applyBorder="1" applyAlignment="1">
      <alignment horizontal="center" vertical="center" wrapText="1"/>
    </xf>
    <xf numFmtId="49" fontId="10" fillId="3" borderId="37" xfId="1" applyNumberFormat="1" applyFont="1" applyFill="1" applyBorder="1" applyAlignment="1">
      <alignment horizontal="center" vertical="center"/>
    </xf>
    <xf numFmtId="16" fontId="5" fillId="2" borderId="8" xfId="1" applyNumberFormat="1" applyFont="1" applyFill="1" applyBorder="1" applyAlignment="1">
      <alignment horizontal="center" vertical="center"/>
    </xf>
    <xf numFmtId="16" fontId="5" fillId="2" borderId="9" xfId="1" applyNumberFormat="1" applyFont="1" applyFill="1" applyBorder="1" applyAlignment="1">
      <alignment horizontal="center" vertical="center"/>
    </xf>
    <xf numFmtId="16" fontId="5" fillId="2" borderId="2" xfId="1" applyNumberFormat="1" applyFont="1" applyFill="1" applyBorder="1" applyAlignment="1">
      <alignment horizontal="center" vertical="center"/>
    </xf>
    <xf numFmtId="16" fontId="7" fillId="2" borderId="8" xfId="1" applyNumberFormat="1" applyFont="1" applyFill="1" applyBorder="1" applyAlignment="1">
      <alignment horizontal="center" vertical="center"/>
    </xf>
    <xf numFmtId="16" fontId="7" fillId="2" borderId="9" xfId="1" applyNumberFormat="1" applyFont="1" applyFill="1" applyBorder="1" applyAlignment="1">
      <alignment horizontal="center" vertical="center"/>
    </xf>
    <xf numFmtId="16" fontId="7" fillId="2" borderId="2" xfId="1" applyNumberFormat="1" applyFont="1" applyFill="1" applyBorder="1" applyAlignment="1">
      <alignment horizontal="center" vertical="center"/>
    </xf>
    <xf numFmtId="169" fontId="5" fillId="0" borderId="8" xfId="1" applyNumberFormat="1" applyFont="1" applyBorder="1" applyAlignment="1">
      <alignment horizontal="center" vertical="center"/>
    </xf>
    <xf numFmtId="169" fontId="5" fillId="0" borderId="9" xfId="1" applyNumberFormat="1" applyFont="1" applyBorder="1" applyAlignment="1">
      <alignment horizontal="center" vertical="center"/>
    </xf>
    <xf numFmtId="169" fontId="5" fillId="0" borderId="2" xfId="1" applyNumberFormat="1" applyFont="1" applyBorder="1" applyAlignment="1">
      <alignment horizontal="center" vertical="center"/>
    </xf>
    <xf numFmtId="49" fontId="10" fillId="3" borderId="39" xfId="1" quotePrefix="1" applyNumberFormat="1" applyFont="1" applyFill="1" applyBorder="1" applyAlignment="1">
      <alignment horizontal="center" vertical="center" wrapText="1"/>
    </xf>
    <xf numFmtId="49" fontId="11" fillId="0" borderId="13" xfId="1" applyNumberFormat="1" applyFont="1" applyBorder="1" applyAlignment="1">
      <alignment horizontal="center" vertical="center" shrinkToFit="1"/>
    </xf>
    <xf numFmtId="49" fontId="11" fillId="0" borderId="17" xfId="1" applyNumberFormat="1" applyFont="1" applyBorder="1" applyAlignment="1">
      <alignment horizontal="center" vertical="center" shrinkToFit="1"/>
    </xf>
    <xf numFmtId="49" fontId="11" fillId="0" borderId="18" xfId="1" applyNumberFormat="1" applyFont="1" applyBorder="1" applyAlignment="1">
      <alignment horizontal="center" vertical="center" shrinkToFit="1"/>
    </xf>
    <xf numFmtId="49" fontId="10" fillId="3" borderId="10" xfId="1" quotePrefix="1" applyNumberFormat="1" applyFont="1" applyFill="1" applyBorder="1" applyAlignment="1">
      <alignment horizontal="center" vertical="center" wrapText="1"/>
    </xf>
    <xf numFmtId="49" fontId="10" fillId="3" borderId="11" xfId="1" applyNumberFormat="1" applyFont="1" applyFill="1" applyBorder="1" applyAlignment="1">
      <alignment horizontal="center" vertical="center"/>
    </xf>
    <xf numFmtId="49" fontId="10" fillId="3" borderId="23" xfId="1" applyNumberFormat="1" applyFont="1" applyFill="1" applyBorder="1" applyAlignment="1">
      <alignment horizontal="center" vertical="center"/>
    </xf>
    <xf numFmtId="49" fontId="10" fillId="3" borderId="29" xfId="1" quotePrefix="1" applyNumberFormat="1" applyFont="1" applyFill="1" applyBorder="1" applyAlignment="1">
      <alignment horizontal="center" vertical="center" wrapText="1"/>
    </xf>
    <xf numFmtId="49" fontId="10" fillId="3" borderId="12" xfId="1" applyNumberFormat="1" applyFont="1" applyFill="1" applyBorder="1" applyAlignment="1">
      <alignment horizontal="center" vertical="center"/>
    </xf>
    <xf numFmtId="49" fontId="10" fillId="10" borderId="29" xfId="1" quotePrefix="1" applyNumberFormat="1" applyFont="1" applyFill="1" applyBorder="1" applyAlignment="1">
      <alignment horizontal="center" vertical="center" wrapText="1"/>
    </xf>
    <xf numFmtId="49" fontId="10" fillId="10" borderId="11" xfId="1" applyNumberFormat="1" applyFont="1" applyFill="1" applyBorder="1" applyAlignment="1">
      <alignment horizontal="center" vertical="center"/>
    </xf>
    <xf numFmtId="49" fontId="10" fillId="10" borderId="23" xfId="1" applyNumberFormat="1" applyFont="1" applyFill="1" applyBorder="1" applyAlignment="1">
      <alignment horizontal="center" vertical="center"/>
    </xf>
    <xf numFmtId="49" fontId="10" fillId="8" borderId="29" xfId="1" quotePrefix="1" applyNumberFormat="1" applyFont="1" applyFill="1" applyBorder="1" applyAlignment="1">
      <alignment horizontal="center" vertical="center" wrapText="1"/>
    </xf>
    <xf numFmtId="49" fontId="10" fillId="8" borderId="11" xfId="1" applyNumberFormat="1" applyFont="1" applyFill="1" applyBorder="1" applyAlignment="1">
      <alignment horizontal="center" vertical="center"/>
    </xf>
    <xf numFmtId="49" fontId="10" fillId="8" borderId="23" xfId="1" applyNumberFormat="1" applyFont="1" applyFill="1" applyBorder="1" applyAlignment="1">
      <alignment horizontal="center" vertical="center"/>
    </xf>
    <xf numFmtId="49" fontId="10" fillId="11" borderId="7" xfId="1" quotePrefix="1" applyNumberFormat="1" applyFont="1" applyFill="1" applyBorder="1" applyAlignment="1">
      <alignment horizontal="center" vertical="center" wrapText="1"/>
    </xf>
    <xf numFmtId="49" fontId="10" fillId="11" borderId="4" xfId="1" applyNumberFormat="1" applyFont="1" applyFill="1" applyBorder="1" applyAlignment="1">
      <alignment horizontal="center" vertical="center"/>
    </xf>
    <xf numFmtId="49" fontId="10" fillId="11" borderId="28" xfId="1" applyNumberFormat="1" applyFont="1" applyFill="1" applyBorder="1" applyAlignment="1">
      <alignment horizontal="center" vertical="center"/>
    </xf>
    <xf numFmtId="49" fontId="10" fillId="11" borderId="36" xfId="1" quotePrefix="1" applyNumberFormat="1" applyFont="1" applyFill="1" applyBorder="1" applyAlignment="1">
      <alignment horizontal="center" vertical="center" wrapText="1"/>
    </xf>
    <xf numFmtId="49" fontId="10" fillId="10" borderId="36" xfId="1" quotePrefix="1" applyNumberFormat="1" applyFont="1" applyFill="1" applyBorder="1" applyAlignment="1">
      <alignment horizontal="center" vertical="center" wrapText="1"/>
    </xf>
    <xf numFmtId="49" fontId="10" fillId="10" borderId="4" xfId="1" applyNumberFormat="1" applyFont="1" applyFill="1" applyBorder="1" applyAlignment="1">
      <alignment horizontal="center" vertical="center"/>
    </xf>
    <xf numFmtId="49" fontId="10" fillId="10" borderId="28" xfId="1" applyNumberFormat="1" applyFont="1" applyFill="1" applyBorder="1" applyAlignment="1">
      <alignment horizontal="center" vertical="center"/>
    </xf>
    <xf numFmtId="49" fontId="10" fillId="5" borderId="19" xfId="1" quotePrefix="1" applyNumberFormat="1" applyFont="1" applyFill="1" applyBorder="1" applyAlignment="1">
      <alignment horizontal="center" vertical="center" wrapText="1"/>
    </xf>
    <xf numFmtId="49" fontId="10" fillId="3" borderId="19" xfId="1" quotePrefix="1" applyNumberFormat="1" applyFont="1" applyFill="1" applyBorder="1" applyAlignment="1">
      <alignment horizontal="center" vertical="center" wrapText="1"/>
    </xf>
    <xf numFmtId="49" fontId="10" fillId="3" borderId="19" xfId="1" applyNumberFormat="1" applyFont="1" applyFill="1" applyBorder="1" applyAlignment="1">
      <alignment horizontal="center" vertical="center"/>
    </xf>
    <xf numFmtId="49" fontId="10" fillId="3" borderId="22" xfId="1" applyNumberFormat="1" applyFont="1" applyFill="1" applyBorder="1" applyAlignment="1">
      <alignment horizontal="center" vertical="center"/>
    </xf>
    <xf numFmtId="49" fontId="10" fillId="5" borderId="16" xfId="1" quotePrefix="1" applyNumberFormat="1" applyFont="1" applyFill="1" applyBorder="1" applyAlignment="1">
      <alignment horizontal="center" vertical="center" wrapText="1"/>
    </xf>
    <xf numFmtId="49" fontId="10" fillId="5" borderId="39" xfId="1" quotePrefix="1" applyNumberFormat="1" applyFont="1" applyFill="1" applyBorder="1" applyAlignment="1">
      <alignment horizontal="center" vertical="center" wrapText="1"/>
    </xf>
    <xf numFmtId="49" fontId="10" fillId="5" borderId="37" xfId="1" applyNumberFormat="1" applyFont="1" applyFill="1" applyBorder="1" applyAlignment="1">
      <alignment horizontal="center" vertical="center"/>
    </xf>
    <xf numFmtId="49" fontId="10" fillId="5" borderId="38" xfId="1" applyNumberFormat="1" applyFont="1" applyFill="1" applyBorder="1" applyAlignment="1">
      <alignment horizontal="center" vertical="center"/>
    </xf>
    <xf numFmtId="49" fontId="10" fillId="5" borderId="39" xfId="1" quotePrefix="1" applyNumberFormat="1" applyFont="1" applyFill="1" applyBorder="1" applyAlignment="1">
      <alignment horizontal="center" vertical="center"/>
    </xf>
    <xf numFmtId="49" fontId="10" fillId="3" borderId="29" xfId="1" applyNumberFormat="1" applyFont="1" applyFill="1" applyBorder="1" applyAlignment="1">
      <alignment horizontal="center" vertical="center" wrapText="1"/>
    </xf>
    <xf numFmtId="49" fontId="10" fillId="3" borderId="11" xfId="1" applyNumberFormat="1" applyFont="1" applyFill="1" applyBorder="1" applyAlignment="1">
      <alignment horizontal="center" vertical="center" wrapText="1"/>
    </xf>
    <xf numFmtId="49" fontId="10" fillId="3" borderId="23" xfId="1" applyNumberFormat="1" applyFont="1" applyFill="1" applyBorder="1" applyAlignment="1">
      <alignment horizontal="center" vertical="center" wrapText="1"/>
    </xf>
    <xf numFmtId="49" fontId="10" fillId="3" borderId="37" xfId="1" applyNumberFormat="1" applyFont="1" applyFill="1" applyBorder="1" applyAlignment="1">
      <alignment horizontal="center" vertical="center" wrapText="1"/>
    </xf>
    <xf numFmtId="49" fontId="10" fillId="3" borderId="38" xfId="1" applyNumberFormat="1" applyFont="1" applyFill="1" applyBorder="1" applyAlignment="1">
      <alignment horizontal="center" vertical="center"/>
    </xf>
    <xf numFmtId="0" fontId="48" fillId="10" borderId="10" xfId="0" applyFont="1" applyFill="1" applyBorder="1" applyAlignment="1">
      <alignment horizontal="center" vertical="center"/>
    </xf>
    <xf numFmtId="0" fontId="48" fillId="10" borderId="11" xfId="0" applyFont="1" applyFill="1" applyBorder="1" applyAlignment="1">
      <alignment horizontal="center" vertical="center"/>
    </xf>
    <xf numFmtId="0" fontId="48" fillId="10" borderId="12" xfId="0" applyFont="1" applyFill="1" applyBorder="1" applyAlignment="1">
      <alignment horizontal="center" vertical="center"/>
    </xf>
    <xf numFmtId="0" fontId="48" fillId="10" borderId="10" xfId="0" applyFont="1" applyFill="1" applyBorder="1" applyAlignment="1">
      <alignment horizontal="center" vertical="center" wrapText="1"/>
    </xf>
    <xf numFmtId="0" fontId="48" fillId="10" borderId="11" xfId="0" applyFont="1" applyFill="1" applyBorder="1" applyAlignment="1">
      <alignment horizontal="center" vertical="center" wrapText="1"/>
    </xf>
    <xf numFmtId="0" fontId="48" fillId="10" borderId="12" xfId="0" applyFont="1" applyFill="1" applyBorder="1" applyAlignment="1">
      <alignment horizontal="center" vertical="center" wrapText="1"/>
    </xf>
    <xf numFmtId="0" fontId="50" fillId="10" borderId="10" xfId="0" applyFont="1" applyFill="1" applyBorder="1" applyAlignment="1">
      <alignment horizontal="center" vertical="center" wrapText="1"/>
    </xf>
    <xf numFmtId="0" fontId="50" fillId="10" borderId="11" xfId="0" applyFont="1" applyFill="1" applyBorder="1" applyAlignment="1">
      <alignment horizontal="center" vertical="center" wrapText="1"/>
    </xf>
    <xf numFmtId="0" fontId="50" fillId="10" borderId="12" xfId="0" applyFont="1" applyFill="1" applyBorder="1" applyAlignment="1">
      <alignment horizontal="center" vertical="center" wrapText="1"/>
    </xf>
    <xf numFmtId="179" fontId="48" fillId="10" borderId="8" xfId="0" applyNumberFormat="1" applyFont="1" applyFill="1" applyBorder="1" applyAlignment="1">
      <alignment horizontal="center" vertical="center"/>
    </xf>
    <xf numFmtId="179" fontId="48" fillId="10" borderId="9" xfId="0" applyNumberFormat="1" applyFont="1" applyFill="1" applyBorder="1" applyAlignment="1">
      <alignment horizontal="center" vertical="center"/>
    </xf>
    <xf numFmtId="179" fontId="48" fillId="10" borderId="2" xfId="0" applyNumberFormat="1" applyFont="1" applyFill="1" applyBorder="1" applyAlignment="1">
      <alignment horizontal="center" vertical="center"/>
    </xf>
    <xf numFmtId="179" fontId="48" fillId="10" borderId="10" xfId="0" applyNumberFormat="1" applyFont="1" applyFill="1" applyBorder="1" applyAlignment="1">
      <alignment horizontal="center" vertical="center"/>
    </xf>
    <xf numFmtId="179" fontId="48" fillId="10" borderId="13" xfId="0" applyNumberFormat="1" applyFont="1" applyFill="1" applyBorder="1" applyAlignment="1">
      <alignment horizontal="center" vertical="center"/>
    </xf>
    <xf numFmtId="179" fontId="48" fillId="10" borderId="14" xfId="0" applyNumberFormat="1" applyFont="1" applyFill="1" applyBorder="1" applyAlignment="1">
      <alignment horizontal="center" vertical="center"/>
    </xf>
    <xf numFmtId="49" fontId="10" fillId="5" borderId="7" xfId="1" applyNumberFormat="1" applyFont="1" applyFill="1" applyBorder="1" applyAlignment="1" applyProtection="1">
      <alignment horizontal="left" vertical="center" wrapText="1" shrinkToFit="1"/>
      <protection locked="0"/>
    </xf>
    <xf numFmtId="49" fontId="10" fillId="5" borderId="28" xfId="1" applyNumberFormat="1" applyFont="1" applyFill="1" applyBorder="1" applyAlignment="1" applyProtection="1">
      <alignment horizontal="left" vertical="center" shrinkToFit="1"/>
      <protection locked="0"/>
    </xf>
    <xf numFmtId="49" fontId="24" fillId="8" borderId="10" xfId="1" applyNumberFormat="1" applyFont="1" applyFill="1" applyBorder="1" applyAlignment="1">
      <alignment horizontal="left" vertical="center" shrinkToFit="1"/>
    </xf>
    <xf numFmtId="0" fontId="24" fillId="8" borderId="23" xfId="1" applyFont="1" applyFill="1" applyBorder="1" applyAlignment="1">
      <alignment horizontal="left" vertical="center" shrinkToFit="1"/>
    </xf>
    <xf numFmtId="0" fontId="24" fillId="8" borderId="29" xfId="1" applyFont="1" applyFill="1" applyBorder="1" applyAlignment="1">
      <alignment horizontal="left" vertical="center" shrinkToFit="1"/>
    </xf>
    <xf numFmtId="0" fontId="24" fillId="8" borderId="12" xfId="1" applyFont="1" applyFill="1" applyBorder="1" applyAlignment="1">
      <alignment horizontal="left" vertical="center" shrinkToFit="1"/>
    </xf>
    <xf numFmtId="0" fontId="28" fillId="0" borderId="24" xfId="2" applyFont="1" applyBorder="1" applyAlignment="1">
      <alignment horizontal="left"/>
    </xf>
    <xf numFmtId="20" fontId="27" fillId="0" borderId="24" xfId="2" applyNumberFormat="1" applyFont="1" applyBorder="1" applyAlignment="1">
      <alignment horizontal="center" shrinkToFit="1"/>
    </xf>
    <xf numFmtId="20" fontId="27" fillId="0" borderId="25" xfId="2" applyNumberFormat="1" applyFont="1" applyBorder="1" applyAlignment="1">
      <alignment horizontal="center" shrinkToFit="1"/>
    </xf>
    <xf numFmtId="0" fontId="27" fillId="0" borderId="0" xfId="2" applyFont="1" applyAlignment="1">
      <alignment horizontal="center" shrinkToFit="1"/>
    </xf>
    <xf numFmtId="0" fontId="27" fillId="0" borderId="6" xfId="2" applyFont="1" applyBorder="1" applyAlignment="1">
      <alignment horizontal="center" shrinkToFit="1"/>
    </xf>
    <xf numFmtId="20" fontId="27" fillId="0" borderId="27" xfId="2" applyNumberFormat="1" applyFont="1" applyBorder="1" applyAlignment="1">
      <alignment horizontal="center" shrinkToFit="1"/>
    </xf>
    <xf numFmtId="0" fontId="28" fillId="0" borderId="23" xfId="2" applyFont="1" applyBorder="1" applyAlignment="1">
      <alignment horizontal="left"/>
    </xf>
    <xf numFmtId="0" fontId="28" fillId="0" borderId="0" xfId="2" applyFont="1" applyAlignment="1">
      <alignment horizontal="left"/>
    </xf>
    <xf numFmtId="20" fontId="27" fillId="0" borderId="0" xfId="2" applyNumberFormat="1" applyFont="1" applyAlignment="1">
      <alignment horizontal="center" shrinkToFit="1"/>
    </xf>
    <xf numFmtId="20" fontId="27" fillId="0" borderId="6" xfId="2" applyNumberFormat="1" applyFont="1" applyBorder="1" applyAlignment="1">
      <alignment horizontal="center" shrinkToFit="1"/>
    </xf>
    <xf numFmtId="20" fontId="27" fillId="0" borderId="21" xfId="2" applyNumberFormat="1" applyFont="1" applyBorder="1" applyAlignment="1">
      <alignment horizontal="center" shrinkToFit="1"/>
    </xf>
    <xf numFmtId="175" fontId="24" fillId="7" borderId="7" xfId="2" applyNumberFormat="1" applyFont="1" applyFill="1" applyBorder="1" applyAlignment="1">
      <alignment horizontal="left" vertical="center" wrapText="1"/>
    </xf>
    <xf numFmtId="175" fontId="24" fillId="7" borderId="4" xfId="2" applyNumberFormat="1" applyFont="1" applyFill="1" applyBorder="1" applyAlignment="1">
      <alignment horizontal="left" vertical="center" wrapText="1"/>
    </xf>
    <xf numFmtId="175" fontId="24" fillId="7" borderId="28" xfId="2" applyNumberFormat="1" applyFont="1" applyFill="1" applyBorder="1" applyAlignment="1">
      <alignment horizontal="left" vertical="center" wrapText="1"/>
    </xf>
    <xf numFmtId="0" fontId="27" fillId="0" borderId="0" xfId="2" applyFont="1" applyAlignment="1">
      <alignment horizontal="left" shrinkToFit="1"/>
    </xf>
    <xf numFmtId="0" fontId="27" fillId="0" borderId="21" xfId="2" applyFont="1" applyBorder="1" applyAlignment="1">
      <alignment horizontal="left" shrinkToFit="1"/>
    </xf>
    <xf numFmtId="0" fontId="27" fillId="0" borderId="6" xfId="2" applyFont="1" applyBorder="1" applyAlignment="1">
      <alignment horizontal="left" shrinkToFit="1"/>
    </xf>
    <xf numFmtId="0" fontId="26" fillId="0" borderId="31" xfId="2" applyFont="1" applyBorder="1" applyAlignment="1">
      <alignment horizontal="left" vertical="top"/>
    </xf>
    <xf numFmtId="0" fontId="26" fillId="0" borderId="30" xfId="2" applyFont="1" applyBorder="1" applyAlignment="1">
      <alignment horizontal="left" vertical="top"/>
    </xf>
    <xf numFmtId="0" fontId="27" fillId="0" borderId="20" xfId="1" applyFont="1" applyBorder="1" applyAlignment="1">
      <alignment horizontal="left" vertical="top"/>
    </xf>
    <xf numFmtId="0" fontId="27" fillId="0" borderId="0" xfId="1" applyFont="1" applyAlignment="1">
      <alignment horizontal="left" vertical="top"/>
    </xf>
    <xf numFmtId="0" fontId="27" fillId="0" borderId="30" xfId="2" applyFont="1" applyBorder="1" applyAlignment="1">
      <alignment horizontal="right" vertical="center" wrapText="1" shrinkToFit="1"/>
    </xf>
    <xf numFmtId="0" fontId="27" fillId="0" borderId="33" xfId="2" applyFont="1" applyBorder="1" applyAlignment="1">
      <alignment horizontal="right" vertical="center" wrapText="1" shrinkToFit="1"/>
    </xf>
    <xf numFmtId="0" fontId="27" fillId="0" borderId="0" xfId="2" applyFont="1" applyAlignment="1">
      <alignment horizontal="right" vertical="center" wrapText="1" shrinkToFit="1"/>
    </xf>
    <xf numFmtId="0" fontId="27" fillId="0" borderId="6" xfId="2" applyFont="1" applyBorder="1" applyAlignment="1">
      <alignment horizontal="right" vertical="center" wrapText="1" shrinkToFit="1"/>
    </xf>
    <xf numFmtId="0" fontId="27" fillId="0" borderId="0" xfId="1" applyFont="1" applyAlignment="1">
      <alignment horizontal="right" vertical="center" wrapText="1" shrinkToFit="1"/>
    </xf>
    <xf numFmtId="0" fontId="27" fillId="0" borderId="6" xfId="1" applyFont="1" applyBorder="1" applyAlignment="1">
      <alignment horizontal="right" vertical="center" wrapText="1" shrinkToFit="1"/>
    </xf>
    <xf numFmtId="49" fontId="24" fillId="7" borderId="4" xfId="2" applyNumberFormat="1" applyFont="1" applyFill="1" applyBorder="1" applyAlignment="1">
      <alignment vertical="center" wrapText="1"/>
    </xf>
    <xf numFmtId="0" fontId="24" fillId="7" borderId="4" xfId="2" applyFont="1" applyFill="1" applyBorder="1" applyAlignment="1">
      <alignment vertical="center" wrapText="1"/>
    </xf>
    <xf numFmtId="0" fontId="4" fillId="0" borderId="4" xfId="1" applyBorder="1" applyAlignment="1">
      <alignment vertical="center" wrapText="1"/>
    </xf>
    <xf numFmtId="0" fontId="4" fillId="0" borderId="3" xfId="1" applyBorder="1" applyAlignment="1">
      <alignment vertical="center" wrapText="1"/>
    </xf>
    <xf numFmtId="15" fontId="26" fillId="0" borderId="29" xfId="2" applyNumberFormat="1" applyFont="1" applyBorder="1" applyAlignment="1">
      <alignment horizontal="left" vertical="top"/>
    </xf>
    <xf numFmtId="15" fontId="26" fillId="0" borderId="30" xfId="2" applyNumberFormat="1" applyFont="1" applyBorder="1" applyAlignment="1">
      <alignment horizontal="left" vertical="top"/>
    </xf>
    <xf numFmtId="15" fontId="26" fillId="0" borderId="11" xfId="2" applyNumberFormat="1" applyFont="1" applyBorder="1" applyAlignment="1">
      <alignment horizontal="left" vertical="top"/>
    </xf>
    <xf numFmtId="15" fontId="26" fillId="0" borderId="0" xfId="2" applyNumberFormat="1" applyFont="1" applyAlignment="1">
      <alignment horizontal="left" vertical="top"/>
    </xf>
    <xf numFmtId="0" fontId="27" fillId="0" borderId="32" xfId="2" applyFont="1" applyBorder="1" applyAlignment="1">
      <alignment horizontal="right" vertical="center" wrapText="1" shrinkToFit="1"/>
    </xf>
    <xf numFmtId="0" fontId="27" fillId="0" borderId="21" xfId="1" applyFont="1" applyBorder="1" applyAlignment="1">
      <alignment horizontal="right" vertical="center" wrapText="1" shrinkToFit="1"/>
    </xf>
    <xf numFmtId="15" fontId="26" fillId="0" borderId="31" xfId="2" applyNumberFormat="1" applyFont="1" applyBorder="1" applyAlignment="1">
      <alignment horizontal="left" vertical="top"/>
    </xf>
    <xf numFmtId="0" fontId="27" fillId="0" borderId="21" xfId="2" applyFont="1" applyBorder="1" applyAlignment="1">
      <alignment horizontal="right" vertical="center" wrapText="1" shrinkToFit="1"/>
    </xf>
    <xf numFmtId="0" fontId="26" fillId="0" borderId="20" xfId="2" applyFont="1" applyBorder="1" applyAlignment="1">
      <alignment horizontal="left" vertical="top"/>
    </xf>
    <xf numFmtId="0" fontId="26" fillId="0" borderId="0" xfId="2" applyFont="1" applyAlignment="1">
      <alignment horizontal="left" vertical="top"/>
    </xf>
    <xf numFmtId="0" fontId="27" fillId="0" borderId="24" xfId="2" applyFont="1" applyBorder="1" applyAlignment="1">
      <alignment horizontal="center" shrinkToFit="1"/>
    </xf>
    <xf numFmtId="0" fontId="27" fillId="0" borderId="27" xfId="2" applyFont="1" applyBorder="1" applyAlignment="1">
      <alignment horizontal="center" shrinkToFit="1"/>
    </xf>
    <xf numFmtId="49" fontId="24" fillId="7" borderId="36" xfId="2" applyNumberFormat="1" applyFont="1" applyFill="1" applyBorder="1" applyAlignment="1">
      <alignment vertical="center" wrapText="1"/>
    </xf>
    <xf numFmtId="0" fontId="4" fillId="0" borderId="28" xfId="1" applyBorder="1" applyAlignment="1">
      <alignment vertical="center" wrapText="1"/>
    </xf>
    <xf numFmtId="49" fontId="24" fillId="7" borderId="36" xfId="2" applyNumberFormat="1" applyFont="1" applyFill="1" applyBorder="1" applyAlignment="1">
      <alignment horizontal="left" vertical="center" wrapText="1"/>
    </xf>
    <xf numFmtId="0" fontId="24" fillId="7" borderId="4" xfId="2" applyFont="1" applyFill="1" applyBorder="1" applyAlignment="1">
      <alignment horizontal="left" vertical="center"/>
    </xf>
    <xf numFmtId="0" fontId="24" fillId="7" borderId="28" xfId="2" applyFont="1" applyFill="1" applyBorder="1" applyAlignment="1">
      <alignment horizontal="left" vertical="center"/>
    </xf>
    <xf numFmtId="0" fontId="27" fillId="0" borderId="0" xfId="2" applyFont="1" applyAlignment="1">
      <alignment horizontal="right" vertical="center" wrapText="1"/>
    </xf>
    <xf numFmtId="0" fontId="27" fillId="0" borderId="6" xfId="2" applyFont="1" applyBorder="1" applyAlignment="1">
      <alignment horizontal="right" vertical="center" wrapText="1"/>
    </xf>
    <xf numFmtId="49" fontId="24" fillId="7" borderId="4" xfId="2" applyNumberFormat="1" applyFont="1" applyFill="1" applyBorder="1" applyAlignment="1">
      <alignment horizontal="left" vertical="center" wrapText="1"/>
    </xf>
    <xf numFmtId="0" fontId="27" fillId="0" borderId="21" xfId="2" applyFont="1" applyBorder="1" applyAlignment="1">
      <alignment horizontal="right" vertical="center" wrapText="1"/>
    </xf>
    <xf numFmtId="0" fontId="27" fillId="0" borderId="0" xfId="1" applyFont="1" applyAlignment="1">
      <alignment horizontal="right" vertical="center"/>
    </xf>
    <xf numFmtId="0" fontId="27" fillId="0" borderId="21" xfId="1" applyFont="1" applyBorder="1" applyAlignment="1">
      <alignment horizontal="right" vertical="center"/>
    </xf>
    <xf numFmtId="0" fontId="30" fillId="0" borderId="0" xfId="2" applyFont="1" applyAlignment="1">
      <alignment horizontal="left"/>
    </xf>
    <xf numFmtId="0" fontId="29" fillId="0" borderId="0" xfId="2" applyFont="1" applyAlignment="1">
      <alignment horizontal="left"/>
    </xf>
    <xf numFmtId="0" fontId="25" fillId="0" borderId="0" xfId="2" applyFont="1" applyAlignment="1">
      <alignment horizontal="left"/>
    </xf>
    <xf numFmtId="0" fontId="24" fillId="0" borderId="9" xfId="2" applyFont="1" applyBorder="1" applyAlignment="1">
      <alignment horizontal="center"/>
    </xf>
    <xf numFmtId="0" fontId="24" fillId="0" borderId="2" xfId="2" applyFont="1" applyBorder="1" applyAlignment="1">
      <alignment horizontal="center"/>
    </xf>
    <xf numFmtId="49" fontId="24" fillId="7" borderId="7" xfId="2" applyNumberFormat="1" applyFont="1" applyFill="1" applyBorder="1" applyAlignment="1">
      <alignment horizontal="left" vertical="center" wrapText="1"/>
    </xf>
    <xf numFmtId="15" fontId="26" fillId="0" borderId="10" xfId="2" applyNumberFormat="1" applyFont="1" applyBorder="1" applyAlignment="1">
      <alignment horizontal="left" vertical="top"/>
    </xf>
    <xf numFmtId="15" fontId="26" fillId="0" borderId="13" xfId="2" applyNumberFormat="1" applyFont="1" applyBorder="1" applyAlignment="1">
      <alignment horizontal="left" vertical="top"/>
    </xf>
    <xf numFmtId="0" fontId="27" fillId="0" borderId="13" xfId="2" applyFont="1" applyBorder="1" applyAlignment="1">
      <alignment horizontal="right" vertical="center" wrapText="1"/>
    </xf>
    <xf numFmtId="0" fontId="27" fillId="0" borderId="17" xfId="2" applyFont="1" applyBorder="1" applyAlignment="1">
      <alignment horizontal="right" vertical="center" wrapText="1"/>
    </xf>
    <xf numFmtId="0" fontId="26" fillId="0" borderId="18" xfId="2" applyFont="1" applyBorder="1" applyAlignment="1">
      <alignment horizontal="left" vertical="top"/>
    </xf>
    <xf numFmtId="0" fontId="26" fillId="0" borderId="13" xfId="2" applyFont="1" applyBorder="1" applyAlignment="1">
      <alignment horizontal="left" vertical="top"/>
    </xf>
    <xf numFmtId="0" fontId="27" fillId="0" borderId="13" xfId="1" applyFont="1" applyBorder="1" applyAlignment="1">
      <alignment horizontal="right" vertical="center"/>
    </xf>
    <xf numFmtId="0" fontId="27" fillId="0" borderId="17" xfId="1" applyFont="1" applyBorder="1" applyAlignment="1">
      <alignment horizontal="right" vertical="center"/>
    </xf>
    <xf numFmtId="0" fontId="27" fillId="0" borderId="14" xfId="2" applyFont="1" applyBorder="1" applyAlignment="1">
      <alignment horizontal="right" vertical="center" wrapText="1"/>
    </xf>
    <xf numFmtId="0" fontId="27" fillId="0" borderId="13" xfId="2" applyFont="1" applyBorder="1" applyAlignment="1">
      <alignment horizontal="right" vertical="center" wrapText="1" shrinkToFit="1"/>
    </xf>
    <xf numFmtId="0" fontId="27" fillId="0" borderId="14" xfId="2" applyFont="1" applyBorder="1" applyAlignment="1">
      <alignment horizontal="right" vertical="center" wrapText="1" shrinkToFit="1"/>
    </xf>
    <xf numFmtId="16" fontId="10" fillId="2" borderId="8" xfId="1" applyNumberFormat="1" applyFont="1" applyFill="1" applyBorder="1" applyAlignment="1">
      <alignment horizontal="center" vertical="center"/>
    </xf>
    <xf numFmtId="16" fontId="10" fillId="2" borderId="9" xfId="1" applyNumberFormat="1" applyFont="1" applyFill="1" applyBorder="1" applyAlignment="1">
      <alignment horizontal="center" vertical="center"/>
    </xf>
    <xf numFmtId="16" fontId="10" fillId="2" borderId="2" xfId="1" applyNumberFormat="1" applyFont="1" applyFill="1" applyBorder="1" applyAlignment="1">
      <alignment horizontal="center" vertical="center"/>
    </xf>
    <xf numFmtId="49" fontId="21" fillId="0" borderId="31" xfId="1" applyNumberFormat="1" applyFont="1" applyFill="1" applyBorder="1" applyAlignment="1">
      <alignment horizontal="center" vertical="center" shrinkToFit="1"/>
    </xf>
    <xf numFmtId="49" fontId="21" fillId="0" borderId="30" xfId="1" applyNumberFormat="1" applyFont="1" applyFill="1" applyBorder="1" applyAlignment="1">
      <alignment horizontal="center" vertical="center" shrinkToFit="1"/>
    </xf>
    <xf numFmtId="49" fontId="21" fillId="0" borderId="32" xfId="1" applyNumberFormat="1" applyFont="1" applyFill="1" applyBorder="1" applyAlignment="1">
      <alignment horizontal="center" vertical="center" shrinkToFit="1"/>
    </xf>
    <xf numFmtId="49" fontId="21" fillId="0" borderId="13" xfId="1" applyNumberFormat="1" applyFont="1" applyFill="1" applyBorder="1" applyAlignment="1">
      <alignment vertical="center" shrinkToFit="1"/>
    </xf>
    <xf numFmtId="49" fontId="21" fillId="0" borderId="17" xfId="1" applyNumberFormat="1" applyFont="1" applyFill="1" applyBorder="1" applyAlignment="1">
      <alignment vertical="center" shrinkToFit="1"/>
    </xf>
    <xf numFmtId="49" fontId="21" fillId="0" borderId="18" xfId="1" applyNumberFormat="1" applyFont="1" applyFill="1" applyBorder="1" applyAlignment="1">
      <alignment vertical="center" shrinkToFit="1"/>
    </xf>
    <xf numFmtId="49" fontId="21" fillId="0" borderId="14" xfId="1" applyNumberFormat="1" applyFont="1" applyFill="1" applyBorder="1" applyAlignment="1">
      <alignment vertical="center" shrinkToFit="1"/>
    </xf>
    <xf numFmtId="49" fontId="21" fillId="0" borderId="20" xfId="1" applyNumberFormat="1" applyFont="1" applyFill="1" applyBorder="1" applyAlignment="1">
      <alignment horizontal="left" vertical="center" shrinkToFit="1"/>
    </xf>
    <xf numFmtId="49" fontId="21" fillId="0" borderId="0" xfId="1" applyNumberFormat="1" applyFont="1" applyFill="1" applyAlignment="1">
      <alignment vertical="center" shrinkToFit="1"/>
    </xf>
    <xf numFmtId="49" fontId="22" fillId="0" borderId="41" xfId="1" applyNumberFormat="1" applyFont="1" applyFill="1" applyBorder="1" applyAlignment="1">
      <alignment horizontal="center" vertical="center" shrinkToFit="1"/>
    </xf>
    <xf numFmtId="49" fontId="22" fillId="0" borderId="42" xfId="1" applyNumberFormat="1" applyFont="1" applyFill="1" applyBorder="1" applyAlignment="1">
      <alignment horizontal="left" vertical="center" shrinkToFit="1"/>
    </xf>
    <xf numFmtId="49" fontId="22" fillId="0" borderId="40" xfId="1" applyNumberFormat="1" applyFont="1" applyFill="1" applyBorder="1" applyAlignment="1">
      <alignment horizontal="center" vertical="center" shrinkToFit="1"/>
    </xf>
    <xf numFmtId="49" fontId="21" fillId="0" borderId="0" xfId="1" applyNumberFormat="1" applyFont="1" applyFill="1" applyAlignment="1">
      <alignment horizontal="left" vertical="center" shrinkToFit="1"/>
    </xf>
    <xf numFmtId="49" fontId="21" fillId="0" borderId="21" xfId="1" applyNumberFormat="1" applyFont="1" applyFill="1" applyBorder="1" applyAlignment="1">
      <alignment horizontal="center" vertical="center" shrinkToFit="1"/>
    </xf>
    <xf numFmtId="49" fontId="21" fillId="0" borderId="6" xfId="1" applyNumberFormat="1" applyFont="1" applyFill="1" applyBorder="1" applyAlignment="1">
      <alignment horizontal="center" vertical="center" shrinkToFit="1"/>
    </xf>
    <xf numFmtId="20" fontId="21" fillId="0" borderId="0" xfId="1" applyNumberFormat="1" applyFont="1" applyFill="1" applyAlignment="1">
      <alignment horizontal="center" vertical="center" shrinkToFit="1"/>
    </xf>
    <xf numFmtId="20" fontId="21" fillId="0" borderId="21" xfId="1" applyNumberFormat="1" applyFont="1" applyFill="1" applyBorder="1" applyAlignment="1">
      <alignment horizontal="center" vertical="center" shrinkToFit="1"/>
    </xf>
    <xf numFmtId="49" fontId="21" fillId="0" borderId="24" xfId="1" applyNumberFormat="1" applyFont="1" applyFill="1" applyBorder="1" applyAlignment="1">
      <alignment horizontal="left" vertical="center" shrinkToFit="1"/>
    </xf>
    <xf numFmtId="20" fontId="21" fillId="0" borderId="25" xfId="1" applyNumberFormat="1" applyFont="1" applyFill="1" applyBorder="1" applyAlignment="1">
      <alignment horizontal="center" vertical="center" shrinkToFit="1"/>
    </xf>
    <xf numFmtId="49" fontId="21" fillId="0" borderId="26" xfId="1" applyNumberFormat="1" applyFont="1" applyFill="1" applyBorder="1" applyAlignment="1">
      <alignment horizontal="left" vertical="center" shrinkToFit="1"/>
    </xf>
    <xf numFmtId="20" fontId="21" fillId="0" borderId="27" xfId="1" applyNumberFormat="1" applyFont="1" applyFill="1" applyBorder="1" applyAlignment="1">
      <alignment horizontal="center" vertical="center" shrinkToFit="1"/>
    </xf>
    <xf numFmtId="49" fontId="21" fillId="0" borderId="30" xfId="1" applyNumberFormat="1" applyFont="1" applyFill="1" applyBorder="1" applyAlignment="1">
      <alignment vertical="center" shrinkToFit="1"/>
    </xf>
    <xf numFmtId="49" fontId="21" fillId="0" borderId="32" xfId="1" applyNumberFormat="1" applyFont="1" applyFill="1" applyBorder="1" applyAlignment="1">
      <alignment vertical="center" shrinkToFit="1"/>
    </xf>
    <xf numFmtId="49" fontId="21" fillId="0" borderId="31" xfId="1" applyNumberFormat="1" applyFont="1" applyFill="1" applyBorder="1" applyAlignment="1">
      <alignment vertical="center" shrinkToFit="1"/>
    </xf>
    <xf numFmtId="49" fontId="21" fillId="0" borderId="33" xfId="1" applyNumberFormat="1" applyFont="1" applyFill="1" applyBorder="1" applyAlignment="1">
      <alignment vertical="center" shrinkToFit="1"/>
    </xf>
    <xf numFmtId="49" fontId="21" fillId="0" borderId="0" xfId="1" applyNumberFormat="1" applyFont="1" applyFill="1" applyAlignment="1">
      <alignment horizontal="center" vertical="center" shrinkToFit="1"/>
    </xf>
    <xf numFmtId="49" fontId="21" fillId="0" borderId="21" xfId="1" applyNumberFormat="1" applyFont="1" applyFill="1" applyBorder="1" applyAlignment="1">
      <alignment vertical="center" shrinkToFit="1"/>
    </xf>
    <xf numFmtId="49" fontId="21" fillId="0" borderId="20" xfId="1" applyNumberFormat="1" applyFont="1" applyFill="1" applyBorder="1" applyAlignment="1">
      <alignment vertical="center" shrinkToFit="1"/>
    </xf>
    <xf numFmtId="49" fontId="21" fillId="0" borderId="6" xfId="1" applyNumberFormat="1" applyFont="1" applyFill="1" applyBorder="1" applyAlignment="1">
      <alignment vertical="center" shrinkToFit="1"/>
    </xf>
    <xf numFmtId="49" fontId="21" fillId="0" borderId="11" xfId="1" applyNumberFormat="1" applyFont="1" applyFill="1" applyBorder="1" applyAlignment="1">
      <alignment vertical="center" shrinkToFit="1"/>
    </xf>
    <xf numFmtId="49" fontId="21" fillId="0" borderId="11" xfId="1" applyNumberFormat="1" applyFont="1" applyFill="1" applyBorder="1" applyAlignment="1">
      <alignment horizontal="left" vertical="center" shrinkToFit="1"/>
    </xf>
    <xf numFmtId="49" fontId="21" fillId="0" borderId="23" xfId="1" applyNumberFormat="1" applyFont="1" applyFill="1" applyBorder="1" applyAlignment="1">
      <alignment horizontal="left" vertical="center" shrinkToFit="1"/>
    </xf>
    <xf numFmtId="49" fontId="21" fillId="0" borderId="29" xfId="1" applyNumberFormat="1" applyFont="1" applyFill="1" applyBorder="1" applyAlignment="1">
      <alignment vertical="center" shrinkToFit="1"/>
    </xf>
    <xf numFmtId="49" fontId="22" fillId="0" borderId="11" xfId="1" applyNumberFormat="1" applyFont="1" applyFill="1" applyBorder="1" applyAlignment="1">
      <alignment horizontal="left" vertical="center" shrinkToFit="1"/>
    </xf>
    <xf numFmtId="49" fontId="22" fillId="0" borderId="21" xfId="1" applyNumberFormat="1" applyFont="1" applyFill="1" applyBorder="1" applyAlignment="1">
      <alignment horizontal="center" vertical="center" shrinkToFit="1"/>
    </xf>
    <xf numFmtId="49" fontId="22" fillId="0" borderId="20" xfId="1" applyNumberFormat="1" applyFont="1" applyFill="1" applyBorder="1" applyAlignment="1">
      <alignment horizontal="left" vertical="center" shrinkToFit="1"/>
    </xf>
    <xf numFmtId="49" fontId="22" fillId="0" borderId="6" xfId="1" applyNumberFormat="1" applyFont="1" applyFill="1" applyBorder="1" applyAlignment="1">
      <alignment horizontal="center" vertical="center" shrinkToFit="1"/>
    </xf>
    <xf numFmtId="49" fontId="11" fillId="0" borderId="10" xfId="1" applyNumberFormat="1" applyFont="1" applyFill="1" applyBorder="1" applyAlignment="1">
      <alignment horizontal="center" vertical="center" shrinkToFit="1"/>
    </xf>
    <xf numFmtId="49" fontId="11" fillId="0" borderId="13" xfId="1" applyNumberFormat="1" applyFont="1" applyFill="1" applyBorder="1" applyAlignment="1">
      <alignment horizontal="center" vertical="center" shrinkToFit="1"/>
    </xf>
    <xf numFmtId="49" fontId="11" fillId="0" borderId="17" xfId="1" applyNumberFormat="1" applyFont="1" applyFill="1" applyBorder="1" applyAlignment="1">
      <alignment horizontal="center" vertical="center" shrinkToFit="1"/>
    </xf>
    <xf numFmtId="49" fontId="11" fillId="0" borderId="18" xfId="1" applyNumberFormat="1" applyFont="1" applyFill="1" applyBorder="1" applyAlignment="1">
      <alignment horizontal="center" vertical="center" shrinkToFit="1"/>
    </xf>
    <xf numFmtId="0" fontId="0" fillId="0" borderId="13" xfId="0" applyFill="1" applyBorder="1" applyAlignment="1">
      <alignment horizontal="center" vertical="center" shrinkToFit="1"/>
    </xf>
    <xf numFmtId="0" fontId="0" fillId="0" borderId="17" xfId="0" applyFill="1" applyBorder="1" applyAlignment="1">
      <alignment horizontal="center" vertical="center" shrinkToFit="1"/>
    </xf>
    <xf numFmtId="0" fontId="12" fillId="0" borderId="18" xfId="1" applyFont="1" applyFill="1" applyBorder="1"/>
    <xf numFmtId="0" fontId="0" fillId="0" borderId="13" xfId="0" applyFill="1" applyBorder="1"/>
    <xf numFmtId="0" fontId="0" fillId="0" borderId="17" xfId="0" applyFill="1" applyBorder="1"/>
    <xf numFmtId="49" fontId="11" fillId="0" borderId="18" xfId="1" applyNumberFormat="1" applyFont="1" applyFill="1" applyBorder="1" applyAlignment="1">
      <alignment horizontal="centerContinuous" vertical="center" shrinkToFit="1"/>
    </xf>
    <xf numFmtId="49" fontId="11" fillId="0" borderId="13" xfId="1" applyNumberFormat="1" applyFont="1" applyFill="1" applyBorder="1" applyAlignment="1">
      <alignment horizontal="centerContinuous" vertical="center" shrinkToFit="1"/>
    </xf>
    <xf numFmtId="49" fontId="11" fillId="0" borderId="14" xfId="1" applyNumberFormat="1" applyFont="1" applyFill="1" applyBorder="1" applyAlignment="1">
      <alignment horizontal="centerContinuous" vertical="center" shrinkToFit="1"/>
    </xf>
    <xf numFmtId="171" fontId="11" fillId="0" borderId="11" xfId="1" applyNumberFormat="1" applyFont="1" applyFill="1" applyBorder="1" applyAlignment="1">
      <alignment horizontal="left" vertical="center" shrinkToFit="1"/>
    </xf>
    <xf numFmtId="49" fontId="11" fillId="0" borderId="0" xfId="1" applyNumberFormat="1" applyFont="1" applyFill="1" applyAlignment="1">
      <alignment vertical="center" shrinkToFit="1"/>
    </xf>
    <xf numFmtId="172" fontId="14" fillId="0" borderId="21" xfId="1" applyNumberFormat="1" applyFont="1" applyFill="1" applyBorder="1" applyAlignment="1">
      <alignment vertical="center" shrinkToFit="1"/>
    </xf>
    <xf numFmtId="49" fontId="11" fillId="0" borderId="20" xfId="1" applyNumberFormat="1" applyFont="1" applyFill="1" applyBorder="1" applyAlignment="1">
      <alignment vertical="center" shrinkToFit="1"/>
    </xf>
    <xf numFmtId="49" fontId="11" fillId="0" borderId="21" xfId="1" applyNumberFormat="1" applyFont="1" applyFill="1" applyBorder="1" applyAlignment="1">
      <alignment vertical="center" shrinkToFit="1"/>
    </xf>
    <xf numFmtId="171" fontId="11" fillId="0" borderId="20" xfId="1" applyNumberFormat="1" applyFont="1" applyFill="1" applyBorder="1" applyAlignment="1">
      <alignment horizontal="left" vertical="center" shrinkToFit="1"/>
    </xf>
    <xf numFmtId="172" fontId="15" fillId="0" borderId="21" xfId="1" applyNumberFormat="1" applyFont="1" applyFill="1" applyBorder="1" applyAlignment="1">
      <alignment vertical="center" shrinkToFit="1"/>
    </xf>
    <xf numFmtId="0" fontId="12" fillId="0" borderId="20" xfId="1" applyFont="1" applyFill="1" applyBorder="1"/>
    <xf numFmtId="16" fontId="12" fillId="0" borderId="0" xfId="1" applyNumberFormat="1" applyFont="1" applyFill="1"/>
    <xf numFmtId="0" fontId="12" fillId="0" borderId="21" xfId="1" applyFont="1" applyFill="1" applyBorder="1"/>
    <xf numFmtId="49" fontId="11" fillId="0" borderId="6" xfId="1" applyNumberFormat="1" applyFont="1" applyFill="1" applyBorder="1" applyAlignment="1">
      <alignment vertical="center" shrinkToFit="1"/>
    </xf>
    <xf numFmtId="49" fontId="11" fillId="0" borderId="23" xfId="1" applyNumberFormat="1" applyFont="1" applyFill="1" applyBorder="1" applyAlignment="1">
      <alignment horizontal="left" vertical="center" shrinkToFit="1"/>
    </xf>
    <xf numFmtId="49" fontId="11" fillId="0" borderId="24" xfId="1" applyNumberFormat="1" applyFont="1" applyFill="1" applyBorder="1" applyAlignment="1">
      <alignment horizontal="left" vertical="center" shrinkToFit="1"/>
    </xf>
    <xf numFmtId="20" fontId="15" fillId="0" borderId="25" xfId="1" applyNumberFormat="1" applyFont="1" applyFill="1" applyBorder="1" applyAlignment="1">
      <alignment horizontal="center" vertical="center" shrinkToFit="1"/>
    </xf>
    <xf numFmtId="49" fontId="11" fillId="0" borderId="26" xfId="1" applyNumberFormat="1" applyFont="1" applyFill="1" applyBorder="1" applyAlignment="1">
      <alignment horizontal="left" vertical="center" shrinkToFit="1"/>
    </xf>
    <xf numFmtId="20" fontId="11" fillId="0" borderId="24" xfId="1" applyNumberFormat="1" applyFont="1" applyFill="1" applyBorder="1" applyAlignment="1">
      <alignment horizontal="left" vertical="center" shrinkToFit="1"/>
    </xf>
    <xf numFmtId="20" fontId="11" fillId="0" borderId="25" xfId="1" applyNumberFormat="1" applyFont="1" applyFill="1" applyBorder="1" applyAlignment="1">
      <alignment horizontal="left" vertical="center" shrinkToFit="1"/>
    </xf>
    <xf numFmtId="20" fontId="14" fillId="0" borderId="25" xfId="1" applyNumberFormat="1" applyFont="1" applyFill="1" applyBorder="1" applyAlignment="1">
      <alignment horizontal="center" vertical="center" shrinkToFit="1"/>
    </xf>
    <xf numFmtId="0" fontId="12" fillId="0" borderId="26" xfId="1" applyFont="1" applyFill="1" applyBorder="1"/>
    <xf numFmtId="0" fontId="12" fillId="0" borderId="24" xfId="1" applyFont="1" applyFill="1" applyBorder="1"/>
    <xf numFmtId="0" fontId="12" fillId="0" borderId="25" xfId="1" applyFont="1" applyFill="1" applyBorder="1"/>
    <xf numFmtId="20" fontId="11" fillId="0" borderId="27" xfId="1" applyNumberFormat="1" applyFont="1" applyFill="1" applyBorder="1" applyAlignment="1">
      <alignment horizontal="left" vertical="center" shrinkToFit="1"/>
    </xf>
    <xf numFmtId="49" fontId="11" fillId="0" borderId="29" xfId="1" applyNumberFormat="1" applyFont="1" applyFill="1" applyBorder="1" applyAlignment="1">
      <alignment horizontal="centerContinuous" vertical="center" shrinkToFit="1"/>
    </xf>
    <xf numFmtId="49" fontId="11" fillId="0" borderId="30" xfId="1" applyNumberFormat="1" applyFont="1" applyFill="1" applyBorder="1" applyAlignment="1">
      <alignment vertical="center" shrinkToFit="1"/>
    </xf>
    <xf numFmtId="49" fontId="11" fillId="0" borderId="31" xfId="1" applyNumberFormat="1" applyFont="1" applyFill="1" applyBorder="1" applyAlignment="1">
      <alignment horizontal="center" vertical="center" shrinkToFit="1"/>
    </xf>
    <xf numFmtId="49" fontId="11" fillId="0" borderId="30" xfId="1" applyNumberFormat="1" applyFont="1" applyFill="1" applyBorder="1" applyAlignment="1">
      <alignment horizontal="center" vertical="center" shrinkToFit="1"/>
    </xf>
    <xf numFmtId="49" fontId="11" fillId="0" borderId="32" xfId="1" applyNumberFormat="1" applyFont="1" applyFill="1" applyBorder="1" applyAlignment="1">
      <alignment horizontal="center" vertical="center" shrinkToFit="1"/>
    </xf>
    <xf numFmtId="49" fontId="11" fillId="0" borderId="31" xfId="1" applyNumberFormat="1" applyFont="1" applyFill="1" applyBorder="1" applyAlignment="1">
      <alignment vertical="center" shrinkToFit="1"/>
    </xf>
    <xf numFmtId="49" fontId="11" fillId="0" borderId="33" xfId="1" applyNumberFormat="1" applyFont="1" applyFill="1" applyBorder="1" applyAlignment="1">
      <alignment horizontal="center" vertical="center" shrinkToFit="1"/>
    </xf>
    <xf numFmtId="49" fontId="11" fillId="0" borderId="11" xfId="1" applyNumberFormat="1" applyFont="1" applyFill="1" applyBorder="1" applyAlignment="1">
      <alignment vertical="center" shrinkToFit="1"/>
    </xf>
    <xf numFmtId="172" fontId="15" fillId="0" borderId="6" xfId="1" applyNumberFormat="1" applyFont="1" applyFill="1" applyBorder="1" applyAlignment="1">
      <alignment vertical="center" shrinkToFit="1"/>
    </xf>
    <xf numFmtId="20" fontId="15" fillId="0" borderId="27" xfId="1" applyNumberFormat="1" applyFont="1" applyFill="1" applyBorder="1" applyAlignment="1">
      <alignment horizontal="center" vertical="center" shrinkToFit="1"/>
    </xf>
    <xf numFmtId="49" fontId="11" fillId="0" borderId="29" xfId="1" applyNumberFormat="1" applyFont="1" applyFill="1" applyBorder="1" applyAlignment="1">
      <alignment horizontal="center" vertical="center" shrinkToFit="1"/>
    </xf>
    <xf numFmtId="49" fontId="11" fillId="0" borderId="31" xfId="1" applyNumberFormat="1" applyFont="1" applyFill="1" applyBorder="1" applyAlignment="1">
      <alignment horizontal="centerContinuous" vertical="center" shrinkToFit="1"/>
    </xf>
    <xf numFmtId="49" fontId="11" fillId="0" borderId="30" xfId="1" applyNumberFormat="1" applyFont="1" applyFill="1" applyBorder="1" applyAlignment="1">
      <alignment horizontal="centerContinuous" vertical="center" shrinkToFit="1"/>
    </xf>
    <xf numFmtId="49" fontId="11" fillId="0" borderId="32" xfId="1" applyNumberFormat="1" applyFont="1" applyFill="1" applyBorder="1" applyAlignment="1">
      <alignment horizontal="centerContinuous" vertical="center" shrinkToFit="1"/>
    </xf>
    <xf numFmtId="49" fontId="14" fillId="0" borderId="31" xfId="1" applyNumberFormat="1" applyFont="1" applyFill="1" applyBorder="1" applyAlignment="1">
      <alignment horizontal="center" vertical="center" shrinkToFit="1"/>
    </xf>
    <xf numFmtId="49" fontId="14" fillId="0" borderId="30" xfId="1" applyNumberFormat="1" applyFont="1" applyFill="1" applyBorder="1" applyAlignment="1">
      <alignment horizontal="center" vertical="center" shrinkToFit="1"/>
    </xf>
    <xf numFmtId="49" fontId="14" fillId="0" borderId="32" xfId="1" applyNumberFormat="1" applyFont="1" applyFill="1" applyBorder="1" applyAlignment="1">
      <alignment horizontal="center" vertical="center" shrinkToFit="1"/>
    </xf>
    <xf numFmtId="49" fontId="11" fillId="0" borderId="33" xfId="1" applyNumberFormat="1" applyFont="1" applyFill="1" applyBorder="1" applyAlignment="1">
      <alignment vertical="center" shrinkToFit="1"/>
    </xf>
    <xf numFmtId="49" fontId="16" fillId="0" borderId="0" xfId="1" applyNumberFormat="1" applyFont="1" applyFill="1" applyAlignment="1">
      <alignment vertical="center" shrinkToFit="1"/>
    </xf>
    <xf numFmtId="171" fontId="14" fillId="0" borderId="20" xfId="1" applyNumberFormat="1" applyFont="1" applyFill="1" applyBorder="1" applyAlignment="1">
      <alignment horizontal="left" vertical="center" shrinkToFit="1"/>
    </xf>
    <xf numFmtId="49" fontId="14" fillId="0" borderId="0" xfId="1" applyNumberFormat="1" applyFont="1" applyFill="1" applyAlignment="1">
      <alignment vertical="center" shrinkToFit="1"/>
    </xf>
    <xf numFmtId="20" fontId="15" fillId="0" borderId="24" xfId="1" applyNumberFormat="1" applyFont="1" applyFill="1" applyBorder="1" applyAlignment="1">
      <alignment horizontal="center" vertical="center" shrinkToFit="1"/>
    </xf>
    <xf numFmtId="49" fontId="14" fillId="0" borderId="26" xfId="1" applyNumberFormat="1" applyFont="1" applyFill="1" applyBorder="1" applyAlignment="1">
      <alignment horizontal="left" vertical="center" shrinkToFit="1"/>
    </xf>
    <xf numFmtId="49" fontId="14" fillId="0" borderId="24" xfId="1" applyNumberFormat="1" applyFont="1" applyFill="1" applyBorder="1" applyAlignment="1">
      <alignment horizontal="left" vertical="center" shrinkToFit="1"/>
    </xf>
    <xf numFmtId="49" fontId="11" fillId="0" borderId="20" xfId="1" applyNumberFormat="1" applyFont="1" applyFill="1" applyBorder="1" applyAlignment="1">
      <alignment horizontal="centerContinuous" vertical="center" shrinkToFit="1"/>
    </xf>
    <xf numFmtId="49" fontId="11" fillId="0" borderId="0" xfId="1" applyNumberFormat="1" applyFont="1" applyFill="1" applyAlignment="1">
      <alignment horizontal="centerContinuous" vertical="center" shrinkToFit="1"/>
    </xf>
    <xf numFmtId="49" fontId="11" fillId="0" borderId="6" xfId="1" applyNumberFormat="1" applyFont="1" applyFill="1" applyBorder="1" applyAlignment="1">
      <alignment horizontal="centerContinuous" vertical="center" shrinkToFit="1"/>
    </xf>
    <xf numFmtId="20" fontId="14" fillId="0" borderId="24" xfId="1" applyNumberFormat="1" applyFont="1" applyFill="1" applyBorder="1" applyAlignment="1">
      <alignment horizontal="center" vertical="center" shrinkToFit="1"/>
    </xf>
    <xf numFmtId="49" fontId="11" fillId="0" borderId="21" xfId="1" applyNumberFormat="1" applyFont="1" applyFill="1" applyBorder="1" applyAlignment="1">
      <alignment horizontal="centerContinuous" vertical="center" shrinkToFit="1"/>
    </xf>
    <xf numFmtId="49" fontId="11" fillId="0" borderId="32" xfId="1" applyNumberFormat="1" applyFont="1" applyFill="1" applyBorder="1" applyAlignment="1">
      <alignment vertical="center" shrinkToFit="1"/>
    </xf>
    <xf numFmtId="171" fontId="11" fillId="0" borderId="0" xfId="1" applyNumberFormat="1" applyFont="1" applyFill="1" applyAlignment="1">
      <alignment horizontal="left" vertical="center" shrinkToFit="1"/>
    </xf>
    <xf numFmtId="172" fontId="15" fillId="0" borderId="0" xfId="1" applyNumberFormat="1" applyFont="1" applyFill="1" applyAlignment="1">
      <alignment vertical="center" shrinkToFit="1"/>
    </xf>
    <xf numFmtId="20" fontId="11" fillId="0" borderId="25" xfId="1" applyNumberFormat="1" applyFont="1" applyFill="1" applyBorder="1" applyAlignment="1">
      <alignment horizontal="right" vertical="center" shrinkToFit="1"/>
    </xf>
    <xf numFmtId="20" fontId="11" fillId="0" borderId="24" xfId="1" quotePrefix="1" applyNumberFormat="1" applyFont="1" applyFill="1" applyBorder="1" applyAlignment="1">
      <alignment horizontal="left" vertical="center" shrinkToFit="1"/>
    </xf>
    <xf numFmtId="20" fontId="11" fillId="0" borderId="25" xfId="1" quotePrefix="1" applyNumberFormat="1" applyFont="1" applyFill="1" applyBorder="1" applyAlignment="1">
      <alignment horizontal="left" vertical="center" shrinkToFit="1"/>
    </xf>
    <xf numFmtId="49" fontId="11" fillId="0" borderId="29" xfId="1" applyNumberFormat="1" applyFont="1" applyFill="1" applyBorder="1" applyAlignment="1">
      <alignment horizontal="left" vertical="center" shrinkToFit="1"/>
    </xf>
    <xf numFmtId="20" fontId="11" fillId="0" borderId="30" xfId="1" applyNumberFormat="1" applyFont="1" applyFill="1" applyBorder="1" applyAlignment="1">
      <alignment horizontal="left" vertical="center" shrinkToFit="1"/>
    </xf>
    <xf numFmtId="49" fontId="11" fillId="0" borderId="31" xfId="1" applyNumberFormat="1" applyFont="1" applyFill="1" applyBorder="1" applyAlignment="1">
      <alignment horizontal="left" vertical="center" shrinkToFit="1"/>
    </xf>
    <xf numFmtId="49" fontId="11" fillId="0" borderId="30" xfId="1" applyNumberFormat="1" applyFont="1" applyFill="1" applyBorder="1" applyAlignment="1">
      <alignment horizontal="left" vertical="center" shrinkToFit="1"/>
    </xf>
    <xf numFmtId="20" fontId="15" fillId="0" borderId="32" xfId="1" applyNumberFormat="1" applyFont="1" applyFill="1" applyBorder="1" applyAlignment="1">
      <alignment horizontal="center" vertical="center" shrinkToFit="1"/>
    </xf>
    <xf numFmtId="20" fontId="11" fillId="0" borderId="32" xfId="1" applyNumberFormat="1" applyFont="1" applyFill="1" applyBorder="1" applyAlignment="1">
      <alignment horizontal="right" vertical="center" shrinkToFit="1"/>
    </xf>
    <xf numFmtId="20" fontId="15" fillId="0" borderId="30" xfId="1" applyNumberFormat="1" applyFont="1" applyFill="1" applyBorder="1" applyAlignment="1">
      <alignment horizontal="center" vertical="center" shrinkToFit="1"/>
    </xf>
    <xf numFmtId="20" fontId="11" fillId="0" borderId="30" xfId="1" quotePrefix="1" applyNumberFormat="1" applyFont="1" applyFill="1" applyBorder="1" applyAlignment="1">
      <alignment horizontal="left" vertical="center" shrinkToFit="1"/>
    </xf>
    <xf numFmtId="20" fontId="11" fillId="0" borderId="32" xfId="1" quotePrefix="1" applyNumberFormat="1" applyFont="1" applyFill="1" applyBorder="1" applyAlignment="1">
      <alignment horizontal="left" vertical="center" shrinkToFit="1"/>
    </xf>
    <xf numFmtId="20" fontId="15" fillId="0" borderId="33" xfId="1" applyNumberFormat="1" applyFont="1" applyFill="1" applyBorder="1" applyAlignment="1">
      <alignment horizontal="center" vertical="center" shrinkToFit="1"/>
    </xf>
    <xf numFmtId="49" fontId="11" fillId="0" borderId="11" xfId="1" applyNumberFormat="1" applyFont="1" applyFill="1" applyBorder="1" applyAlignment="1">
      <alignment horizontal="left" vertical="center" shrinkToFit="1"/>
    </xf>
    <xf numFmtId="20" fontId="11" fillId="0" borderId="0" xfId="1" applyNumberFormat="1" applyFont="1" applyFill="1" applyAlignment="1">
      <alignment horizontal="left" vertical="center" shrinkToFit="1"/>
    </xf>
    <xf numFmtId="49" fontId="11" fillId="0" borderId="20" xfId="1" applyNumberFormat="1" applyFont="1" applyFill="1" applyBorder="1" applyAlignment="1">
      <alignment horizontal="left" vertical="center" shrinkToFit="1"/>
    </xf>
    <xf numFmtId="49" fontId="11" fillId="0" borderId="0" xfId="1" applyNumberFormat="1" applyFont="1" applyFill="1" applyAlignment="1">
      <alignment horizontal="left" vertical="center" shrinkToFit="1"/>
    </xf>
    <xf numFmtId="20" fontId="15" fillId="0" borderId="21" xfId="1" applyNumberFormat="1" applyFont="1" applyFill="1" applyBorder="1" applyAlignment="1">
      <alignment horizontal="center" vertical="center" shrinkToFit="1"/>
    </xf>
    <xf numFmtId="20" fontId="11" fillId="0" borderId="21" xfId="1" applyNumberFormat="1" applyFont="1" applyFill="1" applyBorder="1" applyAlignment="1">
      <alignment horizontal="right" vertical="center" shrinkToFit="1"/>
    </xf>
    <xf numFmtId="20" fontId="15" fillId="0" borderId="0" xfId="1" applyNumberFormat="1" applyFont="1" applyFill="1" applyAlignment="1">
      <alignment horizontal="center" vertical="center" shrinkToFit="1"/>
    </xf>
    <xf numFmtId="20" fontId="11" fillId="0" borderId="0" xfId="1" quotePrefix="1" applyNumberFormat="1" applyFont="1" applyFill="1" applyAlignment="1">
      <alignment horizontal="left" vertical="center" shrinkToFit="1"/>
    </xf>
    <xf numFmtId="20" fontId="11" fillId="0" borderId="21" xfId="1" quotePrefix="1" applyNumberFormat="1" applyFont="1" applyFill="1" applyBorder="1" applyAlignment="1">
      <alignment horizontal="left" vertical="center" shrinkToFit="1"/>
    </xf>
    <xf numFmtId="20" fontId="15" fillId="0" borderId="6" xfId="1" applyNumberFormat="1" applyFont="1" applyFill="1" applyBorder="1" applyAlignment="1">
      <alignment horizontal="center" vertical="center" shrinkToFit="1"/>
    </xf>
    <xf numFmtId="49" fontId="11" fillId="0" borderId="33" xfId="1" applyNumberFormat="1" applyFont="1" applyFill="1" applyBorder="1" applyAlignment="1">
      <alignment horizontal="centerContinuous" vertical="center" shrinkToFit="1"/>
    </xf>
    <xf numFmtId="20" fontId="11" fillId="0" borderId="24" xfId="1" applyNumberFormat="1" applyFont="1" applyFill="1" applyBorder="1" applyAlignment="1">
      <alignment horizontal="right" vertical="center" shrinkToFit="1"/>
    </xf>
    <xf numFmtId="49" fontId="11" fillId="0" borderId="24" xfId="1" applyNumberFormat="1" applyFont="1" applyFill="1" applyBorder="1" applyAlignment="1">
      <alignment vertical="center" shrinkToFit="1"/>
    </xf>
    <xf numFmtId="20" fontId="15" fillId="0" borderId="25" xfId="1" applyNumberFormat="1" applyFont="1" applyFill="1" applyBorder="1" applyAlignment="1">
      <alignment vertical="center" shrinkToFit="1"/>
    </xf>
    <xf numFmtId="20" fontId="11" fillId="0" borderId="21" xfId="1" applyNumberFormat="1" applyFont="1" applyFill="1" applyBorder="1" applyAlignment="1">
      <alignment horizontal="left" vertical="center" shrinkToFit="1"/>
    </xf>
    <xf numFmtId="20" fontId="11" fillId="0" borderId="0" xfId="1" applyNumberFormat="1" applyFont="1" applyFill="1" applyAlignment="1">
      <alignment horizontal="right" vertical="center" shrinkToFit="1"/>
    </xf>
    <xf numFmtId="20" fontId="15" fillId="0" borderId="21" xfId="1" applyNumberFormat="1" applyFont="1" applyFill="1" applyBorder="1" applyAlignment="1">
      <alignment vertical="center" shrinkToFit="1"/>
    </xf>
    <xf numFmtId="20" fontId="11" fillId="0" borderId="6" xfId="1" applyNumberFormat="1" applyFont="1" applyFill="1" applyBorder="1" applyAlignment="1">
      <alignment horizontal="left" vertical="center" shrinkToFit="1"/>
    </xf>
    <xf numFmtId="49" fontId="11" fillId="0" borderId="12" xfId="1" applyNumberFormat="1" applyFont="1" applyFill="1" applyBorder="1" applyAlignment="1">
      <alignment horizontal="left" vertical="center" shrinkToFit="1"/>
    </xf>
    <xf numFmtId="20" fontId="11" fillId="0" borderId="15" xfId="1" applyNumberFormat="1" applyFont="1" applyFill="1" applyBorder="1" applyAlignment="1">
      <alignment horizontal="left" vertical="center" shrinkToFit="1"/>
    </xf>
    <xf numFmtId="49" fontId="11" fillId="0" borderId="34" xfId="1" applyNumberFormat="1" applyFont="1" applyFill="1" applyBorder="1" applyAlignment="1">
      <alignment horizontal="left" vertical="center" shrinkToFit="1"/>
    </xf>
    <xf numFmtId="20" fontId="11" fillId="0" borderId="35" xfId="1" applyNumberFormat="1" applyFont="1" applyFill="1" applyBorder="1" applyAlignment="1">
      <alignment horizontal="left" vertical="center" shrinkToFit="1"/>
    </xf>
    <xf numFmtId="49" fontId="11" fillId="0" borderId="15" xfId="1" applyNumberFormat="1" applyFont="1" applyFill="1" applyBorder="1" applyAlignment="1">
      <alignment horizontal="left" vertical="center" shrinkToFit="1"/>
    </xf>
    <xf numFmtId="20" fontId="11" fillId="0" borderId="15" xfId="1" applyNumberFormat="1" applyFont="1" applyFill="1" applyBorder="1" applyAlignment="1">
      <alignment vertical="center" shrinkToFit="1"/>
    </xf>
    <xf numFmtId="20" fontId="11" fillId="0" borderId="35" xfId="1" applyNumberFormat="1" applyFont="1" applyFill="1" applyBorder="1" applyAlignment="1">
      <alignment vertical="center" shrinkToFit="1"/>
    </xf>
    <xf numFmtId="20" fontId="11" fillId="0" borderId="5" xfId="1" applyNumberFormat="1" applyFont="1" applyFill="1" applyBorder="1" applyAlignment="1">
      <alignment horizontal="left" vertical="center" shrinkToFit="1"/>
    </xf>
    <xf numFmtId="49" fontId="11" fillId="0" borderId="17" xfId="1" applyNumberFormat="1" applyFont="1" applyFill="1" applyBorder="1" applyAlignment="1">
      <alignment horizontal="centerContinuous" vertical="center" shrinkToFit="1"/>
    </xf>
    <xf numFmtId="49" fontId="14" fillId="0" borderId="18" xfId="1" applyNumberFormat="1" applyFont="1" applyFill="1" applyBorder="1" applyAlignment="1">
      <alignment horizontal="center" vertical="center" shrinkToFit="1"/>
    </xf>
    <xf numFmtId="49" fontId="14" fillId="0" borderId="13" xfId="1" applyNumberFormat="1" applyFont="1" applyFill="1" applyBorder="1" applyAlignment="1">
      <alignment horizontal="center" vertical="center" shrinkToFit="1"/>
    </xf>
    <xf numFmtId="49" fontId="14" fillId="0" borderId="17" xfId="1" applyNumberFormat="1" applyFont="1" applyFill="1" applyBorder="1" applyAlignment="1">
      <alignment horizontal="center" vertical="center" shrinkToFit="1"/>
    </xf>
    <xf numFmtId="49" fontId="11" fillId="0" borderId="18" xfId="1" applyNumberFormat="1" applyFont="1" applyFill="1" applyBorder="1" applyAlignment="1">
      <alignment vertical="center" shrinkToFit="1"/>
    </xf>
    <xf numFmtId="49" fontId="11" fillId="0" borderId="13" xfId="1" applyNumberFormat="1" applyFont="1" applyFill="1" applyBorder="1" applyAlignment="1">
      <alignment vertical="center" shrinkToFit="1"/>
    </xf>
    <xf numFmtId="49" fontId="11" fillId="0" borderId="14" xfId="1" applyNumberFormat="1" applyFont="1" applyFill="1" applyBorder="1" applyAlignment="1">
      <alignment vertical="center" shrinkToFit="1"/>
    </xf>
    <xf numFmtId="172" fontId="14" fillId="0" borderId="10" xfId="1" applyNumberFormat="1" applyFont="1" applyFill="1" applyBorder="1" applyAlignment="1">
      <alignment horizontal="left" vertical="center" shrinkToFit="1"/>
    </xf>
    <xf numFmtId="173" fontId="16" fillId="0" borderId="13" xfId="1" applyNumberFormat="1" applyFont="1" applyFill="1" applyBorder="1" applyAlignment="1">
      <alignment horizontal="left" vertical="center" shrinkToFit="1"/>
    </xf>
    <xf numFmtId="0" fontId="18" fillId="0" borderId="13" xfId="1" applyFont="1" applyFill="1" applyBorder="1" applyAlignment="1">
      <alignment horizontal="left"/>
    </xf>
    <xf numFmtId="172" fontId="15" fillId="0" borderId="10" xfId="1" applyNumberFormat="1" applyFont="1" applyFill="1" applyBorder="1" applyAlignment="1">
      <alignment horizontal="left" vertical="center" shrinkToFit="1"/>
    </xf>
    <xf numFmtId="173" fontId="19" fillId="0" borderId="13" xfId="1" applyNumberFormat="1" applyFont="1" applyFill="1" applyBorder="1" applyAlignment="1">
      <alignment horizontal="left" vertical="center" shrinkToFit="1"/>
    </xf>
    <xf numFmtId="0" fontId="20" fillId="0" borderId="14" xfId="1" applyFont="1" applyFill="1" applyBorder="1" applyAlignment="1">
      <alignment horizontal="left"/>
    </xf>
    <xf numFmtId="0" fontId="20" fillId="0" borderId="13" xfId="1" applyFont="1" applyFill="1" applyBorder="1" applyAlignment="1">
      <alignment horizontal="left"/>
    </xf>
    <xf numFmtId="173" fontId="16" fillId="0" borderId="14" xfId="1" applyNumberFormat="1" applyFont="1" applyFill="1" applyBorder="1" applyAlignment="1">
      <alignment horizontal="left" vertical="center" shrinkToFit="1"/>
    </xf>
    <xf numFmtId="172" fontId="21" fillId="0" borderId="10" xfId="1" applyNumberFormat="1" applyFont="1" applyFill="1" applyBorder="1" applyAlignment="1">
      <alignment horizontal="left" vertical="center" shrinkToFit="1"/>
    </xf>
    <xf numFmtId="173" fontId="22" fillId="0" borderId="13" xfId="1" applyNumberFormat="1" applyFont="1" applyFill="1" applyBorder="1" applyAlignment="1">
      <alignment horizontal="left" vertical="center" shrinkToFit="1"/>
    </xf>
    <xf numFmtId="0" fontId="4" fillId="0" borderId="14" xfId="1" applyFill="1" applyBorder="1" applyAlignment="1">
      <alignment horizontal="left"/>
    </xf>
    <xf numFmtId="173" fontId="19" fillId="0" borderId="14" xfId="1" applyNumberFormat="1" applyFont="1" applyFill="1" applyBorder="1" applyAlignment="1">
      <alignment vertical="center" shrinkToFit="1"/>
    </xf>
    <xf numFmtId="49" fontId="16" fillId="0" borderId="12" xfId="1" applyNumberFormat="1" applyFont="1" applyFill="1" applyBorder="1" applyAlignment="1">
      <alignment horizontal="left" vertical="center" shrinkToFit="1"/>
    </xf>
    <xf numFmtId="174" fontId="16" fillId="0" borderId="15" xfId="1" applyNumberFormat="1" applyFont="1" applyFill="1" applyBorder="1" applyAlignment="1">
      <alignment vertical="center" shrinkToFit="1"/>
    </xf>
    <xf numFmtId="49" fontId="19" fillId="0" borderId="12" xfId="1" applyNumberFormat="1" applyFont="1" applyFill="1" applyBorder="1" applyAlignment="1">
      <alignment horizontal="left" vertical="center" shrinkToFit="1"/>
    </xf>
    <xf numFmtId="49" fontId="19" fillId="0" borderId="15" xfId="1" applyNumberFormat="1" applyFont="1" applyFill="1" applyBorder="1" applyAlignment="1">
      <alignment vertical="center" shrinkToFit="1"/>
    </xf>
    <xf numFmtId="49" fontId="19" fillId="0" borderId="5" xfId="1" applyNumberFormat="1" applyFont="1" applyFill="1" applyBorder="1" applyAlignment="1">
      <alignment vertical="center" shrinkToFit="1"/>
    </xf>
    <xf numFmtId="49" fontId="16" fillId="0" borderId="15" xfId="1" applyNumberFormat="1" applyFont="1" applyFill="1" applyBorder="1" applyAlignment="1">
      <alignment vertical="center" shrinkToFit="1"/>
    </xf>
    <xf numFmtId="49" fontId="16" fillId="0" borderId="5" xfId="1" applyNumberFormat="1" applyFont="1" applyFill="1" applyBorder="1" applyAlignment="1">
      <alignment vertical="center" shrinkToFit="1"/>
    </xf>
    <xf numFmtId="49" fontId="22" fillId="0" borderId="12" xfId="1" applyNumberFormat="1" applyFont="1" applyFill="1" applyBorder="1" applyAlignment="1">
      <alignment horizontal="left" vertical="center" shrinkToFit="1"/>
    </xf>
    <xf numFmtId="49" fontId="22" fillId="0" borderId="15" xfId="1" applyNumberFormat="1" applyFont="1" applyFill="1" applyBorder="1" applyAlignment="1">
      <alignment vertical="center" shrinkToFit="1"/>
    </xf>
    <xf numFmtId="49" fontId="22" fillId="0" borderId="5" xfId="1" applyNumberFormat="1" applyFont="1" applyFill="1" applyBorder="1" applyAlignment="1">
      <alignment vertical="center" shrinkToFit="1"/>
    </xf>
    <xf numFmtId="49" fontId="16" fillId="0" borderId="10" xfId="1" applyNumberFormat="1" applyFont="1" applyFill="1" applyBorder="1" applyAlignment="1">
      <alignment horizontal="left" vertical="center" shrinkToFit="1"/>
    </xf>
    <xf numFmtId="174" fontId="16" fillId="0" borderId="13" xfId="1" applyNumberFormat="1" applyFont="1" applyFill="1" applyBorder="1" applyAlignment="1">
      <alignment vertical="center" shrinkToFit="1"/>
    </xf>
    <xf numFmtId="49" fontId="19" fillId="0" borderId="10" xfId="1" applyNumberFormat="1" applyFont="1" applyFill="1" applyBorder="1" applyAlignment="1">
      <alignment horizontal="left" vertical="center" shrinkToFit="1"/>
    </xf>
    <xf numFmtId="49" fontId="19" fillId="0" borderId="13" xfId="1" applyNumberFormat="1" applyFont="1" applyFill="1" applyBorder="1" applyAlignment="1">
      <alignment vertical="center" shrinkToFit="1"/>
    </xf>
    <xf numFmtId="49" fontId="19" fillId="0" borderId="14" xfId="1" applyNumberFormat="1" applyFont="1" applyFill="1" applyBorder="1" applyAlignment="1">
      <alignment vertical="center" shrinkToFit="1"/>
    </xf>
    <xf numFmtId="49" fontId="16" fillId="0" borderId="13" xfId="1" applyNumberFormat="1" applyFont="1" applyFill="1" applyBorder="1" applyAlignment="1">
      <alignment vertical="center" shrinkToFit="1"/>
    </xf>
    <xf numFmtId="49" fontId="16" fillId="0" borderId="14" xfId="1" applyNumberFormat="1" applyFont="1" applyFill="1" applyBorder="1" applyAlignment="1">
      <alignment vertical="center" shrinkToFit="1"/>
    </xf>
    <xf numFmtId="49" fontId="22" fillId="0" borderId="10" xfId="1" applyNumberFormat="1" applyFont="1" applyFill="1" applyBorder="1" applyAlignment="1">
      <alignment horizontal="left" vertical="center" shrinkToFit="1"/>
    </xf>
    <xf numFmtId="49" fontId="22" fillId="0" borderId="13" xfId="1" applyNumberFormat="1" applyFont="1" applyFill="1" applyBorder="1" applyAlignment="1">
      <alignment vertical="center" shrinkToFit="1"/>
    </xf>
    <xf numFmtId="49" fontId="22" fillId="0" borderId="14" xfId="1" applyNumberFormat="1" applyFont="1" applyFill="1" applyBorder="1" applyAlignment="1">
      <alignment vertical="center" shrinkToFit="1"/>
    </xf>
    <xf numFmtId="49" fontId="14" fillId="0" borderId="20" xfId="1" applyNumberFormat="1" applyFont="1" applyFill="1" applyBorder="1" applyAlignment="1">
      <alignment horizontal="left" vertical="center" shrinkToFit="1"/>
    </xf>
    <xf numFmtId="20" fontId="14" fillId="0" borderId="21" xfId="1" applyNumberFormat="1" applyFont="1" applyFill="1" applyBorder="1" applyAlignment="1">
      <alignment horizontal="center" vertical="center" shrinkToFit="1"/>
    </xf>
    <xf numFmtId="49" fontId="11" fillId="0" borderId="29" xfId="1" applyNumberFormat="1" applyFont="1" applyFill="1" applyBorder="1" applyAlignment="1">
      <alignment vertical="center" shrinkToFit="1"/>
    </xf>
    <xf numFmtId="0" fontId="4" fillId="0" borderId="13" xfId="1" applyFill="1" applyBorder="1" applyAlignment="1">
      <alignment horizontal="left"/>
    </xf>
    <xf numFmtId="172" fontId="22" fillId="0" borderId="0" xfId="1" applyNumberFormat="1" applyFont="1" applyFill="1" applyAlignment="1">
      <alignment horizontal="left" vertical="center" shrinkToFit="1"/>
    </xf>
    <xf numFmtId="173" fontId="22" fillId="0" borderId="0" xfId="1" applyNumberFormat="1" applyFont="1" applyFill="1" applyAlignment="1">
      <alignment vertical="center" shrinkToFit="1"/>
    </xf>
    <xf numFmtId="173" fontId="22" fillId="0" borderId="21" xfId="1" applyNumberFormat="1" applyFont="1" applyFill="1" applyBorder="1" applyAlignment="1">
      <alignment vertical="center" shrinkToFit="1"/>
    </xf>
    <xf numFmtId="173" fontId="22" fillId="0" borderId="6" xfId="1" applyNumberFormat="1" applyFont="1" applyFill="1" applyBorder="1" applyAlignment="1">
      <alignment vertical="center" shrinkToFit="1"/>
    </xf>
    <xf numFmtId="49" fontId="22" fillId="0" borderId="15" xfId="1" applyNumberFormat="1" applyFont="1" applyFill="1" applyBorder="1" applyAlignment="1">
      <alignment horizontal="left" vertical="center" shrinkToFit="1"/>
    </xf>
    <xf numFmtId="49" fontId="22" fillId="0" borderId="35" xfId="1" applyNumberFormat="1" applyFont="1" applyFill="1" applyBorder="1" applyAlignment="1">
      <alignment vertical="center" shrinkToFit="1"/>
    </xf>
    <xf numFmtId="20" fontId="11" fillId="0" borderId="32" xfId="1" applyNumberFormat="1" applyFont="1" applyFill="1" applyBorder="1" applyAlignment="1">
      <alignment horizontal="left" vertical="center" shrinkToFit="1"/>
    </xf>
    <xf numFmtId="49" fontId="14" fillId="0" borderId="31" xfId="1" applyNumberFormat="1" applyFont="1" applyFill="1" applyBorder="1" applyAlignment="1">
      <alignment horizontal="left" vertical="center" shrinkToFit="1"/>
    </xf>
    <xf numFmtId="49" fontId="14" fillId="0" borderId="30" xfId="1" applyNumberFormat="1" applyFont="1" applyFill="1" applyBorder="1" applyAlignment="1">
      <alignment horizontal="left" vertical="center" shrinkToFit="1"/>
    </xf>
    <xf numFmtId="20" fontId="14" fillId="0" borderId="32" xfId="1" applyNumberFormat="1" applyFont="1" applyFill="1" applyBorder="1" applyAlignment="1">
      <alignment horizontal="center" vertical="center" shrinkToFit="1"/>
    </xf>
    <xf numFmtId="20" fontId="11" fillId="0" borderId="33" xfId="1" applyNumberFormat="1" applyFont="1" applyFill="1" applyBorder="1" applyAlignment="1">
      <alignment horizontal="left" vertical="center" shrinkToFit="1"/>
    </xf>
    <xf numFmtId="49" fontId="14" fillId="0" borderId="0" xfId="1" applyNumberFormat="1" applyFont="1" applyFill="1" applyAlignment="1">
      <alignment horizontal="left" vertical="center" shrinkToFit="1"/>
    </xf>
    <xf numFmtId="49" fontId="11" fillId="0" borderId="11" xfId="1" applyNumberFormat="1" applyFont="1" applyFill="1" applyBorder="1" applyAlignment="1">
      <alignment horizontal="center" vertical="center" shrinkToFit="1"/>
    </xf>
    <xf numFmtId="49" fontId="11" fillId="0" borderId="0" xfId="1" applyNumberFormat="1" applyFont="1" applyFill="1" applyAlignment="1">
      <alignment horizontal="center" vertical="center" shrinkToFit="1"/>
    </xf>
    <xf numFmtId="49" fontId="11" fillId="0" borderId="21" xfId="1" applyNumberFormat="1" applyFont="1" applyFill="1" applyBorder="1" applyAlignment="1">
      <alignment horizontal="center" vertical="center" shrinkToFit="1"/>
    </xf>
    <xf numFmtId="49" fontId="11" fillId="0" borderId="20" xfId="1" applyNumberFormat="1" applyFont="1" applyFill="1" applyBorder="1" applyAlignment="1">
      <alignment horizontal="center" vertical="center" shrinkToFit="1"/>
    </xf>
    <xf numFmtId="49" fontId="11" fillId="0" borderId="14" xfId="1" applyNumberFormat="1" applyFont="1" applyBorder="1" applyAlignment="1">
      <alignment horizontal="center" vertical="center" shrinkToFit="1"/>
    </xf>
    <xf numFmtId="49" fontId="11" fillId="16" borderId="21" xfId="1" applyNumberFormat="1" applyFont="1" applyFill="1" applyBorder="1" applyAlignment="1">
      <alignment horizontal="center" vertical="center" shrinkToFit="1"/>
    </xf>
    <xf numFmtId="49" fontId="11" fillId="12" borderId="21" xfId="1" applyNumberFormat="1" applyFont="1" applyFill="1" applyBorder="1" applyAlignment="1">
      <alignment horizontal="center" vertical="center" shrinkToFit="1"/>
    </xf>
    <xf numFmtId="49" fontId="11" fillId="0" borderId="6" xfId="1" applyNumberFormat="1" applyFont="1" applyBorder="1" applyAlignment="1">
      <alignment horizontal="center" vertical="center" shrinkToFit="1"/>
    </xf>
    <xf numFmtId="49" fontId="8" fillId="0" borderId="10" xfId="1" applyNumberFormat="1" applyFont="1" applyBorder="1" applyAlignment="1">
      <alignment vertical="center"/>
    </xf>
    <xf numFmtId="177" fontId="38" fillId="16" borderId="10" xfId="1" applyNumberFormat="1" applyFont="1" applyFill="1" applyBorder="1" applyAlignment="1">
      <alignment horizontal="center" vertical="center" shrinkToFit="1"/>
    </xf>
    <xf numFmtId="0" fontId="63" fillId="0" borderId="14" xfId="1" applyFont="1" applyBorder="1" applyAlignment="1">
      <alignment horizontal="centerContinuous"/>
    </xf>
    <xf numFmtId="177" fontId="38" fillId="17" borderId="10" xfId="1" applyNumberFormat="1" applyFont="1" applyFill="1" applyBorder="1" applyAlignment="1">
      <alignment horizontal="center" vertical="center" shrinkToFit="1"/>
    </xf>
    <xf numFmtId="0" fontId="63" fillId="0" borderId="14" xfId="1" applyFont="1" applyBorder="1" applyAlignment="1">
      <alignment horizontal="center"/>
    </xf>
    <xf numFmtId="178" fontId="64" fillId="0" borderId="10" xfId="1" applyNumberFormat="1" applyFont="1" applyBorder="1" applyAlignment="1">
      <alignment horizontal="center" vertical="center" shrinkToFit="1"/>
    </xf>
    <xf numFmtId="178" fontId="64" fillId="14" borderId="10" xfId="1" applyNumberFormat="1" applyFont="1" applyFill="1" applyBorder="1" applyAlignment="1">
      <alignment horizontal="center" vertical="center" shrinkToFit="1"/>
    </xf>
    <xf numFmtId="173" fontId="22" fillId="14" borderId="13" xfId="1" applyNumberFormat="1" applyFont="1" applyFill="1" applyBorder="1" applyAlignment="1">
      <alignment horizontal="left" vertical="center" shrinkToFit="1"/>
    </xf>
    <xf numFmtId="0" fontId="4" fillId="14" borderId="14" xfId="1" applyFill="1" applyBorder="1" applyAlignment="1">
      <alignment horizontal="left"/>
    </xf>
    <xf numFmtId="49" fontId="22" fillId="14" borderId="12" xfId="1" applyNumberFormat="1" applyFont="1" applyFill="1" applyBorder="1" applyAlignment="1">
      <alignment horizontal="left" vertical="center" shrinkToFit="1"/>
    </xf>
    <xf numFmtId="174" fontId="22" fillId="14" borderId="15" xfId="1" applyNumberFormat="1" applyFont="1" applyFill="1" applyBorder="1" applyAlignment="1">
      <alignment vertical="center" shrinkToFit="1"/>
    </xf>
    <xf numFmtId="174" fontId="22" fillId="14" borderId="5" xfId="1" applyNumberFormat="1" applyFont="1" applyFill="1" applyBorder="1" applyAlignment="1">
      <alignment vertical="center" shrinkToFit="1"/>
    </xf>
    <xf numFmtId="177" fontId="38" fillId="12" borderId="10" xfId="1" applyNumberFormat="1" applyFont="1" applyFill="1" applyBorder="1" applyAlignment="1">
      <alignment horizontal="center" vertical="center" shrinkToFit="1"/>
    </xf>
    <xf numFmtId="0" fontId="4" fillId="0" borderId="10" xfId="1" applyBorder="1"/>
    <xf numFmtId="0" fontId="4" fillId="0" borderId="0" xfId="1" applyBorder="1"/>
    <xf numFmtId="49" fontId="11" fillId="0" borderId="0" xfId="1" applyNumberFormat="1" applyFont="1" applyBorder="1" applyAlignment="1">
      <alignment vertical="center" shrinkToFit="1"/>
    </xf>
    <xf numFmtId="49" fontId="11" fillId="16" borderId="0" xfId="1" applyNumberFormat="1" applyFont="1" applyFill="1" applyBorder="1" applyAlignment="1">
      <alignment horizontal="center" vertical="center" shrinkToFit="1"/>
    </xf>
    <xf numFmtId="49" fontId="11" fillId="17" borderId="0" xfId="1" applyNumberFormat="1" applyFont="1" applyFill="1" applyBorder="1" applyAlignment="1">
      <alignment horizontal="center" vertical="center" shrinkToFit="1"/>
    </xf>
    <xf numFmtId="171" fontId="11" fillId="0" borderId="0" xfId="1" applyNumberFormat="1" applyFont="1" applyBorder="1" applyAlignment="1">
      <alignment horizontal="left" vertical="center" shrinkToFit="1"/>
    </xf>
    <xf numFmtId="49" fontId="11" fillId="0" borderId="0" xfId="1" applyNumberFormat="1" applyFont="1" applyBorder="1" applyAlignment="1">
      <alignment horizontal="center" vertical="center" shrinkToFit="1"/>
    </xf>
    <xf numFmtId="49" fontId="16" fillId="0" borderId="0" xfId="1" applyNumberFormat="1" applyFont="1" applyBorder="1" applyAlignment="1">
      <alignment vertical="center" shrinkToFit="1"/>
    </xf>
    <xf numFmtId="172" fontId="15" fillId="0" borderId="0" xfId="1" applyNumberFormat="1" applyFont="1" applyBorder="1" applyAlignment="1">
      <alignment vertical="center" shrinkToFit="1"/>
    </xf>
    <xf numFmtId="49" fontId="14" fillId="0" borderId="0" xfId="1" applyNumberFormat="1" applyFont="1" applyBorder="1" applyAlignment="1">
      <alignment vertical="center" shrinkToFit="1"/>
    </xf>
    <xf numFmtId="171" fontId="14" fillId="0" borderId="0" xfId="1" applyNumberFormat="1" applyFont="1" applyBorder="1" applyAlignment="1">
      <alignment horizontal="left" vertical="center" shrinkToFit="1"/>
    </xf>
    <xf numFmtId="49" fontId="21" fillId="0" borderId="12" xfId="1" applyNumberFormat="1" applyFont="1" applyFill="1" applyBorder="1" applyAlignment="1">
      <alignment horizontal="left" vertical="center" shrinkToFit="1"/>
    </xf>
    <xf numFmtId="49" fontId="21" fillId="0" borderId="15" xfId="1" applyNumberFormat="1" applyFont="1" applyFill="1" applyBorder="1" applyAlignment="1">
      <alignment horizontal="left" vertical="center" shrinkToFit="1"/>
    </xf>
    <xf numFmtId="20" fontId="21" fillId="0" borderId="15" xfId="1" applyNumberFormat="1" applyFont="1" applyFill="1" applyBorder="1" applyAlignment="1">
      <alignment horizontal="center" vertical="center" shrinkToFit="1"/>
    </xf>
    <xf numFmtId="20" fontId="21" fillId="0" borderId="35" xfId="1" applyNumberFormat="1" applyFont="1" applyFill="1" applyBorder="1" applyAlignment="1">
      <alignment horizontal="center" vertical="center" shrinkToFit="1"/>
    </xf>
    <xf numFmtId="49" fontId="21" fillId="0" borderId="34" xfId="1" applyNumberFormat="1" applyFont="1" applyFill="1" applyBorder="1" applyAlignment="1">
      <alignment horizontal="left" vertical="center" shrinkToFit="1"/>
    </xf>
    <xf numFmtId="20" fontId="21" fillId="0" borderId="5" xfId="1" applyNumberFormat="1" applyFont="1" applyFill="1" applyBorder="1" applyAlignment="1">
      <alignment horizontal="center" vertical="center" shrinkToFit="1"/>
    </xf>
    <xf numFmtId="177" fontId="22" fillId="0" borderId="40" xfId="1" applyNumberFormat="1" applyFont="1" applyFill="1" applyBorder="1" applyAlignment="1">
      <alignment horizontal="center" vertical="center"/>
    </xf>
    <xf numFmtId="49" fontId="61" fillId="0" borderId="30" xfId="1" applyNumberFormat="1" applyFont="1" applyFill="1" applyBorder="1" applyAlignment="1">
      <alignment vertical="center"/>
    </xf>
    <xf numFmtId="49" fontId="61" fillId="0" borderId="32" xfId="1" applyNumberFormat="1" applyFont="1" applyFill="1" applyBorder="1" applyAlignment="1">
      <alignment horizontal="center" vertical="center"/>
    </xf>
    <xf numFmtId="49" fontId="61" fillId="0" borderId="31" xfId="1" applyNumberFormat="1" applyFont="1" applyFill="1" applyBorder="1" applyAlignment="1">
      <alignment horizontal="left" vertical="center"/>
    </xf>
    <xf numFmtId="49" fontId="61" fillId="0" borderId="33" xfId="1" applyNumberFormat="1" applyFont="1" applyFill="1" applyBorder="1" applyAlignment="1">
      <alignment horizontal="center" vertical="center"/>
    </xf>
    <xf numFmtId="0" fontId="4" fillId="0" borderId="13" xfId="1" applyFont="1" applyFill="1" applyBorder="1" applyAlignment="1">
      <alignment horizontal="center" vertical="center"/>
    </xf>
    <xf numFmtId="0" fontId="4" fillId="0" borderId="17" xfId="1" applyFont="1" applyFill="1" applyBorder="1" applyAlignment="1">
      <alignment horizontal="center" vertical="center"/>
    </xf>
    <xf numFmtId="0" fontId="4" fillId="0" borderId="18" xfId="1" applyFont="1" applyFill="1" applyBorder="1"/>
    <xf numFmtId="0" fontId="4" fillId="0" borderId="13" xfId="1" applyFont="1" applyFill="1" applyBorder="1"/>
    <xf numFmtId="0" fontId="4" fillId="0" borderId="17" xfId="1" applyFont="1" applyFill="1" applyBorder="1"/>
    <xf numFmtId="0" fontId="4" fillId="0" borderId="14" xfId="1" applyFont="1" applyFill="1" applyBorder="1"/>
    <xf numFmtId="0" fontId="4" fillId="0" borderId="23" xfId="1" applyFont="1" applyFill="1" applyBorder="1" applyAlignment="1">
      <alignment horizontal="center" vertical="center"/>
    </xf>
    <xf numFmtId="0" fontId="4" fillId="0" borderId="24" xfId="1" applyFont="1" applyFill="1" applyBorder="1" applyAlignment="1">
      <alignment horizontal="center" vertical="center"/>
    </xf>
    <xf numFmtId="0" fontId="4" fillId="0" borderId="25" xfId="1" applyFont="1" applyFill="1" applyBorder="1" applyAlignment="1">
      <alignment horizontal="center" vertical="center"/>
    </xf>
    <xf numFmtId="0" fontId="4" fillId="0" borderId="26" xfId="1" applyFont="1" applyFill="1" applyBorder="1"/>
    <xf numFmtId="0" fontId="4" fillId="0" borderId="24" xfId="1" applyFont="1" applyFill="1" applyBorder="1"/>
    <xf numFmtId="0" fontId="4" fillId="0" borderId="25" xfId="1" applyFont="1" applyFill="1" applyBorder="1"/>
    <xf numFmtId="0" fontId="4" fillId="0" borderId="27" xfId="1" applyFont="1" applyFill="1" applyBorder="1"/>
    <xf numFmtId="0" fontId="4" fillId="0" borderId="29" xfId="1" applyFont="1" applyFill="1" applyBorder="1"/>
    <xf numFmtId="0" fontId="4" fillId="0" borderId="30" xfId="1" applyFont="1" applyFill="1" applyBorder="1"/>
    <xf numFmtId="0" fontId="4" fillId="0" borderId="32" xfId="1" applyFont="1" applyFill="1" applyBorder="1"/>
    <xf numFmtId="0" fontId="4" fillId="0" borderId="31" xfId="1" applyFont="1" applyFill="1" applyBorder="1"/>
    <xf numFmtId="0" fontId="4" fillId="0" borderId="33" xfId="1" applyFont="1" applyFill="1" applyBorder="1"/>
    <xf numFmtId="0" fontId="4" fillId="0" borderId="23" xfId="1" applyFont="1" applyFill="1" applyBorder="1"/>
    <xf numFmtId="0" fontId="4" fillId="0" borderId="11" xfId="1" applyFont="1" applyFill="1" applyBorder="1"/>
    <xf numFmtId="0" fontId="4" fillId="0" borderId="0" xfId="1" applyFont="1" applyFill="1"/>
    <xf numFmtId="0" fontId="4" fillId="0" borderId="21" xfId="1" applyFont="1" applyFill="1" applyBorder="1"/>
    <xf numFmtId="0" fontId="4" fillId="0" borderId="20" xfId="1" applyFont="1" applyFill="1" applyBorder="1"/>
    <xf numFmtId="0" fontId="4" fillId="0" borderId="6" xfId="1" applyFont="1" applyFill="1" applyBorder="1"/>
    <xf numFmtId="0" fontId="4" fillId="0" borderId="9" xfId="1" applyFont="1" applyFill="1" applyBorder="1"/>
    <xf numFmtId="0" fontId="4" fillId="0" borderId="2" xfId="1" applyFont="1" applyFill="1" applyBorder="1"/>
    <xf numFmtId="49" fontId="21" fillId="0" borderId="0" xfId="1" applyNumberFormat="1" applyFont="1" applyFill="1" applyBorder="1" applyAlignment="1">
      <alignment vertical="center" shrinkToFit="1"/>
    </xf>
    <xf numFmtId="182" fontId="21" fillId="0" borderId="24" xfId="1" applyNumberFormat="1" applyFont="1" applyFill="1" applyBorder="1" applyAlignment="1">
      <alignment horizontal="center" vertical="center" shrinkToFit="1"/>
    </xf>
    <xf numFmtId="49" fontId="21" fillId="0" borderId="0" xfId="1" applyNumberFormat="1" applyFont="1" applyFill="1" applyBorder="1" applyAlignment="1">
      <alignment horizontal="left" vertical="center" shrinkToFit="1"/>
    </xf>
    <xf numFmtId="182" fontId="21" fillId="0" borderId="25" xfId="1" applyNumberFormat="1" applyFont="1" applyFill="1" applyBorder="1" applyAlignment="1">
      <alignment horizontal="center" vertical="center" shrinkToFit="1"/>
    </xf>
    <xf numFmtId="49" fontId="21" fillId="0" borderId="43" xfId="1" applyNumberFormat="1" applyFont="1" applyFill="1" applyBorder="1" applyAlignment="1">
      <alignment horizontal="left" vertical="center" shrinkToFit="1"/>
    </xf>
    <xf numFmtId="182" fontId="21" fillId="0" borderId="21" xfId="1" applyNumberFormat="1" applyFont="1" applyFill="1" applyBorder="1" applyAlignment="1">
      <alignment horizontal="center" vertical="center" shrinkToFit="1"/>
    </xf>
    <xf numFmtId="165" fontId="34" fillId="0" borderId="10" xfId="0" applyNumberFormat="1" applyFont="1" applyFill="1" applyBorder="1" applyAlignment="1" applyProtection="1">
      <alignment horizontal="left" vertical="center"/>
      <protection locked="0"/>
    </xf>
    <xf numFmtId="165" fontId="34" fillId="0" borderId="13" xfId="0" applyNumberFormat="1" applyFont="1" applyFill="1" applyBorder="1" applyAlignment="1" applyProtection="1">
      <alignment horizontal="right" vertical="center"/>
      <protection locked="0"/>
    </xf>
    <xf numFmtId="182" fontId="21" fillId="0" borderId="0" xfId="1" applyNumberFormat="1" applyFont="1" applyFill="1" applyBorder="1" applyAlignment="1">
      <alignment horizontal="center" vertical="center" shrinkToFit="1"/>
    </xf>
    <xf numFmtId="49" fontId="42" fillId="0" borderId="10" xfId="1" applyNumberFormat="1" applyFont="1" applyFill="1" applyBorder="1" applyAlignment="1">
      <alignment horizontal="center" vertical="center" shrinkToFit="1"/>
    </xf>
    <xf numFmtId="49" fontId="42" fillId="0" borderId="13" xfId="1" applyNumberFormat="1" applyFont="1" applyFill="1" applyBorder="1" applyAlignment="1">
      <alignment horizontal="center" vertical="center" shrinkToFit="1"/>
    </xf>
    <xf numFmtId="49" fontId="42" fillId="0" borderId="17" xfId="1" applyNumberFormat="1" applyFont="1" applyFill="1" applyBorder="1" applyAlignment="1">
      <alignment horizontal="center" vertical="center" shrinkToFit="1"/>
    </xf>
    <xf numFmtId="49" fontId="42" fillId="0" borderId="18" xfId="1" applyNumberFormat="1" applyFont="1" applyFill="1" applyBorder="1" applyAlignment="1">
      <alignment horizontal="center" vertical="center" shrinkToFit="1"/>
    </xf>
    <xf numFmtId="0" fontId="41" fillId="0" borderId="13" xfId="0" applyFont="1" applyFill="1" applyBorder="1" applyAlignment="1">
      <alignment horizontal="center" vertical="center" shrinkToFit="1"/>
    </xf>
    <xf numFmtId="0" fontId="41" fillId="0" borderId="17" xfId="0" applyFont="1" applyFill="1" applyBorder="1" applyAlignment="1">
      <alignment horizontal="center" vertical="center" shrinkToFit="1"/>
    </xf>
    <xf numFmtId="0" fontId="42" fillId="0" borderId="18" xfId="1" applyFont="1" applyFill="1" applyBorder="1"/>
    <xf numFmtId="0" fontId="41" fillId="0" borderId="13" xfId="0" applyFont="1" applyFill="1" applyBorder="1"/>
    <xf numFmtId="0" fontId="41" fillId="0" borderId="17" xfId="0" applyFont="1" applyFill="1" applyBorder="1"/>
    <xf numFmtId="49" fontId="42" fillId="0" borderId="18" xfId="1" applyNumberFormat="1" applyFont="1" applyFill="1" applyBorder="1" applyAlignment="1">
      <alignment horizontal="centerContinuous" vertical="center" shrinkToFit="1"/>
    </xf>
    <xf numFmtId="49" fontId="42" fillId="0" borderId="13" xfId="1" applyNumberFormat="1" applyFont="1" applyFill="1" applyBorder="1" applyAlignment="1">
      <alignment horizontal="centerContinuous" vertical="center" shrinkToFit="1"/>
    </xf>
    <xf numFmtId="49" fontId="42" fillId="0" borderId="14" xfId="1" applyNumberFormat="1" applyFont="1" applyFill="1" applyBorder="1" applyAlignment="1">
      <alignment horizontal="centerContinuous" vertical="center" shrinkToFit="1"/>
    </xf>
    <xf numFmtId="171" fontId="42" fillId="0" borderId="11" xfId="1" applyNumberFormat="1" applyFont="1" applyFill="1" applyBorder="1" applyAlignment="1">
      <alignment horizontal="left" vertical="center" shrinkToFit="1"/>
    </xf>
    <xf numFmtId="49" fontId="42" fillId="0" borderId="0" xfId="1" applyNumberFormat="1" applyFont="1" applyFill="1" applyAlignment="1">
      <alignment vertical="center" shrinkToFit="1"/>
    </xf>
    <xf numFmtId="172" fontId="43" fillId="0" borderId="21" xfId="1" applyNumberFormat="1" applyFont="1" applyFill="1" applyBorder="1" applyAlignment="1">
      <alignment vertical="center" shrinkToFit="1"/>
    </xf>
    <xf numFmtId="49" fontId="42" fillId="0" borderId="20" xfId="1" applyNumberFormat="1" applyFont="1" applyFill="1" applyBorder="1" applyAlignment="1">
      <alignment vertical="center" shrinkToFit="1"/>
    </xf>
    <xf numFmtId="49" fontId="42" fillId="0" borderId="21" xfId="1" applyNumberFormat="1" applyFont="1" applyFill="1" applyBorder="1" applyAlignment="1">
      <alignment vertical="center" shrinkToFit="1"/>
    </xf>
    <xf numFmtId="171" fontId="42" fillId="0" borderId="20" xfId="1" applyNumberFormat="1" applyFont="1" applyFill="1" applyBorder="1" applyAlignment="1">
      <alignment horizontal="left" vertical="center" shrinkToFit="1"/>
    </xf>
    <xf numFmtId="172" fontId="44" fillId="0" borderId="21" xfId="1" applyNumberFormat="1" applyFont="1" applyFill="1" applyBorder="1" applyAlignment="1">
      <alignment vertical="center" shrinkToFit="1"/>
    </xf>
    <xf numFmtId="0" fontId="42" fillId="0" borderId="20" xfId="1" applyFont="1" applyFill="1" applyBorder="1"/>
    <xf numFmtId="16" fontId="42" fillId="0" borderId="0" xfId="1" applyNumberFormat="1" applyFont="1" applyFill="1"/>
    <xf numFmtId="0" fontId="42" fillId="0" borderId="21" xfId="1" applyFont="1" applyFill="1" applyBorder="1"/>
    <xf numFmtId="49" fontId="42" fillId="0" borderId="6" xfId="1" applyNumberFormat="1" applyFont="1" applyFill="1" applyBorder="1" applyAlignment="1">
      <alignment vertical="center" shrinkToFit="1"/>
    </xf>
    <xf numFmtId="49" fontId="42" fillId="0" borderId="23" xfId="1" applyNumberFormat="1" applyFont="1" applyFill="1" applyBorder="1" applyAlignment="1">
      <alignment horizontal="left" vertical="center" shrinkToFit="1"/>
    </xf>
    <xf numFmtId="49" fontId="42" fillId="0" borderId="24" xfId="1" applyNumberFormat="1" applyFont="1" applyFill="1" applyBorder="1" applyAlignment="1">
      <alignment horizontal="left" vertical="center" shrinkToFit="1"/>
    </xf>
    <xf numFmtId="20" fontId="44" fillId="0" borderId="25" xfId="1" applyNumberFormat="1" applyFont="1" applyFill="1" applyBorder="1" applyAlignment="1">
      <alignment horizontal="center" vertical="center" shrinkToFit="1"/>
    </xf>
    <xf numFmtId="49" fontId="42" fillId="0" borderId="26" xfId="1" applyNumberFormat="1" applyFont="1" applyFill="1" applyBorder="1" applyAlignment="1">
      <alignment horizontal="left" vertical="center" shrinkToFit="1"/>
    </xf>
    <xf numFmtId="20" fontId="42" fillId="0" borderId="24" xfId="1" applyNumberFormat="1" applyFont="1" applyFill="1" applyBorder="1" applyAlignment="1">
      <alignment horizontal="left" vertical="center" shrinkToFit="1"/>
    </xf>
    <xf numFmtId="20" fontId="42" fillId="0" borderId="25" xfId="1" applyNumberFormat="1" applyFont="1" applyFill="1" applyBorder="1" applyAlignment="1">
      <alignment horizontal="left" vertical="center" shrinkToFit="1"/>
    </xf>
    <xf numFmtId="20" fontId="43" fillId="0" borderId="25" xfId="1" applyNumberFormat="1" applyFont="1" applyFill="1" applyBorder="1" applyAlignment="1">
      <alignment horizontal="center" vertical="center" shrinkToFit="1"/>
    </xf>
    <xf numFmtId="0" fontId="42" fillId="0" borderId="26" xfId="1" applyFont="1" applyFill="1" applyBorder="1"/>
    <xf numFmtId="0" fontId="42" fillId="0" borderId="24" xfId="1" applyFont="1" applyFill="1" applyBorder="1"/>
    <xf numFmtId="0" fontId="42" fillId="0" borderId="25" xfId="1" applyFont="1" applyFill="1" applyBorder="1"/>
    <xf numFmtId="20" fontId="42" fillId="0" borderId="27" xfId="1" applyNumberFormat="1" applyFont="1" applyFill="1" applyBorder="1" applyAlignment="1">
      <alignment horizontal="left" vertical="center" shrinkToFit="1"/>
    </xf>
    <xf numFmtId="49" fontId="42" fillId="0" borderId="29" xfId="1" applyNumberFormat="1" applyFont="1" applyFill="1" applyBorder="1" applyAlignment="1">
      <alignment horizontal="centerContinuous" vertical="center" shrinkToFit="1"/>
    </xf>
    <xf numFmtId="49" fontId="42" fillId="0" borderId="30" xfId="1" applyNumberFormat="1" applyFont="1" applyFill="1" applyBorder="1" applyAlignment="1">
      <alignment vertical="center" shrinkToFit="1"/>
    </xf>
    <xf numFmtId="49" fontId="42" fillId="0" borderId="31" xfId="1" applyNumberFormat="1" applyFont="1" applyFill="1" applyBorder="1" applyAlignment="1">
      <alignment horizontal="center" vertical="center" shrinkToFit="1"/>
    </xf>
    <xf numFmtId="49" fontId="42" fillId="0" borderId="30" xfId="1" applyNumberFormat="1" applyFont="1" applyFill="1" applyBorder="1" applyAlignment="1">
      <alignment horizontal="center" vertical="center" shrinkToFit="1"/>
    </xf>
    <xf numFmtId="49" fontId="42" fillId="0" borderId="32" xfId="1" applyNumberFormat="1" applyFont="1" applyFill="1" applyBorder="1" applyAlignment="1">
      <alignment horizontal="center" vertical="center" shrinkToFit="1"/>
    </xf>
    <xf numFmtId="49" fontId="42" fillId="0" borderId="31" xfId="1" applyNumberFormat="1" applyFont="1" applyFill="1" applyBorder="1" applyAlignment="1">
      <alignment vertical="center" shrinkToFit="1"/>
    </xf>
    <xf numFmtId="49" fontId="42" fillId="0" borderId="33" xfId="1" applyNumberFormat="1" applyFont="1" applyFill="1" applyBorder="1" applyAlignment="1">
      <alignment horizontal="center" vertical="center" shrinkToFit="1"/>
    </xf>
    <xf numFmtId="49" fontId="42" fillId="0" borderId="11" xfId="1" applyNumberFormat="1" applyFont="1" applyFill="1" applyBorder="1" applyAlignment="1">
      <alignment vertical="center" shrinkToFit="1"/>
    </xf>
    <xf numFmtId="172" fontId="44" fillId="0" borderId="6" xfId="1" applyNumberFormat="1" applyFont="1" applyFill="1" applyBorder="1" applyAlignment="1">
      <alignment vertical="center" shrinkToFit="1"/>
    </xf>
    <xf numFmtId="20" fontId="44" fillId="0" borderId="27" xfId="1" applyNumberFormat="1" applyFont="1" applyFill="1" applyBorder="1" applyAlignment="1">
      <alignment horizontal="center" vertical="center" shrinkToFit="1"/>
    </xf>
    <xf numFmtId="49" fontId="42" fillId="0" borderId="29" xfId="1" applyNumberFormat="1" applyFont="1" applyFill="1" applyBorder="1" applyAlignment="1">
      <alignment horizontal="center" vertical="center" shrinkToFit="1"/>
    </xf>
    <xf numFmtId="49" fontId="42" fillId="0" borderId="31" xfId="1" applyNumberFormat="1" applyFont="1" applyFill="1" applyBorder="1" applyAlignment="1">
      <alignment horizontal="centerContinuous" vertical="center" shrinkToFit="1"/>
    </xf>
    <xf numFmtId="49" fontId="42" fillId="0" borderId="30" xfId="1" applyNumberFormat="1" applyFont="1" applyFill="1" applyBorder="1" applyAlignment="1">
      <alignment horizontal="centerContinuous" vertical="center" shrinkToFit="1"/>
    </xf>
    <xf numFmtId="49" fontId="42" fillId="0" borderId="32" xfId="1" applyNumberFormat="1" applyFont="1" applyFill="1" applyBorder="1" applyAlignment="1">
      <alignment horizontal="centerContinuous" vertical="center" shrinkToFit="1"/>
    </xf>
    <xf numFmtId="49" fontId="43" fillId="0" borderId="31" xfId="1" applyNumberFormat="1" applyFont="1" applyFill="1" applyBorder="1" applyAlignment="1">
      <alignment horizontal="center" vertical="center" shrinkToFit="1"/>
    </xf>
    <xf numFmtId="49" fontId="43" fillId="0" borderId="30" xfId="1" applyNumberFormat="1" applyFont="1" applyFill="1" applyBorder="1" applyAlignment="1">
      <alignment horizontal="center" vertical="center" shrinkToFit="1"/>
    </xf>
    <xf numFmtId="49" fontId="43" fillId="0" borderId="32" xfId="1" applyNumberFormat="1" applyFont="1" applyFill="1" applyBorder="1" applyAlignment="1">
      <alignment horizontal="center" vertical="center" shrinkToFit="1"/>
    </xf>
    <xf numFmtId="49" fontId="42" fillId="0" borderId="33" xfId="1" applyNumberFormat="1" applyFont="1" applyFill="1" applyBorder="1" applyAlignment="1">
      <alignment vertical="center" shrinkToFit="1"/>
    </xf>
    <xf numFmtId="49" fontId="45" fillId="0" borderId="0" xfId="1" applyNumberFormat="1" applyFont="1" applyFill="1" applyAlignment="1">
      <alignment vertical="center" shrinkToFit="1"/>
    </xf>
    <xf numFmtId="171" fontId="43" fillId="0" borderId="20" xfId="1" applyNumberFormat="1" applyFont="1" applyFill="1" applyBorder="1" applyAlignment="1">
      <alignment horizontal="left" vertical="center" shrinkToFit="1"/>
    </xf>
    <xf numFmtId="49" fontId="43" fillId="0" borderId="0" xfId="1" applyNumberFormat="1" applyFont="1" applyFill="1" applyAlignment="1">
      <alignment vertical="center" shrinkToFit="1"/>
    </xf>
    <xf numFmtId="20" fontId="44" fillId="0" borderId="24" xfId="1" applyNumberFormat="1" applyFont="1" applyFill="1" applyBorder="1" applyAlignment="1">
      <alignment horizontal="center" vertical="center" shrinkToFit="1"/>
    </xf>
    <xf numFmtId="49" fontId="43" fillId="0" borderId="26" xfId="1" applyNumberFormat="1" applyFont="1" applyFill="1" applyBorder="1" applyAlignment="1">
      <alignment horizontal="left" vertical="center" shrinkToFit="1"/>
    </xf>
    <xf numFmtId="49" fontId="43" fillId="0" borderId="24" xfId="1" applyNumberFormat="1" applyFont="1" applyFill="1" applyBorder="1" applyAlignment="1">
      <alignment horizontal="left" vertical="center" shrinkToFit="1"/>
    </xf>
    <xf numFmtId="49" fontId="42" fillId="0" borderId="20" xfId="1" applyNumberFormat="1" applyFont="1" applyFill="1" applyBorder="1" applyAlignment="1">
      <alignment horizontal="centerContinuous" vertical="center" shrinkToFit="1"/>
    </xf>
    <xf numFmtId="49" fontId="42" fillId="0" borderId="0" xfId="1" applyNumberFormat="1" applyFont="1" applyFill="1" applyAlignment="1">
      <alignment horizontal="centerContinuous" vertical="center" shrinkToFit="1"/>
    </xf>
    <xf numFmtId="49" fontId="42" fillId="0" borderId="6" xfId="1" applyNumberFormat="1" applyFont="1" applyFill="1" applyBorder="1" applyAlignment="1">
      <alignment horizontal="centerContinuous" vertical="center" shrinkToFit="1"/>
    </xf>
    <xf numFmtId="20" fontId="43" fillId="0" borderId="24" xfId="1" applyNumberFormat="1" applyFont="1" applyFill="1" applyBorder="1" applyAlignment="1">
      <alignment horizontal="center" vertical="center" shrinkToFit="1"/>
    </xf>
    <xf numFmtId="49" fontId="42" fillId="0" borderId="21" xfId="1" applyNumberFormat="1" applyFont="1" applyFill="1" applyBorder="1" applyAlignment="1">
      <alignment horizontal="centerContinuous" vertical="center" shrinkToFit="1"/>
    </xf>
    <xf numFmtId="49" fontId="42" fillId="0" borderId="32" xfId="1" applyNumberFormat="1" applyFont="1" applyFill="1" applyBorder="1" applyAlignment="1">
      <alignment vertical="center" shrinkToFit="1"/>
    </xf>
    <xf numFmtId="171" fontId="42" fillId="0" borderId="0" xfId="1" applyNumberFormat="1" applyFont="1" applyFill="1" applyAlignment="1">
      <alignment horizontal="left" vertical="center" shrinkToFit="1"/>
    </xf>
    <xf numFmtId="172" fontId="44" fillId="0" borderId="0" xfId="1" applyNumberFormat="1" applyFont="1" applyFill="1" applyAlignment="1">
      <alignment vertical="center" shrinkToFit="1"/>
    </xf>
    <xf numFmtId="20" fontId="42" fillId="0" borderId="25" xfId="1" applyNumberFormat="1" applyFont="1" applyFill="1" applyBorder="1" applyAlignment="1">
      <alignment horizontal="right" vertical="center" shrinkToFit="1"/>
    </xf>
    <xf numFmtId="20" fontId="42" fillId="0" borderId="24" xfId="1" quotePrefix="1" applyNumberFormat="1" applyFont="1" applyFill="1" applyBorder="1" applyAlignment="1">
      <alignment horizontal="left" vertical="center" shrinkToFit="1"/>
    </xf>
    <xf numFmtId="20" fontId="42" fillId="0" borderId="25" xfId="1" quotePrefix="1" applyNumberFormat="1" applyFont="1" applyFill="1" applyBorder="1" applyAlignment="1">
      <alignment horizontal="left" vertical="center" shrinkToFit="1"/>
    </xf>
    <xf numFmtId="49" fontId="42" fillId="0" borderId="29" xfId="1" applyNumberFormat="1" applyFont="1" applyFill="1" applyBorder="1" applyAlignment="1">
      <alignment horizontal="left" vertical="center" shrinkToFit="1"/>
    </xf>
    <xf numFmtId="20" fontId="42" fillId="0" borderId="30" xfId="1" applyNumberFormat="1" applyFont="1" applyFill="1" applyBorder="1" applyAlignment="1">
      <alignment horizontal="left" vertical="center" shrinkToFit="1"/>
    </xf>
    <xf numFmtId="49" fontId="42" fillId="0" borderId="31" xfId="1" applyNumberFormat="1" applyFont="1" applyFill="1" applyBorder="1" applyAlignment="1">
      <alignment horizontal="left" vertical="center" shrinkToFit="1"/>
    </xf>
    <xf numFmtId="49" fontId="42" fillId="0" borderId="30" xfId="1" applyNumberFormat="1" applyFont="1" applyFill="1" applyBorder="1" applyAlignment="1">
      <alignment horizontal="left" vertical="center" shrinkToFit="1"/>
    </xf>
    <xf numFmtId="20" fontId="44" fillId="0" borderId="32" xfId="1" applyNumberFormat="1" applyFont="1" applyFill="1" applyBorder="1" applyAlignment="1">
      <alignment horizontal="center" vertical="center" shrinkToFit="1"/>
    </xf>
    <xf numFmtId="20" fontId="42" fillId="0" borderId="32" xfId="1" applyNumberFormat="1" applyFont="1" applyFill="1" applyBorder="1" applyAlignment="1">
      <alignment horizontal="right" vertical="center" shrinkToFit="1"/>
    </xf>
    <xf numFmtId="20" fontId="44" fillId="0" borderId="30" xfId="1" applyNumberFormat="1" applyFont="1" applyFill="1" applyBorder="1" applyAlignment="1">
      <alignment horizontal="center" vertical="center" shrinkToFit="1"/>
    </xf>
    <xf numFmtId="20" fontId="42" fillId="0" borderId="30" xfId="1" quotePrefix="1" applyNumberFormat="1" applyFont="1" applyFill="1" applyBorder="1" applyAlignment="1">
      <alignment horizontal="left" vertical="center" shrinkToFit="1"/>
    </xf>
    <xf numFmtId="20" fontId="42" fillId="0" borderId="32" xfId="1" quotePrefix="1" applyNumberFormat="1" applyFont="1" applyFill="1" applyBorder="1" applyAlignment="1">
      <alignment horizontal="left" vertical="center" shrinkToFit="1"/>
    </xf>
    <xf numFmtId="20" fontId="44" fillId="0" borderId="33" xfId="1" applyNumberFormat="1" applyFont="1" applyFill="1" applyBorder="1" applyAlignment="1">
      <alignment horizontal="center" vertical="center" shrinkToFit="1"/>
    </xf>
    <xf numFmtId="49" fontId="42" fillId="0" borderId="11" xfId="1" applyNumberFormat="1" applyFont="1" applyFill="1" applyBorder="1" applyAlignment="1">
      <alignment horizontal="left" vertical="center" shrinkToFit="1"/>
    </xf>
    <xf numFmtId="20" fontId="42" fillId="0" borderId="0" xfId="1" applyNumberFormat="1" applyFont="1" applyFill="1" applyAlignment="1">
      <alignment horizontal="left" vertical="center" shrinkToFit="1"/>
    </xf>
    <xf numFmtId="49" fontId="42" fillId="0" borderId="20" xfId="1" applyNumberFormat="1" applyFont="1" applyFill="1" applyBorder="1" applyAlignment="1">
      <alignment horizontal="left" vertical="center" shrinkToFit="1"/>
    </xf>
    <xf numFmtId="49" fontId="42" fillId="0" borderId="0" xfId="1" applyNumberFormat="1" applyFont="1" applyFill="1" applyAlignment="1">
      <alignment horizontal="left" vertical="center" shrinkToFit="1"/>
    </xf>
    <xf numFmtId="20" fontId="44" fillId="0" borderId="21" xfId="1" applyNumberFormat="1" applyFont="1" applyFill="1" applyBorder="1" applyAlignment="1">
      <alignment horizontal="center" vertical="center" shrinkToFit="1"/>
    </xf>
    <xf numFmtId="20" fontId="42" fillId="0" borderId="21" xfId="1" applyNumberFormat="1" applyFont="1" applyFill="1" applyBorder="1" applyAlignment="1">
      <alignment horizontal="right" vertical="center" shrinkToFit="1"/>
    </xf>
    <xf numFmtId="20" fontId="44" fillId="0" borderId="0" xfId="1" applyNumberFormat="1" applyFont="1" applyFill="1" applyAlignment="1">
      <alignment horizontal="center" vertical="center" shrinkToFit="1"/>
    </xf>
    <xf numFmtId="20" fontId="42" fillId="0" borderId="0" xfId="1" quotePrefix="1" applyNumberFormat="1" applyFont="1" applyFill="1" applyAlignment="1">
      <alignment horizontal="left" vertical="center" shrinkToFit="1"/>
    </xf>
    <xf numFmtId="20" fontId="42" fillId="0" borderId="21" xfId="1" quotePrefix="1" applyNumberFormat="1" applyFont="1" applyFill="1" applyBorder="1" applyAlignment="1">
      <alignment horizontal="left" vertical="center" shrinkToFit="1"/>
    </xf>
    <xf numFmtId="20" fontId="44" fillId="0" borderId="6" xfId="1" applyNumberFormat="1" applyFont="1" applyFill="1" applyBorder="1" applyAlignment="1">
      <alignment horizontal="center" vertical="center" shrinkToFit="1"/>
    </xf>
    <xf numFmtId="49" fontId="42" fillId="0" borderId="33" xfId="1" applyNumberFormat="1" applyFont="1" applyFill="1" applyBorder="1" applyAlignment="1">
      <alignment horizontal="centerContinuous" vertical="center" shrinkToFit="1"/>
    </xf>
    <xf numFmtId="20" fontId="42" fillId="0" borderId="24" xfId="1" applyNumberFormat="1" applyFont="1" applyFill="1" applyBorder="1" applyAlignment="1">
      <alignment horizontal="right" vertical="center" shrinkToFit="1"/>
    </xf>
    <xf numFmtId="49" fontId="42" fillId="0" borderId="24" xfId="1" applyNumberFormat="1" applyFont="1" applyFill="1" applyBorder="1" applyAlignment="1">
      <alignment vertical="center" shrinkToFit="1"/>
    </xf>
    <xf numFmtId="20" fontId="44" fillId="0" borderId="25" xfId="1" applyNumberFormat="1" applyFont="1" applyFill="1" applyBorder="1" applyAlignment="1">
      <alignment vertical="center" shrinkToFit="1"/>
    </xf>
    <xf numFmtId="20" fontId="42" fillId="0" borderId="21" xfId="1" applyNumberFormat="1" applyFont="1" applyFill="1" applyBorder="1" applyAlignment="1">
      <alignment horizontal="left" vertical="center" shrinkToFit="1"/>
    </xf>
    <xf numFmtId="20" fontId="42" fillId="0" borderId="0" xfId="1" applyNumberFormat="1" applyFont="1" applyFill="1" applyAlignment="1">
      <alignment horizontal="right" vertical="center" shrinkToFit="1"/>
    </xf>
    <xf numFmtId="20" fontId="44" fillId="0" borderId="21" xfId="1" applyNumberFormat="1" applyFont="1" applyFill="1" applyBorder="1" applyAlignment="1">
      <alignment vertical="center" shrinkToFit="1"/>
    </xf>
    <xf numFmtId="20" fontId="42" fillId="0" borderId="6" xfId="1" applyNumberFormat="1" applyFont="1" applyFill="1" applyBorder="1" applyAlignment="1">
      <alignment horizontal="left" vertical="center" shrinkToFit="1"/>
    </xf>
    <xf numFmtId="49" fontId="42" fillId="0" borderId="12" xfId="1" applyNumberFormat="1" applyFont="1" applyFill="1" applyBorder="1" applyAlignment="1">
      <alignment horizontal="left" vertical="center" shrinkToFit="1"/>
    </xf>
    <xf numFmtId="20" fontId="42" fillId="0" borderId="15" xfId="1" applyNumberFormat="1" applyFont="1" applyFill="1" applyBorder="1" applyAlignment="1">
      <alignment horizontal="left" vertical="center" shrinkToFit="1"/>
    </xf>
    <xf numFmtId="49" fontId="42" fillId="0" borderId="34" xfId="1" applyNumberFormat="1" applyFont="1" applyFill="1" applyBorder="1" applyAlignment="1">
      <alignment horizontal="left" vertical="center" shrinkToFit="1"/>
    </xf>
    <xf numFmtId="20" fontId="42" fillId="0" borderId="35" xfId="1" applyNumberFormat="1" applyFont="1" applyFill="1" applyBorder="1" applyAlignment="1">
      <alignment horizontal="left" vertical="center" shrinkToFit="1"/>
    </xf>
    <xf numFmtId="49" fontId="42" fillId="0" borderId="15" xfId="1" applyNumberFormat="1" applyFont="1" applyFill="1" applyBorder="1" applyAlignment="1">
      <alignment horizontal="left" vertical="center" shrinkToFit="1"/>
    </xf>
    <xf numFmtId="20" fontId="42" fillId="0" borderId="15" xfId="1" applyNumberFormat="1" applyFont="1" applyFill="1" applyBorder="1" applyAlignment="1">
      <alignment vertical="center" shrinkToFit="1"/>
    </xf>
    <xf numFmtId="20" fontId="42" fillId="0" borderId="35" xfId="1" applyNumberFormat="1" applyFont="1" applyFill="1" applyBorder="1" applyAlignment="1">
      <alignment vertical="center" shrinkToFit="1"/>
    </xf>
    <xf numFmtId="20" fontId="42" fillId="0" borderId="5" xfId="1" applyNumberFormat="1" applyFont="1" applyFill="1" applyBorder="1" applyAlignment="1">
      <alignment horizontal="left" vertical="center" shrinkToFit="1"/>
    </xf>
    <xf numFmtId="49" fontId="21" fillId="0" borderId="10" xfId="1" applyNumberFormat="1" applyFont="1" applyFill="1" applyBorder="1" applyAlignment="1">
      <alignment vertical="center" shrinkToFit="1"/>
    </xf>
  </cellXfs>
  <cellStyles count="3">
    <cellStyle name="Standard" xfId="0" builtinId="0"/>
    <cellStyle name="Standard 2" xfId="1" xr:uid="{A0184916-74F2-4AE5-B6A7-F643D028AC67}"/>
    <cellStyle name="Standard_~4982233 2" xfId="2" xr:uid="{19F0EE39-04FC-4DE4-AF7F-7CC430435AE8}"/>
  </cellStyles>
  <dxfs count="39">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22/11/relationships/FeaturePropertyBag" Target="featurePropertyBag/featurePropertyBag.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21</xdr:col>
          <xdr:colOff>69850</xdr:colOff>
          <xdr:row>1</xdr:row>
          <xdr:rowOff>69850</xdr:rowOff>
        </xdr:from>
        <xdr:to>
          <xdr:col>21</xdr:col>
          <xdr:colOff>1028700</xdr:colOff>
          <xdr:row>3</xdr:row>
          <xdr:rowOff>165100</xdr:rowOff>
        </xdr:to>
        <xdr:sp macro="" textlink="">
          <xdr:nvSpPr>
            <xdr:cNvPr id="1025" name="btnSwitchKW"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1" i="0" u="none" strike="noStrike" baseline="0">
                  <a:solidFill>
                    <a:srgbClr val="000000"/>
                  </a:solidFill>
                  <a:latin typeface="Aptos Narrow"/>
                </a:rPr>
                <a:t>KW wechseln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88900</xdr:colOff>
          <xdr:row>4</xdr:row>
          <xdr:rowOff>88900</xdr:rowOff>
        </xdr:from>
        <xdr:to>
          <xdr:col>21</xdr:col>
          <xdr:colOff>990600</xdr:colOff>
          <xdr:row>10</xdr:row>
          <xdr:rowOff>107950</xdr:rowOff>
        </xdr:to>
        <xdr:sp macro="" textlink="">
          <xdr:nvSpPr>
            <xdr:cNvPr id="1026" name="btnLoadDat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1" i="0" u="none" strike="noStrike" baseline="0">
                  <a:solidFill>
                    <a:srgbClr val="000000"/>
                  </a:solidFill>
                  <a:latin typeface="Aptos Narrow"/>
                </a:rPr>
                <a:t>Daten laden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57150</xdr:colOff>
          <xdr:row>11</xdr:row>
          <xdr:rowOff>69850</xdr:rowOff>
        </xdr:from>
        <xdr:to>
          <xdr:col>21</xdr:col>
          <xdr:colOff>1028700</xdr:colOff>
          <xdr:row>14</xdr:row>
          <xdr:rowOff>133350</xdr:rowOff>
        </xdr:to>
        <xdr:sp macro="" textlink="">
          <xdr:nvSpPr>
            <xdr:cNvPr id="1027" name="btnTransferTours"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1" i="0" u="none" strike="noStrike" baseline="0">
                  <a:solidFill>
                    <a:srgbClr val="000000"/>
                  </a:solidFill>
                  <a:latin typeface="Aptos Narrow"/>
                </a:rPr>
                <a:t>Transfer Tours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69850</xdr:colOff>
          <xdr:row>15</xdr:row>
          <xdr:rowOff>76200</xdr:rowOff>
        </xdr:from>
        <xdr:to>
          <xdr:col>21</xdr:col>
          <xdr:colOff>1041400</xdr:colOff>
          <xdr:row>18</xdr:row>
          <xdr:rowOff>133350</xdr:rowOff>
        </xdr:to>
        <xdr:sp macro="" textlink="">
          <xdr:nvSpPr>
            <xdr:cNvPr id="1028" name="btnTransferWABs"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1" i="0" u="none" strike="noStrike" baseline="0">
                  <a:solidFill>
                    <a:srgbClr val="000000"/>
                  </a:solidFill>
                  <a:latin typeface="Aptos Narrow"/>
                </a:rPr>
                <a:t>Transfer WABs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69850</xdr:colOff>
          <xdr:row>38</xdr:row>
          <xdr:rowOff>57150</xdr:rowOff>
        </xdr:from>
        <xdr:to>
          <xdr:col>21</xdr:col>
          <xdr:colOff>1060450</xdr:colOff>
          <xdr:row>45</xdr:row>
          <xdr:rowOff>127000</xdr:rowOff>
        </xdr:to>
        <xdr:sp macro="" textlink="">
          <xdr:nvSpPr>
            <xdr:cNvPr id="1033" name="btnPrint"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1" i="0" u="none" strike="noStrike" baseline="0">
                  <a:solidFill>
                    <a:srgbClr val="000000"/>
                  </a:solidFill>
                  <a:latin typeface="Aptos Narrow"/>
                </a:rPr>
                <a:t>Drucken</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17.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E769B-BD4D-4664-B911-5843FDAF9F80}">
  <sheetPr codeName="Tabelle1"/>
  <dimension ref="A1:AP81"/>
  <sheetViews>
    <sheetView tabSelected="1" topLeftCell="K8" zoomScaleNormal="100" zoomScalePageLayoutView="130" workbookViewId="0">
      <selection activeCell="Z20" sqref="Z20"/>
    </sheetView>
  </sheetViews>
  <sheetFormatPr baseColWidth="10" defaultColWidth="11.453125" defaultRowHeight="14.5" x14ac:dyDescent="0.35"/>
  <cols>
    <col min="1" max="1" width="13.7265625" customWidth="1"/>
    <col min="2" max="2" width="15.7265625" customWidth="1"/>
    <col min="3" max="3" width="15.7265625" style="221" customWidth="1"/>
    <col min="4" max="4" width="2.26953125" style="1" bestFit="1" customWidth="1"/>
    <col min="5" max="5" width="4" customWidth="1"/>
    <col min="6" max="6" width="15.7265625" customWidth="1"/>
    <col min="7" max="7" width="15.7265625" style="221" customWidth="1"/>
    <col min="8" max="8" width="2.26953125" customWidth="1"/>
    <col min="9" max="9" width="4" customWidth="1"/>
    <col min="10" max="11" width="15.7265625" customWidth="1"/>
    <col min="12" max="12" width="2.26953125" customWidth="1"/>
    <col min="13" max="13" width="3.81640625" customWidth="1"/>
    <col min="14" max="14" width="15.7265625" customWidth="1"/>
    <col min="15" max="15" width="15.7265625" style="221" customWidth="1"/>
    <col min="16" max="16" width="2.26953125" customWidth="1"/>
    <col min="17" max="17" width="3.81640625" customWidth="1"/>
    <col min="18" max="18" width="15.7265625" customWidth="1"/>
    <col min="19" max="19" width="15.7265625" style="221" customWidth="1"/>
    <col min="20" max="20" width="2.26953125" customWidth="1"/>
    <col min="21" max="21" width="3.81640625" customWidth="1"/>
    <col min="22" max="22" width="16.54296875" customWidth="1"/>
    <col min="23" max="23" width="26.453125" customWidth="1"/>
    <col min="42" max="42" width="22.81640625" customWidth="1"/>
  </cols>
  <sheetData>
    <row r="1" spans="1:42" ht="20.25" customHeight="1" thickBot="1" x14ac:dyDescent="0.4">
      <c r="A1" s="214" t="s">
        <v>0</v>
      </c>
      <c r="B1" s="215">
        <v>45754</v>
      </c>
      <c r="C1" s="216"/>
      <c r="D1" s="216"/>
      <c r="E1" s="217"/>
      <c r="F1" s="215">
        <f>B1+1</f>
        <v>45755</v>
      </c>
      <c r="G1" s="216"/>
      <c r="H1" s="216"/>
      <c r="I1" s="217"/>
      <c r="J1" s="215">
        <f>F1+1</f>
        <v>45756</v>
      </c>
      <c r="K1" s="216"/>
      <c r="L1" s="216"/>
      <c r="M1" s="217"/>
      <c r="N1" s="215">
        <f>J1+1</f>
        <v>45757</v>
      </c>
      <c r="O1" s="216"/>
      <c r="P1" s="216"/>
      <c r="Q1" s="217"/>
      <c r="R1" s="215">
        <f>N1+1</f>
        <v>45758</v>
      </c>
      <c r="S1" s="216"/>
      <c r="T1" s="216"/>
      <c r="U1" s="217"/>
      <c r="V1" s="249" t="s">
        <v>140</v>
      </c>
      <c r="W1" s="250" t="s">
        <v>193</v>
      </c>
      <c r="X1" s="293" t="s">
        <v>194</v>
      </c>
      <c r="Y1" s="294"/>
      <c r="Z1" s="294"/>
      <c r="AA1" s="294"/>
      <c r="AB1" s="294"/>
      <c r="AC1" s="294"/>
      <c r="AD1" s="294"/>
      <c r="AE1" s="295"/>
      <c r="AF1" s="294"/>
      <c r="AG1" s="294"/>
      <c r="AH1" s="294"/>
      <c r="AI1" s="294"/>
      <c r="AJ1" s="294"/>
      <c r="AK1" s="294"/>
      <c r="AL1" s="294"/>
      <c r="AM1" s="294"/>
      <c r="AN1" s="294"/>
      <c r="AO1" s="296"/>
    </row>
    <row r="2" spans="1:42" ht="16.149999999999999" customHeight="1" thickBot="1" x14ac:dyDescent="0.4">
      <c r="A2" s="463" t="s">
        <v>7</v>
      </c>
      <c r="B2" s="388"/>
      <c r="C2" s="310"/>
      <c r="D2" s="231" t="s">
        <v>2</v>
      </c>
      <c r="E2" s="2"/>
      <c r="F2" s="310"/>
      <c r="G2" s="310"/>
      <c r="H2" s="212" t="s">
        <v>2</v>
      </c>
      <c r="I2" s="2"/>
      <c r="J2" s="389"/>
      <c r="K2" s="390"/>
      <c r="L2" s="212" t="s">
        <v>2</v>
      </c>
      <c r="M2" s="2"/>
      <c r="N2" s="388"/>
      <c r="O2" s="310"/>
      <c r="P2" s="231" t="s">
        <v>2</v>
      </c>
      <c r="Q2" s="2"/>
      <c r="R2" s="388"/>
      <c r="S2" s="310"/>
      <c r="T2" s="231" t="s">
        <v>2</v>
      </c>
      <c r="U2" s="2"/>
      <c r="V2" s="438"/>
      <c r="W2" s="461" t="s">
        <v>32</v>
      </c>
      <c r="X2" s="443" t="s">
        <v>141</v>
      </c>
      <c r="Y2" s="444"/>
      <c r="Z2" s="445"/>
      <c r="AA2" s="446" t="s">
        <v>33</v>
      </c>
      <c r="AB2" s="447"/>
      <c r="AC2" s="447"/>
      <c r="AD2" s="447"/>
      <c r="AE2" s="447"/>
      <c r="AF2" s="447"/>
      <c r="AG2" s="447"/>
      <c r="AH2" s="447"/>
      <c r="AI2" s="448"/>
      <c r="AJ2" s="449" t="e">
        <f>_xlfn.ISOWEEKNUM(X3)</f>
        <v>#VALUE!</v>
      </c>
      <c r="AK2" s="450"/>
      <c r="AL2" s="451"/>
      <c r="AM2" s="443" t="s">
        <v>34</v>
      </c>
      <c r="AN2" s="444"/>
      <c r="AO2" s="445"/>
      <c r="AP2" s="240"/>
    </row>
    <row r="3" spans="1:42" ht="16.149999999999999" customHeight="1" thickBot="1" x14ac:dyDescent="0.4">
      <c r="A3" s="464"/>
      <c r="B3" s="386"/>
      <c r="C3" s="387"/>
      <c r="D3" s="227" t="s">
        <v>3</v>
      </c>
      <c r="E3" s="3" t="b">
        <v>0</v>
      </c>
      <c r="F3" s="387"/>
      <c r="G3" s="387"/>
      <c r="H3" s="225" t="s">
        <v>3</v>
      </c>
      <c r="I3" s="3" t="b">
        <v>0</v>
      </c>
      <c r="J3" s="218"/>
      <c r="K3" s="385"/>
      <c r="L3" s="225" t="s">
        <v>3</v>
      </c>
      <c r="M3" s="3" t="b">
        <v>0</v>
      </c>
      <c r="N3" s="386"/>
      <c r="O3" s="387"/>
      <c r="P3" s="227" t="s">
        <v>3</v>
      </c>
      <c r="Q3" s="3" t="b">
        <v>0</v>
      </c>
      <c r="R3" s="386"/>
      <c r="S3" s="387"/>
      <c r="T3" s="227" t="s">
        <v>3</v>
      </c>
      <c r="U3" s="3" t="b">
        <v>0</v>
      </c>
      <c r="V3" s="439"/>
      <c r="W3" s="462"/>
      <c r="X3" s="452" t="s">
        <v>209</v>
      </c>
      <c r="Y3" s="453"/>
      <c r="Z3" s="454"/>
      <c r="AA3" s="452" t="s">
        <v>210</v>
      </c>
      <c r="AB3" s="453"/>
      <c r="AC3" s="454"/>
      <c r="AD3" s="452" t="s">
        <v>211</v>
      </c>
      <c r="AE3" s="453"/>
      <c r="AF3" s="454"/>
      <c r="AG3" s="452" t="s">
        <v>212</v>
      </c>
      <c r="AH3" s="453"/>
      <c r="AI3" s="454"/>
      <c r="AJ3" s="452" t="s">
        <v>213</v>
      </c>
      <c r="AK3" s="453"/>
      <c r="AL3" s="454"/>
      <c r="AM3" s="452" t="s">
        <v>214</v>
      </c>
      <c r="AN3" s="453"/>
      <c r="AO3" s="454"/>
      <c r="AP3" s="240"/>
    </row>
    <row r="4" spans="1:42" ht="16.149999999999999" customHeight="1" thickBot="1" x14ac:dyDescent="0.4">
      <c r="A4" s="465"/>
      <c r="B4" s="211"/>
      <c r="C4" s="220"/>
      <c r="D4" s="232" t="s">
        <v>4</v>
      </c>
      <c r="E4" s="4" t="b">
        <v>0</v>
      </c>
      <c r="F4" s="372"/>
      <c r="G4" s="220"/>
      <c r="H4" s="213" t="s">
        <v>4</v>
      </c>
      <c r="I4" s="4" t="b">
        <v>0</v>
      </c>
      <c r="J4" s="223"/>
      <c r="K4" s="224"/>
      <c r="L4" s="213" t="s">
        <v>4</v>
      </c>
      <c r="M4" s="4" t="b">
        <v>0</v>
      </c>
      <c r="N4" s="211"/>
      <c r="O4" s="220"/>
      <c r="P4" s="232" t="s">
        <v>4</v>
      </c>
      <c r="Q4" s="4" t="b">
        <v>0</v>
      </c>
      <c r="R4" s="211"/>
      <c r="S4" s="220"/>
      <c r="T4" s="232" t="s">
        <v>4</v>
      </c>
      <c r="U4" s="4" t="b">
        <v>0</v>
      </c>
      <c r="V4" s="440"/>
      <c r="W4" s="460" t="s">
        <v>35</v>
      </c>
      <c r="X4" s="957"/>
      <c r="Y4" s="958"/>
      <c r="Z4" s="959"/>
      <c r="AA4" s="960"/>
      <c r="AB4" s="961"/>
      <c r="AC4" s="962"/>
      <c r="AD4" s="960"/>
      <c r="AE4" s="958"/>
      <c r="AF4" s="959"/>
      <c r="AG4" s="963"/>
      <c r="AH4" s="964"/>
      <c r="AI4" s="965"/>
      <c r="AJ4" s="960"/>
      <c r="AK4" s="958"/>
      <c r="AL4" s="959"/>
      <c r="AM4" s="966"/>
      <c r="AN4" s="967"/>
      <c r="AO4" s="968"/>
      <c r="AP4" s="240"/>
    </row>
    <row r="5" spans="1:42" ht="16.149999999999999" customHeight="1" x14ac:dyDescent="0.35">
      <c r="A5" s="466" t="s">
        <v>171</v>
      </c>
      <c r="B5" s="388" t="s">
        <v>142</v>
      </c>
      <c r="C5" s="310"/>
      <c r="D5" s="231" t="s">
        <v>2</v>
      </c>
      <c r="E5" s="2" t="s">
        <v>198</v>
      </c>
      <c r="F5" s="310" t="s">
        <v>222</v>
      </c>
      <c r="G5" s="310"/>
      <c r="H5" s="212" t="s">
        <v>2</v>
      </c>
      <c r="I5" s="2" t="s">
        <v>199</v>
      </c>
      <c r="J5" s="389" t="s">
        <v>174</v>
      </c>
      <c r="K5" s="390"/>
      <c r="L5" s="212" t="s">
        <v>2</v>
      </c>
      <c r="M5" s="2">
        <v>2</v>
      </c>
      <c r="N5" s="388" t="s">
        <v>180</v>
      </c>
      <c r="O5" s="310"/>
      <c r="P5" s="231" t="s">
        <v>2</v>
      </c>
      <c r="Q5" s="2">
        <v>2</v>
      </c>
      <c r="R5" s="388"/>
      <c r="S5" s="310"/>
      <c r="T5" s="231" t="s">
        <v>2</v>
      </c>
      <c r="U5" s="2"/>
      <c r="V5" s="438"/>
      <c r="W5" s="459"/>
      <c r="X5" s="969"/>
      <c r="Y5" s="970"/>
      <c r="Z5" s="971"/>
      <c r="AA5" s="972"/>
      <c r="AB5" s="970"/>
      <c r="AC5" s="973"/>
      <c r="AD5" s="974"/>
      <c r="AE5" s="970"/>
      <c r="AF5" s="975"/>
      <c r="AG5" s="976"/>
      <c r="AH5" s="977"/>
      <c r="AI5" s="978"/>
      <c r="AJ5" s="974"/>
      <c r="AK5" s="970"/>
      <c r="AL5" s="971"/>
      <c r="AM5" s="972"/>
      <c r="AN5" s="970"/>
      <c r="AO5" s="979"/>
      <c r="AP5" s="240"/>
    </row>
    <row r="6" spans="1:42" ht="16.149999999999999" customHeight="1" x14ac:dyDescent="0.35">
      <c r="A6" s="464"/>
      <c r="B6" s="386" t="s">
        <v>143</v>
      </c>
      <c r="C6" s="387"/>
      <c r="D6" s="227" t="s">
        <v>3</v>
      </c>
      <c r="E6" s="3" t="b">
        <v>0</v>
      </c>
      <c r="F6" s="387" t="s">
        <v>144</v>
      </c>
      <c r="G6" s="387"/>
      <c r="H6" s="225" t="s">
        <v>3</v>
      </c>
      <c r="I6" s="3" t="b">
        <v>0</v>
      </c>
      <c r="J6" s="218" t="s">
        <v>145</v>
      </c>
      <c r="K6" s="385"/>
      <c r="L6" s="225" t="s">
        <v>3</v>
      </c>
      <c r="M6" s="3" t="b">
        <v>0</v>
      </c>
      <c r="N6" s="386" t="s">
        <v>146</v>
      </c>
      <c r="O6" s="387"/>
      <c r="P6" s="227" t="s">
        <v>3</v>
      </c>
      <c r="Q6" s="3" t="b">
        <v>0</v>
      </c>
      <c r="R6" s="386"/>
      <c r="S6" s="387"/>
      <c r="T6" s="227" t="s">
        <v>3</v>
      </c>
      <c r="U6" s="3" t="b">
        <v>0</v>
      </c>
      <c r="V6" s="439"/>
      <c r="W6" s="459"/>
      <c r="X6" s="980"/>
      <c r="Y6" s="981"/>
      <c r="Z6" s="982"/>
      <c r="AA6" s="983"/>
      <c r="AB6" s="984"/>
      <c r="AC6" s="985"/>
      <c r="AD6" s="983"/>
      <c r="AE6" s="981"/>
      <c r="AF6" s="986"/>
      <c r="AG6" s="987"/>
      <c r="AH6" s="988"/>
      <c r="AI6" s="989"/>
      <c r="AJ6" s="981"/>
      <c r="AK6" s="981"/>
      <c r="AL6" s="982"/>
      <c r="AM6" s="983"/>
      <c r="AN6" s="984"/>
      <c r="AO6" s="990"/>
      <c r="AP6" s="240"/>
    </row>
    <row r="7" spans="1:42" ht="16.149999999999999" customHeight="1" thickBot="1" x14ac:dyDescent="0.4">
      <c r="A7" s="465"/>
      <c r="B7" s="211">
        <v>0.33333333333333331</v>
      </c>
      <c r="C7" s="220">
        <v>1</v>
      </c>
      <c r="D7" s="232" t="s">
        <v>4</v>
      </c>
      <c r="E7" s="4" t="b">
        <v>1</v>
      </c>
      <c r="F7" s="211">
        <v>0.33333333333333331</v>
      </c>
      <c r="G7" s="220">
        <v>1</v>
      </c>
      <c r="H7" s="213" t="s">
        <v>4</v>
      </c>
      <c r="I7" s="4" t="b">
        <v>1</v>
      </c>
      <c r="J7" s="211">
        <v>0.33333333333333331</v>
      </c>
      <c r="K7" s="224">
        <v>1</v>
      </c>
      <c r="L7" s="213" t="s">
        <v>4</v>
      </c>
      <c r="M7" s="4" t="b">
        <v>1</v>
      </c>
      <c r="N7" s="211">
        <v>0.33333333333333331</v>
      </c>
      <c r="O7" s="220">
        <v>1</v>
      </c>
      <c r="P7" s="232" t="s">
        <v>4</v>
      </c>
      <c r="Q7" s="4" t="b">
        <v>1</v>
      </c>
      <c r="R7" s="211"/>
      <c r="S7" s="220"/>
      <c r="T7" s="232" t="s">
        <v>4</v>
      </c>
      <c r="U7" s="4" t="b">
        <v>0</v>
      </c>
      <c r="V7" s="439"/>
      <c r="W7" s="458" t="s">
        <v>36</v>
      </c>
      <c r="X7" s="991"/>
      <c r="Y7" s="992"/>
      <c r="Z7" s="992"/>
      <c r="AA7" s="993"/>
      <c r="AB7" s="994"/>
      <c r="AC7" s="995"/>
      <c r="AD7" s="996"/>
      <c r="AE7" s="992"/>
      <c r="AF7" s="992"/>
      <c r="AG7" s="993"/>
      <c r="AH7" s="994"/>
      <c r="AI7" s="995"/>
      <c r="AJ7" s="996"/>
      <c r="AK7" s="992"/>
      <c r="AL7" s="992"/>
      <c r="AM7" s="993"/>
      <c r="AN7" s="994"/>
      <c r="AO7" s="997"/>
      <c r="AP7" s="240"/>
    </row>
    <row r="8" spans="1:42" ht="16.149999999999999" customHeight="1" x14ac:dyDescent="0.35">
      <c r="A8" s="466" t="s">
        <v>5</v>
      </c>
      <c r="B8" s="388" t="s">
        <v>147</v>
      </c>
      <c r="C8" s="310"/>
      <c r="D8" s="231" t="s">
        <v>2</v>
      </c>
      <c r="E8" s="2" t="s">
        <v>199</v>
      </c>
      <c r="F8" s="310" t="s">
        <v>148</v>
      </c>
      <c r="G8" s="222"/>
      <c r="H8" s="212" t="s">
        <v>2</v>
      </c>
      <c r="I8" s="2" t="s">
        <v>199</v>
      </c>
      <c r="J8" s="389" t="s">
        <v>175</v>
      </c>
      <c r="K8" s="390"/>
      <c r="L8" s="212" t="s">
        <v>2</v>
      </c>
      <c r="M8" s="2">
        <v>2</v>
      </c>
      <c r="N8" s="388" t="s">
        <v>181</v>
      </c>
      <c r="O8" s="310"/>
      <c r="P8" s="231" t="s">
        <v>2</v>
      </c>
      <c r="Q8" s="2" t="s">
        <v>199</v>
      </c>
      <c r="R8" s="388"/>
      <c r="S8" s="310"/>
      <c r="T8" s="231" t="s">
        <v>2</v>
      </c>
      <c r="U8" s="2"/>
      <c r="V8" s="439"/>
      <c r="W8" s="459"/>
      <c r="X8" s="998"/>
      <c r="Y8" s="970"/>
      <c r="Z8" s="970"/>
      <c r="AA8" s="974"/>
      <c r="AB8" s="970"/>
      <c r="AC8" s="975"/>
      <c r="AD8" s="972"/>
      <c r="AE8" s="970"/>
      <c r="AF8" s="970"/>
      <c r="AG8" s="974"/>
      <c r="AH8" s="970"/>
      <c r="AI8" s="971"/>
      <c r="AJ8" s="972"/>
      <c r="AK8" s="970"/>
      <c r="AL8" s="970"/>
      <c r="AM8" s="974"/>
      <c r="AN8" s="970"/>
      <c r="AO8" s="999"/>
      <c r="AP8" s="240"/>
    </row>
    <row r="9" spans="1:42" ht="16.149999999999999" customHeight="1" x14ac:dyDescent="0.35">
      <c r="A9" s="464"/>
      <c r="B9" s="386" t="s">
        <v>149</v>
      </c>
      <c r="C9" s="387"/>
      <c r="D9" s="227" t="s">
        <v>3</v>
      </c>
      <c r="E9" s="3" t="b">
        <v>0</v>
      </c>
      <c r="F9" s="387" t="s">
        <v>150</v>
      </c>
      <c r="G9" s="387"/>
      <c r="H9" s="225" t="s">
        <v>3</v>
      </c>
      <c r="I9" s="304" t="b">
        <v>1</v>
      </c>
      <c r="J9" s="218" t="s">
        <v>151</v>
      </c>
      <c r="K9" s="385"/>
      <c r="L9" s="225" t="s">
        <v>3</v>
      </c>
      <c r="M9" s="3" t="b">
        <v>0</v>
      </c>
      <c r="N9" s="386" t="s">
        <v>152</v>
      </c>
      <c r="O9" s="387"/>
      <c r="P9" s="227" t="s">
        <v>3</v>
      </c>
      <c r="Q9" s="3" t="b">
        <v>0</v>
      </c>
      <c r="R9" s="386"/>
      <c r="S9" s="387"/>
      <c r="T9" s="227" t="s">
        <v>3</v>
      </c>
      <c r="U9" s="3" t="b">
        <v>0</v>
      </c>
      <c r="V9" s="439"/>
      <c r="W9" s="459"/>
      <c r="X9" s="980"/>
      <c r="Y9" s="984"/>
      <c r="Z9" s="984"/>
      <c r="AA9" s="983"/>
      <c r="AB9" s="981"/>
      <c r="AC9" s="982"/>
      <c r="AD9" s="983"/>
      <c r="AE9" s="984"/>
      <c r="AF9" s="984"/>
      <c r="AG9" s="983"/>
      <c r="AH9" s="981"/>
      <c r="AI9" s="982"/>
      <c r="AJ9" s="981"/>
      <c r="AK9" s="984"/>
      <c r="AL9" s="984"/>
      <c r="AM9" s="983"/>
      <c r="AN9" s="981"/>
      <c r="AO9" s="1000"/>
      <c r="AP9" s="240"/>
    </row>
    <row r="10" spans="1:42" ht="16.149999999999999" customHeight="1" thickBot="1" x14ac:dyDescent="0.4">
      <c r="A10" s="465"/>
      <c r="B10" s="373">
        <v>0.3125</v>
      </c>
      <c r="C10" s="302">
        <v>2</v>
      </c>
      <c r="D10" s="232" t="s">
        <v>4</v>
      </c>
      <c r="E10" s="4" t="b">
        <v>1</v>
      </c>
      <c r="F10" s="211">
        <v>0.29166666666666669</v>
      </c>
      <c r="G10" s="220">
        <v>1</v>
      </c>
      <c r="H10" s="213" t="s">
        <v>4</v>
      </c>
      <c r="I10" s="4" t="b">
        <v>1</v>
      </c>
      <c r="J10" s="223" t="s">
        <v>197</v>
      </c>
      <c r="K10" s="224">
        <v>1</v>
      </c>
      <c r="L10" s="213" t="s">
        <v>4</v>
      </c>
      <c r="M10" s="4" t="b">
        <v>1</v>
      </c>
      <c r="N10" s="211">
        <v>0.29166666666666669</v>
      </c>
      <c r="O10" s="220" t="s">
        <v>196</v>
      </c>
      <c r="P10" s="232" t="s">
        <v>4</v>
      </c>
      <c r="Q10" s="4" t="b">
        <v>1</v>
      </c>
      <c r="R10" s="211"/>
      <c r="S10" s="220"/>
      <c r="T10" s="232" t="s">
        <v>4</v>
      </c>
      <c r="U10" s="4" t="b">
        <v>0</v>
      </c>
      <c r="V10" s="439"/>
      <c r="W10" s="458" t="s">
        <v>37</v>
      </c>
      <c r="X10" s="1001"/>
      <c r="Y10" s="994"/>
      <c r="Z10" s="995"/>
      <c r="AA10" s="1002"/>
      <c r="AB10" s="1003"/>
      <c r="AC10" s="1004"/>
      <c r="AD10" s="1005"/>
      <c r="AE10" s="1006"/>
      <c r="AF10" s="1007"/>
      <c r="AG10" s="1005"/>
      <c r="AH10" s="1006"/>
      <c r="AI10" s="1007"/>
      <c r="AJ10" s="993"/>
      <c r="AK10" s="994"/>
      <c r="AL10" s="995"/>
      <c r="AM10" s="996"/>
      <c r="AN10" s="992"/>
      <c r="AO10" s="1008"/>
      <c r="AP10" s="240"/>
    </row>
    <row r="11" spans="1:42" ht="16.149999999999999" customHeight="1" thickBot="1" x14ac:dyDescent="0.4">
      <c r="A11" s="467" t="s">
        <v>172</v>
      </c>
      <c r="B11" s="388" t="s">
        <v>153</v>
      </c>
      <c r="C11" s="310"/>
      <c r="D11" s="231" t="s">
        <v>2</v>
      </c>
      <c r="E11" s="2">
        <v>2</v>
      </c>
      <c r="F11" s="310" t="s">
        <v>154</v>
      </c>
      <c r="G11" s="310"/>
      <c r="H11" s="212" t="s">
        <v>2</v>
      </c>
      <c r="I11" s="2">
        <v>1</v>
      </c>
      <c r="J11" s="389" t="s">
        <v>176</v>
      </c>
      <c r="K11" s="390"/>
      <c r="L11" s="212" t="s">
        <v>2</v>
      </c>
      <c r="M11" s="2">
        <v>2</v>
      </c>
      <c r="N11" s="388"/>
      <c r="O11" s="310"/>
      <c r="P11" s="231" t="s">
        <v>2</v>
      </c>
      <c r="Q11" s="2"/>
      <c r="R11" s="388" t="s">
        <v>184</v>
      </c>
      <c r="S11" s="310"/>
      <c r="T11" s="231" t="s">
        <v>2</v>
      </c>
      <c r="U11" s="2">
        <v>1</v>
      </c>
      <c r="V11" s="440"/>
      <c r="W11" s="459"/>
      <c r="X11" s="969"/>
      <c r="Y11" s="1009"/>
      <c r="Z11" s="975"/>
      <c r="AA11" s="972"/>
      <c r="AB11" s="970"/>
      <c r="AC11" s="973"/>
      <c r="AD11" s="1010"/>
      <c r="AE11" s="1011"/>
      <c r="AF11" s="971"/>
      <c r="AG11" s="1010"/>
      <c r="AH11" s="1011"/>
      <c r="AI11" s="971"/>
      <c r="AJ11" s="974"/>
      <c r="AK11" s="970"/>
      <c r="AL11" s="971"/>
      <c r="AM11" s="972"/>
      <c r="AN11" s="970"/>
      <c r="AO11" s="979"/>
      <c r="AP11" s="240"/>
    </row>
    <row r="12" spans="1:42" ht="16.149999999999999" customHeight="1" x14ac:dyDescent="0.35">
      <c r="A12" s="468"/>
      <c r="B12" s="386" t="s">
        <v>155</v>
      </c>
      <c r="C12" s="387"/>
      <c r="D12" s="227" t="s">
        <v>3</v>
      </c>
      <c r="E12" s="3" t="b">
        <v>0</v>
      </c>
      <c r="F12" s="387" t="s">
        <v>156</v>
      </c>
      <c r="G12" s="387"/>
      <c r="H12" s="225" t="s">
        <v>3</v>
      </c>
      <c r="I12" s="3" t="b">
        <v>0</v>
      </c>
      <c r="J12" s="218" t="s">
        <v>157</v>
      </c>
      <c r="K12" s="385"/>
      <c r="L12" s="225" t="s">
        <v>3</v>
      </c>
      <c r="M12" s="3" t="b">
        <v>0</v>
      </c>
      <c r="N12" s="386"/>
      <c r="O12" s="387"/>
      <c r="P12" s="227" t="s">
        <v>3</v>
      </c>
      <c r="Q12" s="3" t="b">
        <v>0</v>
      </c>
      <c r="R12" s="386" t="s">
        <v>156</v>
      </c>
      <c r="S12" s="387"/>
      <c r="T12" s="227" t="s">
        <v>3</v>
      </c>
      <c r="U12" s="3" t="b">
        <v>0</v>
      </c>
      <c r="V12" s="438"/>
      <c r="W12" s="459"/>
      <c r="X12" s="980"/>
      <c r="Y12" s="981"/>
      <c r="Z12" s="1012"/>
      <c r="AA12" s="983"/>
      <c r="AB12" s="984"/>
      <c r="AC12" s="985"/>
      <c r="AD12" s="1013"/>
      <c r="AE12" s="1014"/>
      <c r="AF12" s="986"/>
      <c r="AG12" s="1013"/>
      <c r="AH12" s="1014"/>
      <c r="AI12" s="986"/>
      <c r="AJ12" s="983"/>
      <c r="AK12" s="981"/>
      <c r="AL12" s="982"/>
      <c r="AM12" s="983"/>
      <c r="AN12" s="984"/>
      <c r="AO12" s="990"/>
      <c r="AP12" s="240"/>
    </row>
    <row r="13" spans="1:42" ht="16.149999999999999" customHeight="1" thickBot="1" x14ac:dyDescent="0.4">
      <c r="A13" s="469"/>
      <c r="B13" s="211">
        <v>0.33333333333333331</v>
      </c>
      <c r="C13" s="220">
        <v>1</v>
      </c>
      <c r="D13" s="232" t="s">
        <v>4</v>
      </c>
      <c r="E13" s="4" t="b">
        <v>1</v>
      </c>
      <c r="F13" s="372">
        <v>0.375</v>
      </c>
      <c r="G13" s="220" t="s">
        <v>196</v>
      </c>
      <c r="H13" s="213" t="s">
        <v>4</v>
      </c>
      <c r="I13" s="4" t="b">
        <v>1</v>
      </c>
      <c r="J13" s="211">
        <v>0.33333333333333331</v>
      </c>
      <c r="K13" s="224">
        <v>1</v>
      </c>
      <c r="L13" s="213" t="s">
        <v>4</v>
      </c>
      <c r="M13" s="4" t="b">
        <v>1</v>
      </c>
      <c r="N13" s="211"/>
      <c r="O13" s="220"/>
      <c r="P13" s="232" t="s">
        <v>4</v>
      </c>
      <c r="Q13" s="4" t="b">
        <v>0</v>
      </c>
      <c r="R13" s="211"/>
      <c r="S13" s="220">
        <v>1</v>
      </c>
      <c r="T13" s="232" t="s">
        <v>4</v>
      </c>
      <c r="U13" s="4" t="b">
        <v>1</v>
      </c>
      <c r="V13" s="439"/>
      <c r="W13" s="479" t="s">
        <v>38</v>
      </c>
      <c r="X13" s="1001"/>
      <c r="Y13" s="994"/>
      <c r="Z13" s="995"/>
      <c r="AA13" s="1002"/>
      <c r="AB13" s="1003"/>
      <c r="AC13" s="1003"/>
      <c r="AD13" s="993"/>
      <c r="AE13" s="994"/>
      <c r="AF13" s="995"/>
      <c r="AG13" s="992"/>
      <c r="AH13" s="992"/>
      <c r="AI13" s="992"/>
      <c r="AJ13" s="1005"/>
      <c r="AK13" s="1006"/>
      <c r="AL13" s="1007"/>
      <c r="AM13" s="1015"/>
      <c r="AN13" s="1016"/>
      <c r="AO13" s="1017"/>
      <c r="AP13" s="240"/>
    </row>
    <row r="14" spans="1:42" ht="16.149999999999999" customHeight="1" x14ac:dyDescent="0.35">
      <c r="A14" s="470" t="s">
        <v>6</v>
      </c>
      <c r="B14" s="393" t="s">
        <v>158</v>
      </c>
      <c r="C14" s="394"/>
      <c r="D14" s="227" t="s">
        <v>2</v>
      </c>
      <c r="E14" s="230">
        <v>2</v>
      </c>
      <c r="F14" s="356" t="s">
        <v>167</v>
      </c>
      <c r="G14" s="395"/>
      <c r="H14" s="212" t="s">
        <v>2</v>
      </c>
      <c r="I14" s="2" t="s">
        <v>199</v>
      </c>
      <c r="J14" s="389" t="s">
        <v>177</v>
      </c>
      <c r="K14" s="390"/>
      <c r="L14" s="212" t="s">
        <v>2</v>
      </c>
      <c r="M14" s="2">
        <v>2</v>
      </c>
      <c r="N14" s="388" t="s">
        <v>182</v>
      </c>
      <c r="O14" s="310"/>
      <c r="P14" s="231" t="s">
        <v>2</v>
      </c>
      <c r="Q14" s="2">
        <v>2</v>
      </c>
      <c r="R14" s="388"/>
      <c r="S14" s="310"/>
      <c r="T14" s="231" t="s">
        <v>2</v>
      </c>
      <c r="U14" s="2"/>
      <c r="V14" s="439"/>
      <c r="W14" s="480"/>
      <c r="X14" s="969"/>
      <c r="Y14" s="970"/>
      <c r="Z14" s="971"/>
      <c r="AA14" s="972"/>
      <c r="AB14" s="970"/>
      <c r="AC14" s="970"/>
      <c r="AD14" s="974"/>
      <c r="AE14" s="970"/>
      <c r="AF14" s="975"/>
      <c r="AG14" s="970"/>
      <c r="AH14" s="970"/>
      <c r="AI14" s="970"/>
      <c r="AJ14" s="1010"/>
      <c r="AK14" s="1011"/>
      <c r="AL14" s="971"/>
      <c r="AM14" s="972"/>
      <c r="AN14" s="970"/>
      <c r="AO14" s="979"/>
      <c r="AP14" s="240"/>
    </row>
    <row r="15" spans="1:42" ht="16.149999999999999" customHeight="1" thickBot="1" x14ac:dyDescent="0.4">
      <c r="A15" s="471"/>
      <c r="B15" s="386" t="s">
        <v>159</v>
      </c>
      <c r="C15" s="387"/>
      <c r="D15" s="227" t="s">
        <v>3</v>
      </c>
      <c r="E15" s="3" t="b">
        <v>0</v>
      </c>
      <c r="F15" s="386" t="s">
        <v>160</v>
      </c>
      <c r="G15" s="387"/>
      <c r="H15" s="225" t="s">
        <v>3</v>
      </c>
      <c r="I15" s="3" t="b">
        <v>0</v>
      </c>
      <c r="J15" s="218" t="s">
        <v>161</v>
      </c>
      <c r="K15" s="385"/>
      <c r="L15" s="225" t="s">
        <v>3</v>
      </c>
      <c r="M15" s="3" t="b">
        <v>0</v>
      </c>
      <c r="N15" s="386" t="s">
        <v>150</v>
      </c>
      <c r="O15" s="387"/>
      <c r="P15" s="227" t="s">
        <v>3</v>
      </c>
      <c r="Q15" s="3" t="b">
        <v>0</v>
      </c>
      <c r="R15" s="386"/>
      <c r="S15" s="387"/>
      <c r="T15" s="227" t="s">
        <v>3</v>
      </c>
      <c r="U15" s="3" t="b">
        <v>0</v>
      </c>
      <c r="V15" s="440"/>
      <c r="W15" s="480"/>
      <c r="X15" s="980"/>
      <c r="Y15" s="981"/>
      <c r="Z15" s="1018"/>
      <c r="AA15" s="983"/>
      <c r="AB15" s="984"/>
      <c r="AC15" s="984"/>
      <c r="AD15" s="983"/>
      <c r="AE15" s="981"/>
      <c r="AF15" s="982"/>
      <c r="AG15" s="981"/>
      <c r="AH15" s="984"/>
      <c r="AI15" s="984"/>
      <c r="AJ15" s="1013"/>
      <c r="AK15" s="1014"/>
      <c r="AL15" s="986"/>
      <c r="AM15" s="983"/>
      <c r="AN15" s="984"/>
      <c r="AO15" s="990"/>
      <c r="AP15" s="240"/>
    </row>
    <row r="16" spans="1:42" ht="16.149999999999999" customHeight="1" thickBot="1" x14ac:dyDescent="0.4">
      <c r="A16" s="472"/>
      <c r="B16" s="211">
        <v>0.33333333333333331</v>
      </c>
      <c r="C16" s="220">
        <v>1</v>
      </c>
      <c r="D16" s="232" t="s">
        <v>4</v>
      </c>
      <c r="E16" s="4" t="b">
        <v>1</v>
      </c>
      <c r="F16" s="211">
        <v>0.33333333333333331</v>
      </c>
      <c r="G16" s="220" t="s">
        <v>196</v>
      </c>
      <c r="H16" s="213" t="s">
        <v>4</v>
      </c>
      <c r="I16" s="4" t="b">
        <v>1</v>
      </c>
      <c r="J16" s="211">
        <v>0.33333333333333331</v>
      </c>
      <c r="K16" s="224">
        <v>1</v>
      </c>
      <c r="L16" s="213" t="s">
        <v>4</v>
      </c>
      <c r="M16" s="4" t="b">
        <v>1</v>
      </c>
      <c r="N16" s="211">
        <v>0.33333333333333331</v>
      </c>
      <c r="O16" s="220" t="s">
        <v>196</v>
      </c>
      <c r="P16" s="232" t="s">
        <v>4</v>
      </c>
      <c r="Q16" s="4" t="b">
        <v>1</v>
      </c>
      <c r="R16" s="211"/>
      <c r="S16" s="220"/>
      <c r="T16" s="232" t="s">
        <v>4</v>
      </c>
      <c r="U16" s="4" t="b">
        <v>0</v>
      </c>
      <c r="V16" s="438"/>
      <c r="W16" s="441" t="s">
        <v>39</v>
      </c>
      <c r="X16" s="998"/>
      <c r="Y16" s="970"/>
      <c r="Z16" s="970"/>
      <c r="AA16" s="993"/>
      <c r="AB16" s="994"/>
      <c r="AC16" s="995"/>
      <c r="AD16" s="1015"/>
      <c r="AE16" s="1016"/>
      <c r="AF16" s="1019"/>
      <c r="AG16" s="994"/>
      <c r="AH16" s="994"/>
      <c r="AI16" s="994"/>
      <c r="AJ16" s="996"/>
      <c r="AK16" s="992"/>
      <c r="AL16" s="1020"/>
      <c r="AM16" s="993"/>
      <c r="AN16" s="994"/>
      <c r="AO16" s="997"/>
      <c r="AP16" s="240"/>
    </row>
    <row r="17" spans="1:42" ht="16.149999999999999" customHeight="1" x14ac:dyDescent="0.35">
      <c r="A17" s="470" t="s">
        <v>173</v>
      </c>
      <c r="B17" s="388" t="s">
        <v>162</v>
      </c>
      <c r="C17" s="310"/>
      <c r="D17" s="231" t="s">
        <v>2</v>
      </c>
      <c r="E17" s="2" t="s">
        <v>199</v>
      </c>
      <c r="F17" s="954" t="s">
        <v>223</v>
      </c>
      <c r="G17" s="955"/>
      <c r="H17" s="212" t="s">
        <v>2</v>
      </c>
      <c r="I17" s="2" t="s">
        <v>199</v>
      </c>
      <c r="J17" s="389" t="s">
        <v>178</v>
      </c>
      <c r="K17" s="390"/>
      <c r="L17" s="212" t="s">
        <v>2</v>
      </c>
      <c r="M17" s="2">
        <v>2</v>
      </c>
      <c r="N17" s="388" t="s">
        <v>183</v>
      </c>
      <c r="O17" s="310"/>
      <c r="P17" s="231" t="s">
        <v>2</v>
      </c>
      <c r="Q17" s="2">
        <v>2</v>
      </c>
      <c r="R17" s="388"/>
      <c r="S17" s="310"/>
      <c r="T17" s="231" t="s">
        <v>2</v>
      </c>
      <c r="U17" s="2"/>
      <c r="V17" s="439"/>
      <c r="W17" s="442"/>
      <c r="X17" s="998"/>
      <c r="Y17" s="970"/>
      <c r="Z17" s="970"/>
      <c r="AA17" s="974"/>
      <c r="AB17" s="970"/>
      <c r="AC17" s="975"/>
      <c r="AD17" s="972"/>
      <c r="AE17" s="970"/>
      <c r="AF17" s="973"/>
      <c r="AG17" s="1021"/>
      <c r="AH17" s="970"/>
      <c r="AI17" s="1022"/>
      <c r="AJ17" s="972"/>
      <c r="AK17" s="970"/>
      <c r="AL17" s="973"/>
      <c r="AM17" s="974"/>
      <c r="AN17" s="970"/>
      <c r="AO17" s="999"/>
      <c r="AP17" s="240"/>
    </row>
    <row r="18" spans="1:42" ht="16.149999999999999" customHeight="1" x14ac:dyDescent="0.35">
      <c r="A18" s="471"/>
      <c r="B18" s="386" t="s">
        <v>163</v>
      </c>
      <c r="C18" s="387"/>
      <c r="D18" s="227" t="s">
        <v>3</v>
      </c>
      <c r="E18" s="3" t="b">
        <v>0</v>
      </c>
      <c r="F18" s="386" t="s">
        <v>164</v>
      </c>
      <c r="G18" s="387"/>
      <c r="H18" s="225" t="s">
        <v>3</v>
      </c>
      <c r="I18" s="3" t="b">
        <v>0</v>
      </c>
      <c r="J18" s="218" t="s">
        <v>165</v>
      </c>
      <c r="K18" s="385"/>
      <c r="L18" s="225" t="s">
        <v>3</v>
      </c>
      <c r="M18" s="3" t="b">
        <v>0</v>
      </c>
      <c r="N18" s="386" t="s">
        <v>166</v>
      </c>
      <c r="O18" s="387"/>
      <c r="P18" s="227" t="s">
        <v>3</v>
      </c>
      <c r="Q18" s="3" t="b">
        <v>0</v>
      </c>
      <c r="R18" s="386"/>
      <c r="S18" s="387"/>
      <c r="T18" s="227" t="s">
        <v>3</v>
      </c>
      <c r="U18" s="3" t="b">
        <v>0</v>
      </c>
      <c r="V18" s="439"/>
      <c r="W18" s="442"/>
      <c r="X18" s="980"/>
      <c r="Y18" s="984"/>
      <c r="Z18" s="984"/>
      <c r="AA18" s="983"/>
      <c r="AB18" s="981"/>
      <c r="AC18" s="982"/>
      <c r="AD18" s="983"/>
      <c r="AE18" s="984"/>
      <c r="AF18" s="1023"/>
      <c r="AG18" s="981"/>
      <c r="AH18" s="981"/>
      <c r="AI18" s="1012"/>
      <c r="AJ18" s="983"/>
      <c r="AK18" s="1024"/>
      <c r="AL18" s="1025"/>
      <c r="AM18" s="983"/>
      <c r="AN18" s="981"/>
      <c r="AO18" s="1000"/>
      <c r="AP18" s="240"/>
    </row>
    <row r="19" spans="1:42" ht="16.149999999999999" customHeight="1" thickBot="1" x14ac:dyDescent="0.4">
      <c r="A19" s="472"/>
      <c r="B19" s="211">
        <v>0.3125</v>
      </c>
      <c r="C19" s="220">
        <v>1</v>
      </c>
      <c r="D19" s="232" t="s">
        <v>4</v>
      </c>
      <c r="E19" s="4" t="b">
        <v>1</v>
      </c>
      <c r="F19" s="211">
        <v>0.33333333333333331</v>
      </c>
      <c r="G19" s="220" t="s">
        <v>196</v>
      </c>
      <c r="H19" s="213" t="s">
        <v>4</v>
      </c>
      <c r="I19" s="4" t="b">
        <v>1</v>
      </c>
      <c r="J19" s="223" t="s">
        <v>195</v>
      </c>
      <c r="K19" s="224">
        <v>1</v>
      </c>
      <c r="L19" s="213" t="s">
        <v>4</v>
      </c>
      <c r="M19" s="4" t="b">
        <v>1</v>
      </c>
      <c r="N19" s="211">
        <v>0.33333333333333331</v>
      </c>
      <c r="O19" s="220" t="s">
        <v>196</v>
      </c>
      <c r="P19" s="232" t="s">
        <v>4</v>
      </c>
      <c r="Q19" s="4" t="b">
        <v>1</v>
      </c>
      <c r="R19" s="211"/>
      <c r="S19" s="220"/>
      <c r="T19" s="232" t="s">
        <v>4</v>
      </c>
      <c r="U19" s="4" t="b">
        <v>0</v>
      </c>
      <c r="V19" s="440"/>
      <c r="W19" s="441" t="s">
        <v>40</v>
      </c>
      <c r="X19" s="1026"/>
      <c r="Y19" s="1027"/>
      <c r="Z19" s="1027"/>
      <c r="AA19" s="1028"/>
      <c r="AB19" s="1029"/>
      <c r="AC19" s="1030"/>
      <c r="AD19" s="1028"/>
      <c r="AE19" s="1027"/>
      <c r="AF19" s="1031"/>
      <c r="AG19" s="1029"/>
      <c r="AH19" s="1029"/>
      <c r="AI19" s="1032"/>
      <c r="AJ19" s="1028"/>
      <c r="AK19" s="1033"/>
      <c r="AL19" s="1034"/>
      <c r="AM19" s="1028"/>
      <c r="AN19" s="1029"/>
      <c r="AO19" s="1035"/>
      <c r="AP19" s="240"/>
    </row>
    <row r="20" spans="1:42" ht="16.149999999999999" customHeight="1" x14ac:dyDescent="0.35">
      <c r="A20" s="470" t="s">
        <v>1</v>
      </c>
      <c r="B20" s="388" t="s">
        <v>215</v>
      </c>
      <c r="C20" s="310"/>
      <c r="D20" s="231" t="s">
        <v>2</v>
      </c>
      <c r="E20" s="2">
        <v>1</v>
      </c>
      <c r="F20" s="388" t="s">
        <v>167</v>
      </c>
      <c r="G20" s="310"/>
      <c r="H20" s="212" t="s">
        <v>2</v>
      </c>
      <c r="I20" s="2">
        <v>2</v>
      </c>
      <c r="J20" s="389" t="s">
        <v>179</v>
      </c>
      <c r="K20" s="390"/>
      <c r="L20" s="212" t="s">
        <v>2</v>
      </c>
      <c r="M20" s="2">
        <v>2</v>
      </c>
      <c r="N20" s="388"/>
      <c r="O20" s="310"/>
      <c r="P20" s="231" t="s">
        <v>2</v>
      </c>
      <c r="Q20" s="2"/>
      <c r="R20" s="388"/>
      <c r="S20" s="310"/>
      <c r="T20" s="231" t="s">
        <v>2</v>
      </c>
      <c r="U20" s="2"/>
      <c r="V20" s="455"/>
      <c r="W20" s="442"/>
      <c r="X20" s="1036"/>
      <c r="Y20" s="1037"/>
      <c r="Z20" s="1037"/>
      <c r="AA20" s="1038"/>
      <c r="AB20" s="1039"/>
      <c r="AC20" s="1040"/>
      <c r="AD20" s="1038"/>
      <c r="AE20" s="1037"/>
      <c r="AF20" s="1041"/>
      <c r="AG20" s="1039"/>
      <c r="AH20" s="1039"/>
      <c r="AI20" s="1042"/>
      <c r="AJ20" s="1038"/>
      <c r="AK20" s="1043"/>
      <c r="AL20" s="1044"/>
      <c r="AM20" s="1038"/>
      <c r="AN20" s="1039"/>
      <c r="AO20" s="1045"/>
      <c r="AP20" s="240"/>
    </row>
    <row r="21" spans="1:42" ht="16.149999999999999" customHeight="1" x14ac:dyDescent="0.35">
      <c r="A21" s="471"/>
      <c r="B21" s="386" t="s">
        <v>239</v>
      </c>
      <c r="C21" s="387"/>
      <c r="D21" s="227" t="s">
        <v>3</v>
      </c>
      <c r="E21" s="3" t="b">
        <v>0</v>
      </c>
      <c r="F21" s="386" t="s">
        <v>168</v>
      </c>
      <c r="G21" s="387"/>
      <c r="H21" s="225" t="s">
        <v>3</v>
      </c>
      <c r="I21" s="3" t="b">
        <v>0</v>
      </c>
      <c r="J21" s="218" t="s">
        <v>169</v>
      </c>
      <c r="K21" s="385"/>
      <c r="L21" s="225" t="s">
        <v>3</v>
      </c>
      <c r="M21" s="3" t="b">
        <v>0</v>
      </c>
      <c r="N21" s="386"/>
      <c r="O21" s="387"/>
      <c r="P21" s="227" t="s">
        <v>3</v>
      </c>
      <c r="Q21" s="3" t="b">
        <v>0</v>
      </c>
      <c r="R21" s="386"/>
      <c r="S21" s="387"/>
      <c r="T21" s="227" t="s">
        <v>3</v>
      </c>
      <c r="U21" s="3" t="b">
        <v>0</v>
      </c>
      <c r="V21" s="456"/>
      <c r="W21" s="442"/>
      <c r="X21" s="980"/>
      <c r="Y21" s="984"/>
      <c r="Z21" s="984"/>
      <c r="AA21" s="983"/>
      <c r="AB21" s="981"/>
      <c r="AC21" s="982"/>
      <c r="AD21" s="983"/>
      <c r="AE21" s="984"/>
      <c r="AF21" s="1023"/>
      <c r="AG21" s="981"/>
      <c r="AH21" s="981"/>
      <c r="AI21" s="1012"/>
      <c r="AJ21" s="983"/>
      <c r="AK21" s="1024"/>
      <c r="AL21" s="1025"/>
      <c r="AM21" s="983"/>
      <c r="AN21" s="981"/>
      <c r="AO21" s="1000"/>
      <c r="AP21" s="240"/>
    </row>
    <row r="22" spans="1:42" ht="16.149999999999999" customHeight="1" thickBot="1" x14ac:dyDescent="0.4">
      <c r="A22" s="472"/>
      <c r="B22" s="211"/>
      <c r="C22" s="220">
        <v>1</v>
      </c>
      <c r="D22" s="232" t="s">
        <v>4</v>
      </c>
      <c r="E22" s="4" t="b">
        <v>0</v>
      </c>
      <c r="F22" s="211">
        <v>0.3125</v>
      </c>
      <c r="G22" s="220" t="s">
        <v>196</v>
      </c>
      <c r="H22" s="213" t="s">
        <v>4</v>
      </c>
      <c r="I22" s="4" t="b">
        <v>1</v>
      </c>
      <c r="J22" s="211">
        <v>0.33333333333333331</v>
      </c>
      <c r="K22" s="224">
        <v>1</v>
      </c>
      <c r="L22" s="213" t="s">
        <v>4</v>
      </c>
      <c r="M22" s="4" t="b">
        <v>1</v>
      </c>
      <c r="N22" s="211"/>
      <c r="O22" s="220"/>
      <c r="P22" s="232" t="s">
        <v>4</v>
      </c>
      <c r="Q22" s="4" t="b">
        <v>0</v>
      </c>
      <c r="R22" s="211"/>
      <c r="S22" s="220"/>
      <c r="T22" s="232" t="s">
        <v>4</v>
      </c>
      <c r="U22" s="4" t="b">
        <v>0</v>
      </c>
      <c r="V22" s="456"/>
      <c r="W22" s="441" t="s">
        <v>41</v>
      </c>
      <c r="X22" s="1026"/>
      <c r="Y22" s="1027"/>
      <c r="Z22" s="1027"/>
      <c r="AA22" s="1028"/>
      <c r="AB22" s="1029"/>
      <c r="AC22" s="1030"/>
      <c r="AD22" s="1028"/>
      <c r="AE22" s="1027"/>
      <c r="AF22" s="1031"/>
      <c r="AG22" s="1029"/>
      <c r="AH22" s="1029"/>
      <c r="AI22" s="1032"/>
      <c r="AJ22" s="1028"/>
      <c r="AK22" s="1033"/>
      <c r="AL22" s="1034"/>
      <c r="AM22" s="1028"/>
      <c r="AN22" s="1029"/>
      <c r="AO22" s="1035"/>
      <c r="AP22" s="240"/>
    </row>
    <row r="23" spans="1:42" ht="16.149999999999999" customHeight="1" x14ac:dyDescent="0.35">
      <c r="A23" s="473" t="s">
        <v>8</v>
      </c>
      <c r="B23" s="388" t="s">
        <v>216</v>
      </c>
      <c r="C23" s="310"/>
      <c r="D23" s="231" t="s">
        <v>2</v>
      </c>
      <c r="E23" s="2">
        <v>2</v>
      </c>
      <c r="F23" s="388"/>
      <c r="G23" s="310"/>
      <c r="H23" s="212" t="s">
        <v>2</v>
      </c>
      <c r="I23" s="2"/>
      <c r="J23" s="389" t="s">
        <v>227</v>
      </c>
      <c r="K23" s="390"/>
      <c r="L23" s="212" t="s">
        <v>2</v>
      </c>
      <c r="M23" s="2">
        <v>2</v>
      </c>
      <c r="N23" s="388" t="s">
        <v>231</v>
      </c>
      <c r="O23" s="310"/>
      <c r="P23" s="231" t="s">
        <v>2</v>
      </c>
      <c r="Q23" s="2">
        <v>2</v>
      </c>
      <c r="R23" s="388"/>
      <c r="S23" s="310"/>
      <c r="T23" s="231" t="s">
        <v>2</v>
      </c>
      <c r="U23" s="2"/>
      <c r="V23" s="456"/>
      <c r="W23" s="442"/>
      <c r="X23" s="1036"/>
      <c r="Y23" s="1037"/>
      <c r="Z23" s="1037"/>
      <c r="AA23" s="1038"/>
      <c r="AB23" s="1039"/>
      <c r="AC23" s="1040"/>
      <c r="AD23" s="1038"/>
      <c r="AE23" s="1037"/>
      <c r="AF23" s="1041"/>
      <c r="AG23" s="1039"/>
      <c r="AH23" s="1039"/>
      <c r="AI23" s="1042"/>
      <c r="AJ23" s="1038"/>
      <c r="AK23" s="1043"/>
      <c r="AL23" s="1044"/>
      <c r="AM23" s="1038"/>
      <c r="AN23" s="1039"/>
      <c r="AO23" s="1045"/>
      <c r="AP23" s="240"/>
    </row>
    <row r="24" spans="1:42" ht="16.149999999999999" customHeight="1" x14ac:dyDescent="0.35">
      <c r="A24" s="471"/>
      <c r="B24" s="386" t="s">
        <v>240</v>
      </c>
      <c r="C24" s="387"/>
      <c r="D24" s="227" t="s">
        <v>3</v>
      </c>
      <c r="E24" s="3" t="b">
        <v>0</v>
      </c>
      <c r="F24" s="386"/>
      <c r="G24" s="387"/>
      <c r="H24" s="225" t="s">
        <v>3</v>
      </c>
      <c r="I24" s="3" t="b">
        <v>0</v>
      </c>
      <c r="J24" s="218" t="s">
        <v>247</v>
      </c>
      <c r="K24" s="385"/>
      <c r="L24" s="225" t="s">
        <v>3</v>
      </c>
      <c r="M24" s="3" t="b">
        <v>0</v>
      </c>
      <c r="N24" s="386" t="s">
        <v>240</v>
      </c>
      <c r="O24" s="387"/>
      <c r="P24" s="227" t="s">
        <v>3</v>
      </c>
      <c r="Q24" s="3" t="b">
        <v>0</v>
      </c>
      <c r="R24" s="386"/>
      <c r="S24" s="387"/>
      <c r="T24" s="227" t="s">
        <v>3</v>
      </c>
      <c r="U24" s="3" t="b">
        <v>0</v>
      </c>
      <c r="V24" s="456"/>
      <c r="W24" s="442"/>
      <c r="X24" s="980"/>
      <c r="Y24" s="984"/>
      <c r="Z24" s="984"/>
      <c r="AA24" s="983"/>
      <c r="AB24" s="981"/>
      <c r="AC24" s="982"/>
      <c r="AD24" s="983"/>
      <c r="AE24" s="984"/>
      <c r="AF24" s="1023"/>
      <c r="AG24" s="981"/>
      <c r="AH24" s="981"/>
      <c r="AI24" s="1012"/>
      <c r="AJ24" s="983"/>
      <c r="AK24" s="1024"/>
      <c r="AL24" s="1025"/>
      <c r="AM24" s="983"/>
      <c r="AN24" s="981"/>
      <c r="AO24" s="1000"/>
      <c r="AP24" s="240"/>
    </row>
    <row r="25" spans="1:42" ht="16.149999999999999" customHeight="1" thickBot="1" x14ac:dyDescent="0.4">
      <c r="A25" s="472"/>
      <c r="B25" s="211">
        <v>0.33333333333333331</v>
      </c>
      <c r="C25" s="220">
        <v>1</v>
      </c>
      <c r="D25" s="232" t="s">
        <v>4</v>
      </c>
      <c r="E25" s="4" t="b">
        <v>1</v>
      </c>
      <c r="F25" s="211"/>
      <c r="G25" s="220"/>
      <c r="H25" s="213" t="s">
        <v>4</v>
      </c>
      <c r="I25" s="4" t="b">
        <v>0</v>
      </c>
      <c r="J25" s="211">
        <v>0.33333333333333331</v>
      </c>
      <c r="K25" s="224">
        <v>1</v>
      </c>
      <c r="L25" s="213" t="s">
        <v>4</v>
      </c>
      <c r="M25" s="4" t="b">
        <v>1</v>
      </c>
      <c r="N25" s="211">
        <v>0.33333333333333331</v>
      </c>
      <c r="O25" s="220" t="s">
        <v>196</v>
      </c>
      <c r="P25" s="232" t="s">
        <v>4</v>
      </c>
      <c r="Q25" s="4" t="b">
        <v>1</v>
      </c>
      <c r="R25" s="228"/>
      <c r="S25" s="229"/>
      <c r="T25" s="227" t="s">
        <v>4</v>
      </c>
      <c r="U25" s="3" t="b">
        <v>0</v>
      </c>
      <c r="V25" s="456"/>
      <c r="W25" s="441" t="s">
        <v>42</v>
      </c>
      <c r="X25" s="1001"/>
      <c r="Y25" s="994"/>
      <c r="Z25" s="995"/>
      <c r="AA25" s="1002"/>
      <c r="AB25" s="1003"/>
      <c r="AC25" s="1004"/>
      <c r="AD25" s="1002"/>
      <c r="AE25" s="1003"/>
      <c r="AF25" s="1004"/>
      <c r="AG25" s="1003"/>
      <c r="AH25" s="1003"/>
      <c r="AI25" s="1003"/>
      <c r="AJ25" s="993"/>
      <c r="AK25" s="994"/>
      <c r="AL25" s="995"/>
      <c r="AM25" s="1002"/>
      <c r="AN25" s="1003"/>
      <c r="AO25" s="1046"/>
      <c r="AP25" s="240"/>
    </row>
    <row r="26" spans="1:42" ht="16.149999999999999" customHeight="1" x14ac:dyDescent="0.35">
      <c r="A26" s="473" t="s">
        <v>9</v>
      </c>
      <c r="B26" s="388" t="s">
        <v>217</v>
      </c>
      <c r="C26" s="310"/>
      <c r="D26" s="231" t="s">
        <v>2</v>
      </c>
      <c r="E26" s="2">
        <v>3</v>
      </c>
      <c r="F26" s="388" t="s">
        <v>224</v>
      </c>
      <c r="G26" s="310"/>
      <c r="H26" s="212" t="s">
        <v>2</v>
      </c>
      <c r="I26" s="2">
        <v>2</v>
      </c>
      <c r="J26" s="389" t="s">
        <v>228</v>
      </c>
      <c r="K26" s="390"/>
      <c r="L26" s="212" t="s">
        <v>2</v>
      </c>
      <c r="M26" s="2">
        <v>3</v>
      </c>
      <c r="N26" s="388" t="s">
        <v>232</v>
      </c>
      <c r="O26" s="310"/>
      <c r="P26" s="231" t="s">
        <v>2</v>
      </c>
      <c r="Q26" s="234">
        <v>2</v>
      </c>
      <c r="R26" s="388"/>
      <c r="S26" s="310"/>
      <c r="T26" s="231" t="s">
        <v>2</v>
      </c>
      <c r="U26" s="2"/>
      <c r="V26" s="456"/>
      <c r="W26" s="442"/>
      <c r="X26" s="969"/>
      <c r="Y26" s="970"/>
      <c r="Z26" s="971"/>
      <c r="AA26" s="972"/>
      <c r="AB26" s="970"/>
      <c r="AC26" s="973"/>
      <c r="AD26" s="972"/>
      <c r="AE26" s="970"/>
      <c r="AF26" s="973"/>
      <c r="AG26" s="970"/>
      <c r="AH26" s="970"/>
      <c r="AI26" s="970"/>
      <c r="AJ26" s="974"/>
      <c r="AK26" s="970"/>
      <c r="AL26" s="975"/>
      <c r="AM26" s="972"/>
      <c r="AN26" s="970"/>
      <c r="AO26" s="979"/>
      <c r="AP26" s="240"/>
    </row>
    <row r="27" spans="1:42" ht="16.149999999999999" customHeight="1" x14ac:dyDescent="0.35">
      <c r="A27" s="471"/>
      <c r="B27" s="386" t="s">
        <v>241</v>
      </c>
      <c r="C27" s="387"/>
      <c r="D27" s="227" t="s">
        <v>3</v>
      </c>
      <c r="E27" s="3" t="b">
        <v>0</v>
      </c>
      <c r="F27" s="386" t="s">
        <v>240</v>
      </c>
      <c r="G27" s="387"/>
      <c r="H27" s="225" t="s">
        <v>3</v>
      </c>
      <c r="I27" s="3" t="b">
        <v>1</v>
      </c>
      <c r="J27" s="218" t="s">
        <v>248</v>
      </c>
      <c r="K27" s="385"/>
      <c r="L27" s="225" t="s">
        <v>3</v>
      </c>
      <c r="M27" s="3" t="b">
        <v>0</v>
      </c>
      <c r="N27" s="386" t="s">
        <v>251</v>
      </c>
      <c r="O27" s="387"/>
      <c r="P27" s="227" t="s">
        <v>3</v>
      </c>
      <c r="Q27" s="235" t="b">
        <v>0</v>
      </c>
      <c r="R27" s="386"/>
      <c r="S27" s="387"/>
      <c r="T27" s="227" t="s">
        <v>3</v>
      </c>
      <c r="U27" s="3" t="b">
        <v>0</v>
      </c>
      <c r="V27" s="456"/>
      <c r="W27" s="442"/>
      <c r="X27" s="980"/>
      <c r="Y27" s="981"/>
      <c r="Z27" s="982"/>
      <c r="AA27" s="983"/>
      <c r="AB27" s="984"/>
      <c r="AC27" s="985"/>
      <c r="AD27" s="983"/>
      <c r="AE27" s="984"/>
      <c r="AF27" s="1023"/>
      <c r="AG27" s="981"/>
      <c r="AH27" s="984"/>
      <c r="AI27" s="1047"/>
      <c r="AJ27" s="983"/>
      <c r="AK27" s="1048"/>
      <c r="AL27" s="1049"/>
      <c r="AM27" s="983"/>
      <c r="AN27" s="984"/>
      <c r="AO27" s="990"/>
      <c r="AP27" s="240"/>
    </row>
    <row r="28" spans="1:42" ht="16.149999999999999" customHeight="1" thickBot="1" x14ac:dyDescent="0.4">
      <c r="A28" s="472"/>
      <c r="B28" s="211">
        <v>0.33333333333333331</v>
      </c>
      <c r="C28" s="220">
        <v>1</v>
      </c>
      <c r="D28" s="232" t="s">
        <v>4</v>
      </c>
      <c r="E28" s="4" t="b">
        <v>1</v>
      </c>
      <c r="F28" s="211">
        <v>0.33333333333333331</v>
      </c>
      <c r="G28" s="220" t="s">
        <v>196</v>
      </c>
      <c r="H28" s="213" t="s">
        <v>4</v>
      </c>
      <c r="I28" s="4" t="b">
        <v>0</v>
      </c>
      <c r="J28" s="211">
        <v>0.33333333333333331</v>
      </c>
      <c r="K28" s="224">
        <v>1</v>
      </c>
      <c r="L28" s="213" t="s">
        <v>4</v>
      </c>
      <c r="M28" s="4" t="b">
        <v>1</v>
      </c>
      <c r="N28" s="211">
        <v>0.33333333333333331</v>
      </c>
      <c r="O28" s="220" t="s">
        <v>196</v>
      </c>
      <c r="P28" s="232" t="s">
        <v>4</v>
      </c>
      <c r="Q28" s="236" t="b">
        <v>1</v>
      </c>
      <c r="R28" s="211"/>
      <c r="S28" s="220"/>
      <c r="T28" s="232" t="s">
        <v>4</v>
      </c>
      <c r="U28" s="4" t="b">
        <v>0</v>
      </c>
      <c r="V28" s="456"/>
      <c r="W28" s="441" t="s">
        <v>43</v>
      </c>
      <c r="X28" s="1036"/>
      <c r="Y28" s="1039"/>
      <c r="Z28" s="1042"/>
      <c r="AA28" s="1038"/>
      <c r="AB28" s="1037"/>
      <c r="AC28" s="1050"/>
      <c r="AD28" s="1038"/>
      <c r="AE28" s="1037"/>
      <c r="AF28" s="1041"/>
      <c r="AG28" s="1039"/>
      <c r="AH28" s="1037"/>
      <c r="AI28" s="1051"/>
      <c r="AJ28" s="1038"/>
      <c r="AK28" s="970"/>
      <c r="AL28" s="1052"/>
      <c r="AM28" s="1038"/>
      <c r="AN28" s="1037"/>
      <c r="AO28" s="1053"/>
      <c r="AP28" s="240"/>
    </row>
    <row r="29" spans="1:42" ht="16.149999999999999" customHeight="1" x14ac:dyDescent="0.35">
      <c r="A29" s="473" t="s">
        <v>10</v>
      </c>
      <c r="B29" s="388" t="s">
        <v>218</v>
      </c>
      <c r="C29" s="310"/>
      <c r="D29" s="231" t="s">
        <v>2</v>
      </c>
      <c r="E29" s="2">
        <v>4</v>
      </c>
      <c r="F29" s="388" t="s">
        <v>225</v>
      </c>
      <c r="G29" s="310"/>
      <c r="H29" s="212" t="s">
        <v>2</v>
      </c>
      <c r="I29" s="2">
        <v>2</v>
      </c>
      <c r="J29" s="389" t="s">
        <v>229</v>
      </c>
      <c r="K29" s="390"/>
      <c r="L29" s="212" t="s">
        <v>2</v>
      </c>
      <c r="M29" s="2">
        <v>2</v>
      </c>
      <c r="N29" s="388" t="s">
        <v>233</v>
      </c>
      <c r="O29" s="310"/>
      <c r="P29" s="231" t="s">
        <v>2</v>
      </c>
      <c r="Q29" s="2">
        <v>2</v>
      </c>
      <c r="R29" s="393"/>
      <c r="S29" s="394"/>
      <c r="T29" s="227" t="s">
        <v>2</v>
      </c>
      <c r="U29" s="230"/>
      <c r="V29" s="456"/>
      <c r="W29" s="442"/>
      <c r="X29" s="1036"/>
      <c r="Y29" s="1039"/>
      <c r="Z29" s="1042"/>
      <c r="AA29" s="1038"/>
      <c r="AB29" s="1037"/>
      <c r="AC29" s="1050"/>
      <c r="AD29" s="1038"/>
      <c r="AE29" s="1037"/>
      <c r="AF29" s="1041"/>
      <c r="AG29" s="1039"/>
      <c r="AH29" s="1037"/>
      <c r="AI29" s="1051"/>
      <c r="AJ29" s="1038"/>
      <c r="AK29" s="970"/>
      <c r="AL29" s="1052"/>
      <c r="AM29" s="1038"/>
      <c r="AN29" s="1037"/>
      <c r="AO29" s="1053"/>
      <c r="AP29" s="240"/>
    </row>
    <row r="30" spans="1:42" ht="16.149999999999999" customHeight="1" x14ac:dyDescent="0.35">
      <c r="A30" s="471"/>
      <c r="B30" s="386" t="s">
        <v>242</v>
      </c>
      <c r="C30" s="387"/>
      <c r="D30" s="227" t="s">
        <v>3</v>
      </c>
      <c r="E30" s="3" t="b">
        <v>0</v>
      </c>
      <c r="F30" s="386" t="s">
        <v>246</v>
      </c>
      <c r="G30" s="387"/>
      <c r="H30" s="225" t="s">
        <v>3</v>
      </c>
      <c r="I30" s="3" t="b">
        <v>0</v>
      </c>
      <c r="J30" s="218" t="s">
        <v>249</v>
      </c>
      <c r="K30" s="385"/>
      <c r="L30" s="225" t="s">
        <v>3</v>
      </c>
      <c r="M30" s="3" t="b">
        <v>0</v>
      </c>
      <c r="N30" s="386" t="s">
        <v>242</v>
      </c>
      <c r="O30" s="387"/>
      <c r="P30" s="227" t="s">
        <v>3</v>
      </c>
      <c r="Q30" s="3" t="b">
        <v>0</v>
      </c>
      <c r="R30" s="386"/>
      <c r="S30" s="387"/>
      <c r="T30" s="227" t="s">
        <v>3</v>
      </c>
      <c r="U30" s="3" t="b">
        <v>0</v>
      </c>
      <c r="V30" s="456"/>
      <c r="W30" s="442"/>
      <c r="X30" s="1036"/>
      <c r="Y30" s="1039"/>
      <c r="Z30" s="1042"/>
      <c r="AA30" s="1038"/>
      <c r="AB30" s="1037"/>
      <c r="AC30" s="1050"/>
      <c r="AD30" s="1038"/>
      <c r="AE30" s="1037"/>
      <c r="AF30" s="1041"/>
      <c r="AG30" s="1039"/>
      <c r="AH30" s="1037"/>
      <c r="AI30" s="1051"/>
      <c r="AJ30" s="983"/>
      <c r="AK30" s="1048"/>
      <c r="AL30" s="1049"/>
      <c r="AM30" s="1038"/>
      <c r="AN30" s="1037"/>
      <c r="AO30" s="1053"/>
      <c r="AP30" s="240"/>
    </row>
    <row r="31" spans="1:42" ht="16.149999999999999" customHeight="1" thickBot="1" x14ac:dyDescent="0.4">
      <c r="A31" s="472"/>
      <c r="B31" s="211">
        <v>0.33333333333333331</v>
      </c>
      <c r="C31" s="220">
        <v>1</v>
      </c>
      <c r="D31" s="232" t="s">
        <v>4</v>
      </c>
      <c r="E31" s="4" t="b">
        <v>1</v>
      </c>
      <c r="F31" s="211" t="s">
        <v>195</v>
      </c>
      <c r="G31" s="220" t="s">
        <v>196</v>
      </c>
      <c r="H31" s="213" t="s">
        <v>4</v>
      </c>
      <c r="I31" s="4" t="b">
        <v>0</v>
      </c>
      <c r="J31" s="211">
        <v>0.33333333333333331</v>
      </c>
      <c r="K31" s="224">
        <v>1</v>
      </c>
      <c r="L31" s="213" t="s">
        <v>4</v>
      </c>
      <c r="M31" s="4" t="b">
        <v>1</v>
      </c>
      <c r="N31" s="211">
        <v>0.33333333333333331</v>
      </c>
      <c r="O31" s="220" t="s">
        <v>196</v>
      </c>
      <c r="P31" s="232" t="s">
        <v>4</v>
      </c>
      <c r="Q31" s="4" t="b">
        <v>0</v>
      </c>
      <c r="R31" s="211"/>
      <c r="S31" s="220"/>
      <c r="T31" s="232" t="s">
        <v>4</v>
      </c>
      <c r="U31" s="4" t="b">
        <v>0</v>
      </c>
      <c r="V31" s="456"/>
      <c r="W31" s="441" t="s">
        <v>44</v>
      </c>
      <c r="X31" s="991"/>
      <c r="Y31" s="1003"/>
      <c r="Z31" s="1003"/>
      <c r="AA31" s="1002"/>
      <c r="AB31" s="1003"/>
      <c r="AC31" s="1004"/>
      <c r="AD31" s="1002"/>
      <c r="AE31" s="1003"/>
      <c r="AF31" s="1004"/>
      <c r="AG31" s="1003"/>
      <c r="AH31" s="1003"/>
      <c r="AI31" s="1004"/>
      <c r="AJ31" s="1003"/>
      <c r="AK31" s="1003"/>
      <c r="AL31" s="1004"/>
      <c r="AM31" s="1002"/>
      <c r="AN31" s="1003"/>
      <c r="AO31" s="1046"/>
      <c r="AP31" s="240"/>
    </row>
    <row r="32" spans="1:42" ht="16.149999999999999" customHeight="1" x14ac:dyDescent="0.35">
      <c r="A32" s="463" t="s">
        <v>10</v>
      </c>
      <c r="B32" s="393" t="s">
        <v>219</v>
      </c>
      <c r="C32" s="394"/>
      <c r="D32" s="227" t="s">
        <v>2</v>
      </c>
      <c r="E32" s="230"/>
      <c r="F32" s="393" t="s">
        <v>226</v>
      </c>
      <c r="G32" s="394"/>
      <c r="H32" s="225" t="s">
        <v>2</v>
      </c>
      <c r="I32" s="230">
        <v>2</v>
      </c>
      <c r="J32" s="391"/>
      <c r="K32" s="392"/>
      <c r="L32" s="225" t="s">
        <v>2</v>
      </c>
      <c r="M32" s="230">
        <v>2</v>
      </c>
      <c r="N32" s="393"/>
      <c r="O32" s="394"/>
      <c r="P32" s="227" t="s">
        <v>2</v>
      </c>
      <c r="Q32" s="230">
        <v>2</v>
      </c>
      <c r="R32" s="393"/>
      <c r="S32" s="394"/>
      <c r="T32" s="227" t="s">
        <v>2</v>
      </c>
      <c r="U32" s="230">
        <v>2</v>
      </c>
      <c r="V32" s="456"/>
      <c r="W32" s="442"/>
      <c r="X32" s="998"/>
      <c r="Y32" s="970"/>
      <c r="Z32" s="970"/>
      <c r="AA32" s="972"/>
      <c r="AB32" s="970"/>
      <c r="AC32" s="973"/>
      <c r="AD32" s="972"/>
      <c r="AE32" s="970"/>
      <c r="AF32" s="973"/>
      <c r="AG32" s="970"/>
      <c r="AH32" s="970"/>
      <c r="AI32" s="973"/>
      <c r="AJ32" s="970"/>
      <c r="AK32" s="970"/>
      <c r="AL32" s="973"/>
      <c r="AM32" s="972"/>
      <c r="AN32" s="970"/>
      <c r="AO32" s="979"/>
      <c r="AP32" s="240"/>
    </row>
    <row r="33" spans="1:42" ht="16.149999999999999" customHeight="1" thickBot="1" x14ac:dyDescent="0.4">
      <c r="A33" s="464"/>
      <c r="B33" s="386" t="s">
        <v>243</v>
      </c>
      <c r="C33" s="387"/>
      <c r="D33" s="227" t="s">
        <v>3</v>
      </c>
      <c r="E33" s="3" t="b">
        <v>0</v>
      </c>
      <c r="F33" s="386" t="s">
        <v>243</v>
      </c>
      <c r="G33" s="387"/>
      <c r="H33" s="225" t="s">
        <v>3</v>
      </c>
      <c r="I33" s="3" t="b">
        <v>0</v>
      </c>
      <c r="J33" s="218"/>
      <c r="K33" s="385"/>
      <c r="L33" s="225" t="s">
        <v>3</v>
      </c>
      <c r="M33" s="3" t="b">
        <v>1</v>
      </c>
      <c r="N33" s="386"/>
      <c r="O33" s="387"/>
      <c r="P33" s="227" t="s">
        <v>3</v>
      </c>
      <c r="Q33" s="3" t="b">
        <v>0</v>
      </c>
      <c r="R33" s="386"/>
      <c r="S33" s="387"/>
      <c r="T33" s="227" t="s">
        <v>3</v>
      </c>
      <c r="U33" s="3" t="b">
        <v>0</v>
      </c>
      <c r="V33" s="456"/>
      <c r="W33" s="442"/>
      <c r="X33" s="1054"/>
      <c r="Y33" s="1055"/>
      <c r="Z33" s="1055"/>
      <c r="AA33" s="1056"/>
      <c r="AB33" s="1055"/>
      <c r="AC33" s="1057"/>
      <c r="AD33" s="1056"/>
      <c r="AE33" s="1055"/>
      <c r="AF33" s="1057"/>
      <c r="AG33" s="1058"/>
      <c r="AH33" s="1055"/>
      <c r="AI33" s="1057"/>
      <c r="AJ33" s="1058"/>
      <c r="AK33" s="1059"/>
      <c r="AL33" s="1060"/>
      <c r="AM33" s="1056"/>
      <c r="AN33" s="1055"/>
      <c r="AO33" s="1061"/>
      <c r="AP33" s="240"/>
    </row>
    <row r="34" spans="1:42" ht="16.149999999999999" customHeight="1" thickBot="1" x14ac:dyDescent="0.4">
      <c r="A34" s="465"/>
      <c r="B34" s="228"/>
      <c r="C34" s="229">
        <v>1</v>
      </c>
      <c r="D34" s="227" t="s">
        <v>4</v>
      </c>
      <c r="E34" s="3" t="b">
        <v>0</v>
      </c>
      <c r="F34" s="228"/>
      <c r="G34" s="229" t="s">
        <v>200</v>
      </c>
      <c r="H34" s="226" t="s">
        <v>4</v>
      </c>
      <c r="I34" s="3" t="b">
        <v>0</v>
      </c>
      <c r="J34" s="237"/>
      <c r="K34" s="238"/>
      <c r="L34" s="226" t="s">
        <v>4</v>
      </c>
      <c r="M34" s="3" t="b">
        <v>0</v>
      </c>
      <c r="N34" s="228"/>
      <c r="O34" s="229"/>
      <c r="P34" s="227" t="s">
        <v>4</v>
      </c>
      <c r="Q34" s="3" t="b">
        <v>0</v>
      </c>
      <c r="R34" s="228"/>
      <c r="S34" s="229"/>
      <c r="T34" s="227" t="s">
        <v>4</v>
      </c>
      <c r="U34" s="3" t="b">
        <v>0</v>
      </c>
      <c r="V34" s="456"/>
      <c r="W34" s="241"/>
      <c r="X34" s="1039"/>
      <c r="Y34" s="1037"/>
      <c r="Z34" s="1037"/>
      <c r="AA34" s="1039"/>
      <c r="AB34" s="1037"/>
      <c r="AC34" s="1037"/>
      <c r="AD34" s="1039"/>
      <c r="AE34" s="1037"/>
      <c r="AF34" s="1037"/>
      <c r="AG34" s="1039"/>
      <c r="AH34" s="1037"/>
      <c r="AI34" s="1037"/>
      <c r="AJ34" s="970"/>
      <c r="AK34" s="970"/>
      <c r="AL34" s="970"/>
      <c r="AM34" s="1039"/>
      <c r="AN34" s="1037"/>
      <c r="AO34" s="1053"/>
      <c r="AP34" s="240"/>
    </row>
    <row r="35" spans="1:42" ht="16.149999999999999" customHeight="1" x14ac:dyDescent="0.35">
      <c r="A35" s="463" t="s">
        <v>10</v>
      </c>
      <c r="B35" s="388" t="s">
        <v>220</v>
      </c>
      <c r="C35" s="310"/>
      <c r="D35" s="231" t="s">
        <v>2</v>
      </c>
      <c r="E35" s="2"/>
      <c r="F35" s="388"/>
      <c r="G35" s="310"/>
      <c r="H35" s="212" t="s">
        <v>2</v>
      </c>
      <c r="I35" s="2"/>
      <c r="J35" s="389"/>
      <c r="K35" s="390"/>
      <c r="L35" s="212" t="s">
        <v>2</v>
      </c>
      <c r="M35" s="2"/>
      <c r="N35" s="388"/>
      <c r="O35" s="310"/>
      <c r="P35" s="231" t="s">
        <v>2</v>
      </c>
      <c r="Q35" s="2"/>
      <c r="R35" s="388"/>
      <c r="S35" s="310"/>
      <c r="T35" s="231" t="s">
        <v>2</v>
      </c>
      <c r="U35" s="2"/>
      <c r="V35" s="456"/>
      <c r="W35" s="481" t="s">
        <v>27</v>
      </c>
      <c r="X35" s="311"/>
      <c r="Y35" s="311"/>
      <c r="Z35" s="312"/>
      <c r="AA35" s="311"/>
      <c r="AB35" s="311"/>
      <c r="AC35" s="311"/>
      <c r="AD35" s="484"/>
      <c r="AE35" s="485"/>
      <c r="AF35" s="486"/>
      <c r="AG35" s="484"/>
      <c r="AH35" s="485"/>
      <c r="AI35" s="486"/>
      <c r="AJ35" s="484"/>
      <c r="AK35" s="485"/>
      <c r="AL35" s="486"/>
      <c r="AM35" s="271"/>
      <c r="AN35" s="272"/>
      <c r="AO35" s="273"/>
      <c r="AP35" s="240"/>
    </row>
    <row r="36" spans="1:42" ht="16.149999999999999" customHeight="1" x14ac:dyDescent="0.35">
      <c r="A36" s="464"/>
      <c r="B36" s="386" t="s">
        <v>244</v>
      </c>
      <c r="C36" s="387"/>
      <c r="D36" s="227" t="s">
        <v>3</v>
      </c>
      <c r="E36" s="3" t="b">
        <v>0</v>
      </c>
      <c r="F36" s="386"/>
      <c r="G36" s="387"/>
      <c r="H36" s="225" t="s">
        <v>3</v>
      </c>
      <c r="I36" s="3" t="b">
        <v>0</v>
      </c>
      <c r="J36" s="218"/>
      <c r="K36" s="385"/>
      <c r="L36" s="225" t="s">
        <v>3</v>
      </c>
      <c r="M36" s="3" t="b">
        <v>0</v>
      </c>
      <c r="N36" s="386"/>
      <c r="O36" s="387"/>
      <c r="P36" s="227" t="s">
        <v>3</v>
      </c>
      <c r="Q36" s="3" t="b">
        <v>0</v>
      </c>
      <c r="R36" s="218"/>
      <c r="S36" s="233"/>
      <c r="T36" s="227" t="s">
        <v>3</v>
      </c>
      <c r="U36" s="3" t="b">
        <v>0</v>
      </c>
      <c r="V36" s="456"/>
      <c r="W36" s="482"/>
      <c r="X36" s="970"/>
      <c r="Y36" s="970"/>
      <c r="Z36" s="973"/>
      <c r="AA36" s="970"/>
      <c r="AB36" s="970"/>
      <c r="AC36" s="970"/>
      <c r="AD36" s="1010"/>
      <c r="AE36" s="1011"/>
      <c r="AF36" s="971"/>
      <c r="AG36" s="1010"/>
      <c r="AH36" s="1011"/>
      <c r="AI36" s="971"/>
      <c r="AJ36" s="1010"/>
      <c r="AK36" s="1011"/>
      <c r="AL36" s="971"/>
      <c r="AM36" s="972"/>
      <c r="AN36" s="970"/>
      <c r="AO36" s="979"/>
      <c r="AP36" s="240"/>
    </row>
    <row r="37" spans="1:42" ht="16.149999999999999" customHeight="1" thickBot="1" x14ac:dyDescent="0.4">
      <c r="A37" s="465"/>
      <c r="B37" s="211"/>
      <c r="C37" s="220">
        <v>1</v>
      </c>
      <c r="D37" s="232" t="s">
        <v>4</v>
      </c>
      <c r="E37" s="4" t="b">
        <v>1</v>
      </c>
      <c r="F37" s="211"/>
      <c r="G37" s="220"/>
      <c r="H37" s="239" t="s">
        <v>4</v>
      </c>
      <c r="I37" s="4" t="b">
        <v>0</v>
      </c>
      <c r="J37" s="223"/>
      <c r="K37" s="224"/>
      <c r="L37" s="239" t="s">
        <v>4</v>
      </c>
      <c r="M37" s="4" t="b">
        <v>0</v>
      </c>
      <c r="N37" s="211"/>
      <c r="O37" s="220"/>
      <c r="P37" s="232" t="s">
        <v>4</v>
      </c>
      <c r="Q37" s="4" t="b">
        <v>0</v>
      </c>
      <c r="R37" s="211"/>
      <c r="S37" s="220"/>
      <c r="T37" s="232" t="s">
        <v>4</v>
      </c>
      <c r="U37" s="4" t="b">
        <v>0</v>
      </c>
      <c r="V37" s="456"/>
      <c r="W37" s="483"/>
      <c r="X37" s="981"/>
      <c r="Y37" s="1024"/>
      <c r="Z37" s="1025"/>
      <c r="AA37" s="981"/>
      <c r="AB37" s="984"/>
      <c r="AC37" s="984"/>
      <c r="AD37" s="1013"/>
      <c r="AE37" s="1014"/>
      <c r="AF37" s="986"/>
      <c r="AG37" s="1013"/>
      <c r="AH37" s="1014"/>
      <c r="AI37" s="986"/>
      <c r="AJ37" s="1013"/>
      <c r="AK37" s="1014"/>
      <c r="AL37" s="986"/>
      <c r="AM37" s="983"/>
      <c r="AN37" s="984"/>
      <c r="AO37" s="990"/>
      <c r="AP37" s="240"/>
    </row>
    <row r="38" spans="1:42" ht="16.149999999999999" customHeight="1" thickBot="1" x14ac:dyDescent="0.4">
      <c r="A38" s="463" t="s">
        <v>10</v>
      </c>
      <c r="B38" s="388"/>
      <c r="C38" s="310"/>
      <c r="D38" s="231" t="s">
        <v>2</v>
      </c>
      <c r="E38" s="2"/>
      <c r="F38" s="388"/>
      <c r="G38" s="310"/>
      <c r="H38" s="212" t="s">
        <v>2</v>
      </c>
      <c r="I38" s="2"/>
      <c r="J38" s="389" t="s">
        <v>230</v>
      </c>
      <c r="K38" s="390"/>
      <c r="L38" s="212" t="s">
        <v>2</v>
      </c>
      <c r="M38" s="2"/>
      <c r="N38" s="388" t="s">
        <v>234</v>
      </c>
      <c r="O38" s="310"/>
      <c r="P38" s="231" t="s">
        <v>2</v>
      </c>
      <c r="Q38" s="2"/>
      <c r="R38" s="388" t="s">
        <v>238</v>
      </c>
      <c r="S38" s="310"/>
      <c r="T38" s="231" t="s">
        <v>2</v>
      </c>
      <c r="U38" s="2">
        <v>2</v>
      </c>
      <c r="V38" s="457"/>
      <c r="W38" s="481" t="s">
        <v>27</v>
      </c>
      <c r="X38" s="1039"/>
      <c r="Y38" s="1037"/>
      <c r="Z38" s="1050"/>
      <c r="AA38" s="1039"/>
      <c r="AB38" s="1037"/>
      <c r="AC38" s="1050"/>
      <c r="AD38" s="1039"/>
      <c r="AE38" s="1037"/>
      <c r="AF38" s="1050"/>
      <c r="AG38" s="996"/>
      <c r="AH38" s="992"/>
      <c r="AI38" s="1020"/>
      <c r="AJ38" s="996"/>
      <c r="AK38" s="992"/>
      <c r="AL38" s="1020"/>
      <c r="AM38" s="1038"/>
      <c r="AN38" s="1037"/>
      <c r="AO38" s="1053"/>
      <c r="AP38" s="240"/>
    </row>
    <row r="39" spans="1:42" ht="16.149999999999999" customHeight="1" x14ac:dyDescent="0.35">
      <c r="A39" s="464"/>
      <c r="B39" s="386"/>
      <c r="C39" s="387"/>
      <c r="D39" s="227" t="s">
        <v>3</v>
      </c>
      <c r="E39" s="3" t="b">
        <v>0</v>
      </c>
      <c r="F39" s="386"/>
      <c r="G39" s="387"/>
      <c r="H39" s="225" t="s">
        <v>3</v>
      </c>
      <c r="I39" s="3" t="b">
        <v>0</v>
      </c>
      <c r="J39" s="218" t="s">
        <v>250</v>
      </c>
      <c r="K39" s="385"/>
      <c r="L39" s="225" t="s">
        <v>3</v>
      </c>
      <c r="M39" s="3" t="b">
        <v>0</v>
      </c>
      <c r="N39" s="386" t="s">
        <v>252</v>
      </c>
      <c r="O39" s="387"/>
      <c r="P39" s="227" t="s">
        <v>3</v>
      </c>
      <c r="Q39" s="3" t="b">
        <v>0</v>
      </c>
      <c r="R39" s="386" t="s">
        <v>255</v>
      </c>
      <c r="S39" s="387"/>
      <c r="T39" s="227" t="s">
        <v>3</v>
      </c>
      <c r="U39" s="3" t="b">
        <v>0</v>
      </c>
      <c r="V39" s="438"/>
      <c r="W39" s="482"/>
      <c r="X39" s="1039"/>
      <c r="Y39" s="1037"/>
      <c r="Z39" s="1050"/>
      <c r="AA39" s="1039"/>
      <c r="AB39" s="1037"/>
      <c r="AC39" s="1050"/>
      <c r="AD39" s="1039"/>
      <c r="AE39" s="1037"/>
      <c r="AF39" s="1050"/>
      <c r="AG39" s="972"/>
      <c r="AH39" s="970"/>
      <c r="AI39" s="973"/>
      <c r="AJ39" s="972"/>
      <c r="AK39" s="970"/>
      <c r="AL39" s="973"/>
      <c r="AM39" s="1038"/>
      <c r="AN39" s="1037"/>
      <c r="AO39" s="1053"/>
      <c r="AP39" s="240"/>
    </row>
    <row r="40" spans="1:42" ht="16.149999999999999" customHeight="1" thickBot="1" x14ac:dyDescent="0.4">
      <c r="A40" s="465"/>
      <c r="B40" s="211"/>
      <c r="C40" s="220"/>
      <c r="D40" s="232" t="s">
        <v>4</v>
      </c>
      <c r="E40" s="4" t="b">
        <v>0</v>
      </c>
      <c r="F40" s="211"/>
      <c r="G40" s="220"/>
      <c r="H40" s="213" t="s">
        <v>4</v>
      </c>
      <c r="I40" s="4" t="b">
        <v>0</v>
      </c>
      <c r="J40" s="223"/>
      <c r="K40" s="224">
        <v>1</v>
      </c>
      <c r="L40" s="213" t="s">
        <v>4</v>
      </c>
      <c r="M40" s="4" t="b">
        <v>0</v>
      </c>
      <c r="N40" s="211"/>
      <c r="O40" s="220"/>
      <c r="P40" s="232" t="s">
        <v>4</v>
      </c>
      <c r="Q40" s="4" t="b">
        <v>1</v>
      </c>
      <c r="R40" s="211"/>
      <c r="S40" s="220">
        <v>1</v>
      </c>
      <c r="T40" s="232" t="s">
        <v>4</v>
      </c>
      <c r="U40" s="4" t="b">
        <v>1</v>
      </c>
      <c r="V40" s="439"/>
      <c r="W40" s="483"/>
      <c r="X40" s="268"/>
      <c r="Y40" s="269"/>
      <c r="Z40" s="274"/>
      <c r="AA40" s="268"/>
      <c r="AB40" s="269"/>
      <c r="AC40" s="274"/>
      <c r="AD40" s="268"/>
      <c r="AE40" s="269"/>
      <c r="AF40" s="274"/>
      <c r="AG40" s="255"/>
      <c r="AH40" s="256"/>
      <c r="AI40" s="262"/>
      <c r="AJ40" s="255"/>
      <c r="AK40" s="256"/>
      <c r="AL40" s="262"/>
      <c r="AM40" s="275"/>
      <c r="AN40" s="269"/>
      <c r="AO40" s="270"/>
      <c r="AP40" s="240"/>
    </row>
    <row r="41" spans="1:42" ht="16.149999999999999" customHeight="1" x14ac:dyDescent="0.35">
      <c r="A41" s="463" t="s">
        <v>10</v>
      </c>
      <c r="B41" s="388" t="s">
        <v>221</v>
      </c>
      <c r="C41" s="310"/>
      <c r="D41" s="231" t="s">
        <v>2</v>
      </c>
      <c r="E41" s="2"/>
      <c r="F41" s="388"/>
      <c r="G41" s="310"/>
      <c r="H41" s="212" t="s">
        <v>2</v>
      </c>
      <c r="I41" s="2"/>
      <c r="J41" s="389"/>
      <c r="K41" s="390"/>
      <c r="L41" s="212" t="s">
        <v>2</v>
      </c>
      <c r="M41" s="2"/>
      <c r="N41" s="388" t="s">
        <v>235</v>
      </c>
      <c r="O41" s="310"/>
      <c r="P41" s="231" t="s">
        <v>2</v>
      </c>
      <c r="Q41" s="2"/>
      <c r="R41" s="388"/>
      <c r="S41" s="310"/>
      <c r="T41" s="231" t="s">
        <v>2</v>
      </c>
      <c r="U41" s="2"/>
      <c r="V41" s="439"/>
      <c r="W41" s="481" t="s">
        <v>27</v>
      </c>
      <c r="X41" s="257"/>
      <c r="Y41" s="257"/>
      <c r="Z41" s="260"/>
      <c r="AA41" s="258"/>
      <c r="AB41" s="257"/>
      <c r="AC41" s="260"/>
      <c r="AD41" s="258"/>
      <c r="AE41" s="257"/>
      <c r="AF41" s="260"/>
      <c r="AG41" s="258"/>
      <c r="AH41" s="257"/>
      <c r="AI41" s="260"/>
      <c r="AJ41" s="258"/>
      <c r="AK41" s="257"/>
      <c r="AL41" s="260"/>
      <c r="AM41" s="258"/>
      <c r="AN41" s="257"/>
      <c r="AO41" s="259"/>
      <c r="AP41" s="240"/>
    </row>
    <row r="42" spans="1:42" ht="16.149999999999999" customHeight="1" x14ac:dyDescent="0.35">
      <c r="A42" s="464"/>
      <c r="B42" s="386" t="s">
        <v>245</v>
      </c>
      <c r="C42" s="387"/>
      <c r="D42" s="227" t="s">
        <v>3</v>
      </c>
      <c r="E42" s="3" t="b">
        <v>0</v>
      </c>
      <c r="F42" s="386"/>
      <c r="G42" s="387"/>
      <c r="H42" s="225" t="s">
        <v>3</v>
      </c>
      <c r="I42" s="3" t="b">
        <v>0</v>
      </c>
      <c r="J42" s="218"/>
      <c r="K42" s="385"/>
      <c r="L42" s="225" t="s">
        <v>3</v>
      </c>
      <c r="M42" s="3" t="b">
        <v>0</v>
      </c>
      <c r="N42" s="386" t="s">
        <v>253</v>
      </c>
      <c r="O42" s="387"/>
      <c r="P42" s="227" t="s">
        <v>3</v>
      </c>
      <c r="Q42" s="3" t="b">
        <v>0</v>
      </c>
      <c r="R42" s="386"/>
      <c r="S42" s="387"/>
      <c r="T42" s="227" t="s">
        <v>3</v>
      </c>
      <c r="U42" s="3" t="b">
        <v>0</v>
      </c>
      <c r="V42" s="439"/>
      <c r="W42" s="482"/>
      <c r="X42" s="252"/>
      <c r="Y42" s="252"/>
      <c r="Z42" s="261"/>
      <c r="AA42" s="253"/>
      <c r="AB42" s="252"/>
      <c r="AC42" s="261"/>
      <c r="AD42" s="253"/>
      <c r="AE42" s="252"/>
      <c r="AF42" s="261"/>
      <c r="AG42" s="253"/>
      <c r="AH42" s="252"/>
      <c r="AI42" s="261"/>
      <c r="AJ42" s="253"/>
      <c r="AK42" s="252"/>
      <c r="AL42" s="261"/>
      <c r="AM42" s="253"/>
      <c r="AN42" s="252"/>
      <c r="AO42" s="254"/>
      <c r="AP42" s="240"/>
    </row>
    <row r="43" spans="1:42" ht="16.149999999999999" customHeight="1" thickBot="1" x14ac:dyDescent="0.4">
      <c r="A43" s="465"/>
      <c r="B43" s="211"/>
      <c r="C43" s="220"/>
      <c r="D43" s="232" t="s">
        <v>4</v>
      </c>
      <c r="E43" s="4" t="b">
        <v>0</v>
      </c>
      <c r="F43" s="211"/>
      <c r="G43" s="220"/>
      <c r="H43" s="213" t="s">
        <v>4</v>
      </c>
      <c r="I43" s="4" t="b">
        <v>0</v>
      </c>
      <c r="J43" s="223"/>
      <c r="K43" s="224"/>
      <c r="L43" s="213" t="s">
        <v>4</v>
      </c>
      <c r="M43" s="4" t="b">
        <v>0</v>
      </c>
      <c r="N43" s="211"/>
      <c r="O43" s="220"/>
      <c r="P43" s="232" t="s">
        <v>4</v>
      </c>
      <c r="Q43" s="4" t="b">
        <v>0</v>
      </c>
      <c r="R43" s="211"/>
      <c r="S43" s="220"/>
      <c r="T43" s="232" t="s">
        <v>4</v>
      </c>
      <c r="U43" s="4" t="b">
        <v>0</v>
      </c>
      <c r="V43" s="439"/>
      <c r="W43" s="483"/>
      <c r="X43" s="263"/>
      <c r="Y43" s="264"/>
      <c r="Z43" s="266"/>
      <c r="AA43" s="265"/>
      <c r="AB43" s="264"/>
      <c r="AC43" s="266"/>
      <c r="AD43" s="263"/>
      <c r="AE43" s="264"/>
      <c r="AF43" s="266"/>
      <c r="AG43" s="265"/>
      <c r="AH43" s="264"/>
      <c r="AI43" s="266"/>
      <c r="AJ43" s="263"/>
      <c r="AK43" s="264"/>
      <c r="AL43" s="266"/>
      <c r="AM43" s="265"/>
      <c r="AN43" s="264"/>
      <c r="AO43" s="267"/>
      <c r="AP43" s="240"/>
    </row>
    <row r="44" spans="1:42" ht="16.149999999999999" customHeight="1" thickBot="1" x14ac:dyDescent="0.4">
      <c r="A44" s="463" t="s">
        <v>12</v>
      </c>
      <c r="B44" s="388"/>
      <c r="C44" s="310"/>
      <c r="D44" s="231" t="s">
        <v>2</v>
      </c>
      <c r="E44" s="2"/>
      <c r="F44" s="388"/>
      <c r="G44" s="310"/>
      <c r="H44" s="212" t="s">
        <v>2</v>
      </c>
      <c r="I44" s="2"/>
      <c r="J44" s="389"/>
      <c r="K44" s="390"/>
      <c r="L44" s="212" t="s">
        <v>2</v>
      </c>
      <c r="M44" s="2"/>
      <c r="N44" s="388" t="s">
        <v>236</v>
      </c>
      <c r="O44" s="310"/>
      <c r="P44" s="231" t="s">
        <v>2</v>
      </c>
      <c r="Q44" s="2"/>
      <c r="R44" s="388" t="s">
        <v>237</v>
      </c>
      <c r="S44" s="310"/>
      <c r="T44" s="231" t="s">
        <v>2</v>
      </c>
      <c r="U44" s="2"/>
      <c r="V44" s="439"/>
      <c r="W44" s="242" t="s">
        <v>28</v>
      </c>
      <c r="X44" s="245" t="s">
        <v>29</v>
      </c>
      <c r="Y44" s="246" t="s">
        <v>30</v>
      </c>
      <c r="Z44" s="247"/>
      <c r="AA44" s="245"/>
      <c r="AB44" s="246" t="s">
        <v>30</v>
      </c>
      <c r="AC44" s="247"/>
      <c r="AD44" s="245"/>
      <c r="AE44" s="246" t="s">
        <v>30</v>
      </c>
      <c r="AF44" s="247"/>
      <c r="AG44" s="245"/>
      <c r="AH44" s="246" t="s">
        <v>30</v>
      </c>
      <c r="AI44" s="247"/>
      <c r="AJ44" s="245"/>
      <c r="AK44" s="246" t="s">
        <v>30</v>
      </c>
      <c r="AL44" s="247"/>
      <c r="AM44" s="243"/>
      <c r="AN44" s="246" t="s">
        <v>30</v>
      </c>
      <c r="AO44" s="244"/>
      <c r="AP44" s="240"/>
    </row>
    <row r="45" spans="1:42" ht="16.149999999999999" customHeight="1" x14ac:dyDescent="0.35">
      <c r="A45" s="464"/>
      <c r="B45" s="386"/>
      <c r="C45" s="387"/>
      <c r="D45" s="227" t="s">
        <v>3</v>
      </c>
      <c r="E45" s="3" t="b">
        <v>0</v>
      </c>
      <c r="F45" s="219"/>
      <c r="G45" s="233"/>
      <c r="H45" s="225" t="s">
        <v>3</v>
      </c>
      <c r="I45" s="3" t="b">
        <v>0</v>
      </c>
      <c r="J45" s="218"/>
      <c r="K45" s="385"/>
      <c r="L45" s="225" t="s">
        <v>3</v>
      </c>
      <c r="M45" s="3" t="b">
        <v>0</v>
      </c>
      <c r="N45" s="386" t="s">
        <v>254</v>
      </c>
      <c r="O45" s="387"/>
      <c r="P45" s="227" t="s">
        <v>3</v>
      </c>
      <c r="Q45" s="3" t="b">
        <v>0</v>
      </c>
      <c r="R45" s="386" t="s">
        <v>256</v>
      </c>
      <c r="S45" s="387"/>
      <c r="T45" s="227" t="s">
        <v>3</v>
      </c>
      <c r="U45" s="3" t="b">
        <v>0</v>
      </c>
      <c r="V45" s="439"/>
      <c r="W45" s="487" t="s">
        <v>45</v>
      </c>
      <c r="X45" s="313"/>
      <c r="Y45" s="314"/>
      <c r="Z45" s="315"/>
      <c r="AA45" s="316"/>
      <c r="AB45" s="317"/>
      <c r="AC45" s="318"/>
      <c r="AD45" s="316"/>
      <c r="AE45" s="317"/>
      <c r="AF45" s="319"/>
      <c r="AG45" s="313"/>
      <c r="AH45" s="314"/>
      <c r="AI45" s="320"/>
      <c r="AJ45" s="321"/>
      <c r="AK45" s="276"/>
      <c r="AL45" s="277"/>
      <c r="AM45" s="316"/>
      <c r="AN45" s="317"/>
      <c r="AO45" s="322"/>
      <c r="AP45" s="240"/>
    </row>
    <row r="46" spans="1:42" ht="16.149999999999999" customHeight="1" thickBot="1" x14ac:dyDescent="0.4">
      <c r="A46" s="465"/>
      <c r="B46" s="211"/>
      <c r="C46" s="220"/>
      <c r="D46" s="232" t="s">
        <v>4</v>
      </c>
      <c r="E46" s="4" t="b">
        <v>0</v>
      </c>
      <c r="F46" s="211"/>
      <c r="G46" s="220"/>
      <c r="H46" s="213" t="s">
        <v>4</v>
      </c>
      <c r="I46" s="4" t="b">
        <v>0</v>
      </c>
      <c r="J46" s="223"/>
      <c r="K46" s="224"/>
      <c r="L46" s="213" t="s">
        <v>4</v>
      </c>
      <c r="M46" s="4" t="b">
        <v>0</v>
      </c>
      <c r="N46" s="211"/>
      <c r="O46" s="220"/>
      <c r="P46" s="232" t="s">
        <v>4</v>
      </c>
      <c r="Q46" s="4" t="b">
        <v>0</v>
      </c>
      <c r="R46" s="211"/>
      <c r="S46" s="220"/>
      <c r="T46" s="232" t="s">
        <v>4</v>
      </c>
      <c r="U46" s="4" t="b">
        <v>0</v>
      </c>
      <c r="V46" s="440"/>
      <c r="W46" s="488"/>
      <c r="X46" s="323"/>
      <c r="Y46" s="324"/>
      <c r="Z46" s="324"/>
      <c r="AA46" s="325"/>
      <c r="AB46" s="326"/>
      <c r="AC46" s="327"/>
      <c r="AD46" s="325"/>
      <c r="AE46" s="326"/>
      <c r="AF46" s="326"/>
      <c r="AG46" s="323"/>
      <c r="AH46" s="328"/>
      <c r="AI46" s="329"/>
      <c r="AJ46" s="248"/>
      <c r="AK46" s="330"/>
      <c r="AL46" s="331"/>
      <c r="AM46" s="325"/>
      <c r="AN46" s="326"/>
      <c r="AO46" s="327"/>
      <c r="AP46" s="240"/>
    </row>
    <row r="47" spans="1:42" ht="15" customHeight="1" x14ac:dyDescent="0.35">
      <c r="W47" s="487" t="s">
        <v>45</v>
      </c>
      <c r="X47" s="332"/>
      <c r="Y47" s="333"/>
      <c r="Z47" s="333"/>
      <c r="AA47" s="334"/>
      <c r="AB47" s="335"/>
      <c r="AC47" s="336"/>
      <c r="AD47" s="334"/>
      <c r="AE47" s="335"/>
      <c r="AF47" s="335"/>
      <c r="AG47" s="332"/>
      <c r="AH47" s="337"/>
      <c r="AI47" s="338"/>
      <c r="AJ47" s="339"/>
      <c r="AK47" s="340"/>
      <c r="AL47" s="341"/>
      <c r="AM47" s="334"/>
      <c r="AN47" s="335"/>
      <c r="AO47" s="336"/>
      <c r="AP47" s="240"/>
    </row>
    <row r="48" spans="1:42" ht="15" thickBot="1" x14ac:dyDescent="0.4">
      <c r="W48" s="488"/>
      <c r="X48" s="323"/>
      <c r="Y48" s="324"/>
      <c r="Z48" s="324"/>
      <c r="AA48" s="325"/>
      <c r="AB48" s="326"/>
      <c r="AC48" s="327"/>
      <c r="AD48" s="325"/>
      <c r="AE48" s="326"/>
      <c r="AF48" s="326"/>
      <c r="AG48" s="323"/>
      <c r="AH48" s="328"/>
      <c r="AI48" s="329"/>
      <c r="AJ48" s="248"/>
      <c r="AK48" s="330"/>
      <c r="AL48" s="331"/>
      <c r="AM48" s="325"/>
      <c r="AN48" s="326"/>
      <c r="AO48" s="327"/>
      <c r="AP48" s="240"/>
    </row>
    <row r="49" spans="23:42" ht="15" customHeight="1" x14ac:dyDescent="0.35">
      <c r="W49" s="474" t="s">
        <v>45</v>
      </c>
      <c r="X49" s="342"/>
      <c r="Y49" s="343"/>
      <c r="Z49" s="344"/>
      <c r="AA49" s="345"/>
      <c r="AB49" s="346"/>
      <c r="AC49" s="347"/>
      <c r="AD49" s="348"/>
      <c r="AE49" s="349"/>
      <c r="AF49" s="349"/>
      <c r="AG49" s="350"/>
      <c r="AH49" s="349"/>
      <c r="AI49" s="351"/>
      <c r="AJ49" s="350"/>
      <c r="AK49" s="349"/>
      <c r="AL49" s="351"/>
      <c r="AM49" s="350"/>
      <c r="AN49" s="349"/>
      <c r="AO49" s="351"/>
      <c r="AP49" s="240"/>
    </row>
    <row r="50" spans="23:42" ht="15" thickBot="1" x14ac:dyDescent="0.4">
      <c r="W50" s="475"/>
      <c r="X50" s="323"/>
      <c r="Y50" s="328"/>
      <c r="Z50" s="328"/>
      <c r="AA50" s="325"/>
      <c r="AB50" s="326"/>
      <c r="AC50" s="327"/>
      <c r="AD50" s="352"/>
      <c r="AE50" s="330"/>
      <c r="AF50" s="330"/>
      <c r="AG50" s="248"/>
      <c r="AH50" s="330"/>
      <c r="AI50" s="331"/>
      <c r="AJ50" s="248"/>
      <c r="AK50" s="330"/>
      <c r="AL50" s="331"/>
      <c r="AM50" s="248"/>
      <c r="AN50" s="330"/>
      <c r="AO50" s="331"/>
      <c r="AP50" s="240"/>
    </row>
    <row r="51" spans="23:42" ht="15" thickBot="1" x14ac:dyDescent="0.4">
      <c r="W51" s="476" t="s">
        <v>46</v>
      </c>
      <c r="X51" s="477"/>
      <c r="Y51" s="477"/>
      <c r="Z51" s="477"/>
      <c r="AA51" s="477"/>
      <c r="AB51" s="477"/>
      <c r="AC51" s="477"/>
      <c r="AD51" s="477"/>
      <c r="AE51" s="477"/>
      <c r="AF51" s="477"/>
      <c r="AG51" s="477"/>
      <c r="AH51" s="477"/>
      <c r="AI51" s="477"/>
      <c r="AJ51" s="477"/>
      <c r="AK51" s="477"/>
      <c r="AL51" s="477"/>
      <c r="AM51" s="477"/>
      <c r="AN51" s="477"/>
      <c r="AO51" s="478"/>
      <c r="AP51" s="240"/>
    </row>
    <row r="52" spans="23:42" ht="15" customHeight="1" x14ac:dyDescent="0.35">
      <c r="W52" s="151"/>
      <c r="X52" s="151"/>
      <c r="Y52" s="151"/>
      <c r="Z52" s="151"/>
      <c r="AA52" s="151"/>
      <c r="AB52" s="151"/>
      <c r="AC52" s="151"/>
      <c r="AD52" s="151"/>
      <c r="AE52" s="151"/>
      <c r="AF52" s="151"/>
      <c r="AG52" s="151"/>
      <c r="AH52" s="151"/>
      <c r="AI52" s="151"/>
      <c r="AJ52" s="151"/>
      <c r="AK52" s="151"/>
      <c r="AL52" s="151"/>
      <c r="AM52" s="151"/>
      <c r="AN52" s="151"/>
      <c r="AO52" s="151"/>
      <c r="AP52" s="240"/>
    </row>
    <row r="53" spans="23:42" x14ac:dyDescent="0.35">
      <c r="W53" s="151"/>
      <c r="X53" s="151"/>
      <c r="Y53" s="151"/>
      <c r="Z53" s="151"/>
      <c r="AA53" s="151"/>
      <c r="AB53" s="151"/>
      <c r="AC53" s="151"/>
      <c r="AD53" s="151"/>
      <c r="AE53" s="151"/>
      <c r="AF53" s="151"/>
      <c r="AG53" s="151"/>
      <c r="AH53" s="151"/>
      <c r="AI53" s="151"/>
      <c r="AJ53" s="151"/>
      <c r="AK53" s="151"/>
      <c r="AL53" s="151"/>
      <c r="AM53" s="151"/>
      <c r="AN53" s="151"/>
      <c r="AO53" s="151"/>
      <c r="AP53" s="240"/>
    </row>
    <row r="54" spans="23:42" x14ac:dyDescent="0.35">
      <c r="W54" s="151"/>
      <c r="X54" s="151"/>
      <c r="Y54" s="151"/>
      <c r="Z54" s="151"/>
      <c r="AA54" s="151"/>
      <c r="AB54" s="151"/>
      <c r="AC54" s="151"/>
      <c r="AD54" s="151"/>
      <c r="AE54" s="151"/>
      <c r="AF54" s="151"/>
      <c r="AG54" s="151"/>
      <c r="AH54" s="151"/>
      <c r="AI54" s="151"/>
      <c r="AJ54" s="151"/>
      <c r="AK54" s="151"/>
      <c r="AL54" s="151"/>
      <c r="AM54" s="151"/>
      <c r="AN54" s="151"/>
      <c r="AO54" s="151"/>
      <c r="AP54" s="240"/>
    </row>
    <row r="55" spans="23:42" x14ac:dyDescent="0.35">
      <c r="W55" s="151"/>
      <c r="X55" s="151"/>
      <c r="Y55" s="151"/>
      <c r="Z55" s="151"/>
      <c r="AA55" s="151"/>
      <c r="AB55" s="151"/>
      <c r="AC55" s="151"/>
      <c r="AD55" s="151"/>
      <c r="AE55" s="151"/>
      <c r="AF55" s="151"/>
      <c r="AG55" s="151"/>
      <c r="AH55" s="151"/>
      <c r="AI55" s="151"/>
      <c r="AJ55" s="151"/>
      <c r="AK55" s="151"/>
      <c r="AL55" s="151"/>
      <c r="AM55" s="151"/>
      <c r="AN55" s="151"/>
      <c r="AO55" s="151"/>
      <c r="AP55" s="240"/>
    </row>
    <row r="56" spans="23:42" x14ac:dyDescent="0.35">
      <c r="W56" s="151"/>
      <c r="X56" s="151"/>
      <c r="Y56" s="151"/>
      <c r="Z56" s="151"/>
      <c r="AA56" s="151"/>
      <c r="AB56" s="151"/>
      <c r="AC56" s="151"/>
      <c r="AD56" s="151"/>
      <c r="AE56" s="151"/>
      <c r="AF56" s="151"/>
      <c r="AG56" s="151"/>
      <c r="AH56" s="151"/>
      <c r="AI56" s="151"/>
      <c r="AJ56" s="151"/>
      <c r="AK56" s="151"/>
      <c r="AL56" s="151"/>
      <c r="AM56" s="151"/>
      <c r="AN56" s="151"/>
      <c r="AO56" s="151"/>
      <c r="AP56" s="240"/>
    </row>
    <row r="57" spans="23:42" x14ac:dyDescent="0.35">
      <c r="W57" s="151"/>
      <c r="X57" s="151"/>
      <c r="Y57" s="151"/>
      <c r="Z57" s="151"/>
      <c r="AA57" s="151"/>
      <c r="AB57" s="151"/>
      <c r="AC57" s="151"/>
      <c r="AD57" s="151"/>
      <c r="AE57" s="151"/>
      <c r="AF57" s="151"/>
      <c r="AG57" s="151"/>
      <c r="AH57" s="151"/>
      <c r="AI57" s="151"/>
      <c r="AJ57" s="151"/>
      <c r="AK57" s="151"/>
      <c r="AL57" s="151"/>
      <c r="AM57" s="151"/>
      <c r="AN57" s="151"/>
      <c r="AO57" s="151"/>
      <c r="AP57" s="240"/>
    </row>
    <row r="58" spans="23:42" x14ac:dyDescent="0.35">
      <c r="W58" s="151"/>
      <c r="X58" s="151"/>
      <c r="Y58" s="151"/>
      <c r="Z58" s="151"/>
      <c r="AA58" s="151"/>
      <c r="AB58" s="151"/>
      <c r="AC58" s="151"/>
      <c r="AD58" s="151"/>
      <c r="AE58" s="151"/>
      <c r="AF58" s="151"/>
      <c r="AG58" s="151"/>
      <c r="AH58" s="151"/>
      <c r="AI58" s="151"/>
      <c r="AJ58" s="151"/>
      <c r="AK58" s="151"/>
      <c r="AL58" s="151"/>
      <c r="AM58" s="151"/>
      <c r="AN58" s="151"/>
      <c r="AO58" s="151"/>
      <c r="AP58" s="240"/>
    </row>
    <row r="59" spans="23:42" x14ac:dyDescent="0.35">
      <c r="W59" s="151"/>
      <c r="X59" s="151"/>
      <c r="Y59" s="151"/>
      <c r="Z59" s="151"/>
      <c r="AA59" s="151"/>
      <c r="AB59" s="151"/>
      <c r="AC59" s="151"/>
      <c r="AD59" s="151"/>
      <c r="AE59" s="151"/>
      <c r="AF59" s="151"/>
      <c r="AG59" s="151"/>
      <c r="AH59" s="151"/>
      <c r="AI59" s="151"/>
      <c r="AJ59" s="151"/>
      <c r="AK59" s="151"/>
      <c r="AL59" s="151"/>
      <c r="AM59" s="151"/>
      <c r="AN59" s="151"/>
      <c r="AO59" s="151"/>
      <c r="AP59" s="240"/>
    </row>
    <row r="60" spans="23:42" x14ac:dyDescent="0.35">
      <c r="W60" s="151"/>
      <c r="X60" s="151"/>
      <c r="Y60" s="151"/>
      <c r="Z60" s="151"/>
      <c r="AA60" s="151"/>
      <c r="AB60" s="151"/>
      <c r="AC60" s="151"/>
      <c r="AD60" s="151"/>
      <c r="AE60" s="151"/>
      <c r="AF60" s="151"/>
      <c r="AG60" s="151"/>
      <c r="AH60" s="151"/>
      <c r="AI60" s="151"/>
      <c r="AJ60" s="151"/>
      <c r="AK60" s="151"/>
      <c r="AL60" s="151"/>
      <c r="AM60" s="151"/>
      <c r="AN60" s="151"/>
      <c r="AO60" s="151"/>
      <c r="AP60" s="240"/>
    </row>
    <row r="61" spans="23:42" x14ac:dyDescent="0.35">
      <c r="W61" s="151"/>
      <c r="X61" s="151"/>
      <c r="Y61" s="151"/>
      <c r="Z61" s="151"/>
      <c r="AA61" s="151"/>
      <c r="AB61" s="151"/>
      <c r="AC61" s="151"/>
      <c r="AD61" s="151"/>
      <c r="AE61" s="151"/>
      <c r="AF61" s="151"/>
      <c r="AG61" s="151"/>
      <c r="AH61" s="151"/>
      <c r="AI61" s="151"/>
      <c r="AJ61" s="151"/>
      <c r="AK61" s="151"/>
      <c r="AL61" s="151"/>
      <c r="AM61" s="151"/>
      <c r="AN61" s="151"/>
      <c r="AO61" s="151"/>
      <c r="AP61" s="240"/>
    </row>
    <row r="62" spans="23:42" x14ac:dyDescent="0.35">
      <c r="W62" s="151"/>
      <c r="X62" s="151"/>
      <c r="Y62" s="151"/>
      <c r="Z62" s="151"/>
      <c r="AA62" s="151"/>
      <c r="AB62" s="151"/>
      <c r="AC62" s="151"/>
      <c r="AD62" s="151"/>
      <c r="AE62" s="151"/>
      <c r="AF62" s="151"/>
      <c r="AG62" s="151"/>
      <c r="AH62" s="151"/>
      <c r="AI62" s="151"/>
      <c r="AJ62" s="151"/>
      <c r="AK62" s="151"/>
      <c r="AL62" s="151"/>
      <c r="AM62" s="151"/>
      <c r="AN62" s="151"/>
      <c r="AO62" s="151"/>
      <c r="AP62" s="240"/>
    </row>
    <row r="63" spans="23:42" x14ac:dyDescent="0.35">
      <c r="W63" s="151"/>
      <c r="X63" s="151"/>
      <c r="Y63" s="151"/>
      <c r="Z63" s="151"/>
      <c r="AA63" s="151"/>
      <c r="AB63" s="151"/>
      <c r="AC63" s="151"/>
      <c r="AD63" s="151"/>
      <c r="AE63" s="151"/>
      <c r="AF63" s="151"/>
      <c r="AG63" s="151"/>
      <c r="AH63" s="151"/>
      <c r="AI63" s="151"/>
      <c r="AJ63" s="151"/>
      <c r="AK63" s="151"/>
      <c r="AL63" s="151"/>
      <c r="AM63" s="151"/>
      <c r="AN63" s="151"/>
      <c r="AO63" s="151"/>
      <c r="AP63" s="240"/>
    </row>
    <row r="64" spans="23:42" x14ac:dyDescent="0.35">
      <c r="W64" s="151"/>
      <c r="X64" s="151"/>
      <c r="Y64" s="151"/>
      <c r="Z64" s="151"/>
      <c r="AA64" s="151"/>
      <c r="AB64" s="151"/>
      <c r="AC64" s="151"/>
      <c r="AD64" s="151"/>
      <c r="AE64" s="151"/>
      <c r="AF64" s="151"/>
      <c r="AG64" s="151"/>
      <c r="AH64" s="151"/>
      <c r="AI64" s="151"/>
      <c r="AJ64" s="151"/>
      <c r="AK64" s="151"/>
      <c r="AL64" s="151"/>
      <c r="AM64" s="151"/>
      <c r="AN64" s="151"/>
      <c r="AO64" s="151"/>
      <c r="AP64" s="240"/>
    </row>
    <row r="65" spans="23:42" x14ac:dyDescent="0.35">
      <c r="W65" s="151"/>
      <c r="X65" s="151"/>
      <c r="Y65" s="151"/>
      <c r="Z65" s="151"/>
      <c r="AA65" s="151"/>
      <c r="AB65" s="151"/>
      <c r="AC65" s="151"/>
      <c r="AD65" s="151"/>
      <c r="AE65" s="151"/>
      <c r="AF65" s="151"/>
      <c r="AG65" s="151"/>
      <c r="AH65" s="151"/>
      <c r="AI65" s="151"/>
      <c r="AJ65" s="151"/>
      <c r="AK65" s="151"/>
      <c r="AL65" s="151"/>
      <c r="AM65" s="151"/>
      <c r="AN65" s="151"/>
      <c r="AO65" s="151"/>
      <c r="AP65" s="240"/>
    </row>
    <row r="66" spans="23:42" ht="15" customHeight="1" x14ac:dyDescent="0.35">
      <c r="W66" s="151"/>
      <c r="X66" s="151"/>
      <c r="Y66" s="151"/>
      <c r="Z66" s="151"/>
      <c r="AA66" s="151"/>
      <c r="AB66" s="151"/>
      <c r="AC66" s="151"/>
      <c r="AD66" s="151"/>
      <c r="AE66" s="151"/>
      <c r="AF66" s="151"/>
      <c r="AG66" s="151"/>
      <c r="AH66" s="151"/>
      <c r="AI66" s="151"/>
      <c r="AJ66" s="151"/>
      <c r="AK66" s="151"/>
      <c r="AL66" s="151"/>
      <c r="AM66" s="151"/>
      <c r="AN66" s="151"/>
      <c r="AO66" s="151"/>
      <c r="AP66" s="240"/>
    </row>
    <row r="67" spans="23:42" x14ac:dyDescent="0.35">
      <c r="W67" s="151"/>
      <c r="X67" s="151"/>
      <c r="Y67" s="151"/>
      <c r="Z67" s="151"/>
      <c r="AA67" s="151"/>
      <c r="AB67" s="151"/>
      <c r="AC67" s="151"/>
      <c r="AD67" s="151"/>
      <c r="AE67" s="151"/>
      <c r="AF67" s="151"/>
      <c r="AG67" s="151"/>
      <c r="AH67" s="151"/>
      <c r="AI67" s="151"/>
      <c r="AJ67" s="151"/>
      <c r="AK67" s="151"/>
      <c r="AL67" s="151"/>
      <c r="AM67" s="151"/>
      <c r="AN67" s="151"/>
      <c r="AO67" s="151"/>
      <c r="AP67" s="240"/>
    </row>
    <row r="68" spans="23:42" ht="15" customHeight="1" x14ac:dyDescent="0.35">
      <c r="W68" s="151"/>
      <c r="X68" s="151"/>
      <c r="Y68" s="151"/>
      <c r="Z68" s="151"/>
      <c r="AA68" s="151"/>
      <c r="AB68" s="151"/>
      <c r="AC68" s="151"/>
      <c r="AD68" s="151"/>
      <c r="AE68" s="151"/>
      <c r="AF68" s="151"/>
      <c r="AG68" s="151"/>
      <c r="AH68" s="151"/>
      <c r="AI68" s="151"/>
      <c r="AJ68" s="151"/>
      <c r="AK68" s="151"/>
      <c r="AL68" s="151"/>
      <c r="AM68" s="151"/>
      <c r="AN68" s="151"/>
      <c r="AO68" s="151"/>
      <c r="AP68" s="240"/>
    </row>
    <row r="69" spans="23:42" x14ac:dyDescent="0.35">
      <c r="W69" s="151"/>
      <c r="X69" s="151"/>
      <c r="Y69" s="151"/>
      <c r="Z69" s="151"/>
      <c r="AA69" s="151"/>
      <c r="AB69" s="151"/>
      <c r="AC69" s="151"/>
      <c r="AD69" s="151"/>
      <c r="AE69" s="151"/>
      <c r="AF69" s="151"/>
      <c r="AG69" s="151"/>
      <c r="AH69" s="151"/>
      <c r="AI69" s="151"/>
      <c r="AJ69" s="151"/>
      <c r="AK69" s="151"/>
      <c r="AL69" s="151"/>
      <c r="AM69" s="151"/>
      <c r="AN69" s="151"/>
      <c r="AO69" s="151"/>
      <c r="AP69" s="240"/>
    </row>
    <row r="70" spans="23:42" ht="15" customHeight="1" x14ac:dyDescent="0.35">
      <c r="W70" s="151"/>
      <c r="X70" s="151"/>
      <c r="Y70" s="151"/>
      <c r="Z70" s="151"/>
      <c r="AA70" s="151"/>
      <c r="AB70" s="151"/>
      <c r="AC70" s="151"/>
      <c r="AD70" s="151"/>
      <c r="AE70" s="151"/>
      <c r="AF70" s="151"/>
      <c r="AG70" s="151"/>
      <c r="AH70" s="151"/>
      <c r="AI70" s="151"/>
      <c r="AJ70" s="151"/>
      <c r="AK70" s="151"/>
      <c r="AL70" s="151"/>
      <c r="AM70" s="151"/>
      <c r="AN70" s="151"/>
      <c r="AO70" s="151"/>
      <c r="AP70" s="240"/>
    </row>
    <row r="71" spans="23:42" x14ac:dyDescent="0.35">
      <c r="W71" s="151"/>
      <c r="X71" s="151"/>
      <c r="Y71" s="151"/>
      <c r="Z71" s="151"/>
      <c r="AA71" s="151"/>
      <c r="AB71" s="151"/>
      <c r="AC71" s="151"/>
      <c r="AD71" s="151"/>
      <c r="AE71" s="151"/>
      <c r="AF71" s="151"/>
      <c r="AG71" s="151"/>
      <c r="AH71" s="151"/>
      <c r="AI71" s="151"/>
      <c r="AJ71" s="151"/>
      <c r="AK71" s="151"/>
      <c r="AL71" s="151"/>
      <c r="AM71" s="151"/>
      <c r="AN71" s="151"/>
      <c r="AO71" s="151"/>
      <c r="AP71" s="240"/>
    </row>
    <row r="72" spans="23:42" ht="15" customHeight="1" x14ac:dyDescent="0.35">
      <c r="W72" s="151"/>
      <c r="X72" s="151"/>
      <c r="Y72" s="151"/>
      <c r="Z72" s="151"/>
      <c r="AA72" s="151"/>
      <c r="AB72" s="151"/>
      <c r="AC72" s="151"/>
      <c r="AD72" s="151"/>
      <c r="AE72" s="151"/>
      <c r="AF72" s="151"/>
      <c r="AG72" s="151"/>
      <c r="AH72" s="151"/>
      <c r="AI72" s="151"/>
      <c r="AJ72" s="151"/>
      <c r="AK72" s="151"/>
      <c r="AL72" s="151"/>
      <c r="AM72" s="151"/>
      <c r="AN72" s="151"/>
      <c r="AO72" s="151"/>
      <c r="AP72" s="240"/>
    </row>
    <row r="73" spans="23:42" x14ac:dyDescent="0.35">
      <c r="W73" s="151"/>
      <c r="X73" s="151"/>
      <c r="Y73" s="151"/>
      <c r="Z73" s="151"/>
      <c r="AA73" s="151"/>
      <c r="AB73" s="151"/>
      <c r="AC73" s="151"/>
      <c r="AD73" s="151"/>
      <c r="AE73" s="151"/>
      <c r="AF73" s="151"/>
      <c r="AG73" s="151"/>
      <c r="AH73" s="151"/>
      <c r="AI73" s="151"/>
      <c r="AJ73" s="151"/>
      <c r="AK73" s="151"/>
      <c r="AL73" s="151"/>
      <c r="AM73" s="151"/>
      <c r="AN73" s="151"/>
      <c r="AO73" s="151"/>
      <c r="AP73" s="240"/>
    </row>
    <row r="74" spans="23:42" ht="15" customHeight="1" x14ac:dyDescent="0.35">
      <c r="W74" s="151"/>
      <c r="X74" s="151"/>
      <c r="Y74" s="151"/>
      <c r="Z74" s="151"/>
      <c r="AA74" s="151"/>
      <c r="AB74" s="151"/>
      <c r="AC74" s="151"/>
      <c r="AD74" s="151"/>
      <c r="AE74" s="151"/>
      <c r="AF74" s="151"/>
      <c r="AG74" s="151"/>
      <c r="AH74" s="151"/>
      <c r="AI74" s="151"/>
      <c r="AJ74" s="151"/>
      <c r="AK74" s="151"/>
      <c r="AL74" s="151"/>
      <c r="AM74" s="151"/>
      <c r="AN74" s="151"/>
      <c r="AO74" s="151"/>
      <c r="AP74" s="240"/>
    </row>
    <row r="75" spans="23:42" ht="15" customHeight="1" x14ac:dyDescent="0.35">
      <c r="W75" s="151"/>
      <c r="X75" s="151"/>
      <c r="Y75" s="151"/>
      <c r="Z75" s="151"/>
      <c r="AA75" s="151"/>
      <c r="AB75" s="151"/>
      <c r="AC75" s="151"/>
      <c r="AD75" s="151"/>
      <c r="AE75" s="151"/>
      <c r="AF75" s="151"/>
      <c r="AG75" s="151"/>
      <c r="AH75" s="151"/>
      <c r="AI75" s="151"/>
      <c r="AJ75" s="151"/>
      <c r="AK75" s="151"/>
      <c r="AL75" s="151"/>
      <c r="AM75" s="151"/>
      <c r="AN75" s="151"/>
      <c r="AO75" s="151"/>
      <c r="AP75" s="240"/>
    </row>
    <row r="76" spans="23:42" ht="15" customHeight="1" x14ac:dyDescent="0.35">
      <c r="W76" s="151"/>
      <c r="X76" s="151"/>
      <c r="Y76" s="151"/>
      <c r="Z76" s="151"/>
      <c r="AA76" s="151"/>
      <c r="AB76" s="151"/>
      <c r="AC76" s="151"/>
      <c r="AD76" s="151"/>
      <c r="AE76" s="151"/>
      <c r="AF76" s="151"/>
      <c r="AG76" s="151"/>
      <c r="AH76" s="151"/>
      <c r="AI76" s="151"/>
      <c r="AJ76" s="151"/>
      <c r="AK76" s="151"/>
      <c r="AL76" s="151"/>
      <c r="AM76" s="151"/>
      <c r="AN76" s="151"/>
      <c r="AO76" s="151"/>
      <c r="AP76" s="240"/>
    </row>
    <row r="77" spans="23:42" ht="15" customHeight="1" x14ac:dyDescent="0.35">
      <c r="W77" s="151"/>
      <c r="X77" s="151"/>
      <c r="Y77" s="151"/>
      <c r="Z77" s="151"/>
      <c r="AA77" s="151"/>
      <c r="AB77" s="151"/>
      <c r="AC77" s="151"/>
      <c r="AD77" s="151"/>
      <c r="AE77" s="151"/>
      <c r="AF77" s="151"/>
      <c r="AG77" s="151"/>
      <c r="AH77" s="151"/>
      <c r="AI77" s="151"/>
      <c r="AJ77" s="151"/>
      <c r="AK77" s="151"/>
      <c r="AL77" s="151"/>
      <c r="AM77" s="151"/>
      <c r="AN77" s="151"/>
      <c r="AO77" s="151"/>
      <c r="AP77" s="240"/>
    </row>
    <row r="78" spans="23:42" x14ac:dyDescent="0.35">
      <c r="W78" s="151"/>
      <c r="X78" s="151"/>
      <c r="Y78" s="151"/>
      <c r="Z78" s="151"/>
      <c r="AA78" s="151"/>
      <c r="AB78" s="151"/>
      <c r="AC78" s="151"/>
      <c r="AD78" s="151"/>
      <c r="AE78" s="151"/>
      <c r="AF78" s="151"/>
      <c r="AG78" s="151"/>
      <c r="AH78" s="151"/>
      <c r="AI78" s="151"/>
      <c r="AJ78" s="151"/>
      <c r="AK78" s="151"/>
      <c r="AL78" s="151"/>
      <c r="AM78" s="151"/>
      <c r="AN78" s="151"/>
      <c r="AO78" s="151"/>
      <c r="AP78" s="240"/>
    </row>
    <row r="79" spans="23:42" ht="14.5" customHeight="1" x14ac:dyDescent="0.35">
      <c r="W79" s="151"/>
      <c r="X79" s="151"/>
      <c r="Y79" s="151"/>
      <c r="Z79" s="151"/>
      <c r="AA79" s="151"/>
      <c r="AB79" s="151"/>
      <c r="AC79" s="151"/>
      <c r="AD79" s="151"/>
      <c r="AE79" s="151"/>
      <c r="AF79" s="151"/>
      <c r="AG79" s="151"/>
      <c r="AH79" s="151"/>
      <c r="AI79" s="151"/>
      <c r="AJ79" s="151"/>
      <c r="AK79" s="151"/>
      <c r="AL79" s="151"/>
      <c r="AM79" s="151"/>
      <c r="AN79" s="151"/>
      <c r="AO79" s="151"/>
      <c r="AP79" s="240"/>
    </row>
    <row r="80" spans="23:42" x14ac:dyDescent="0.35">
      <c r="W80" s="151"/>
      <c r="X80" s="151"/>
      <c r="Y80" s="151"/>
      <c r="Z80" s="151"/>
      <c r="AA80" s="151"/>
      <c r="AB80" s="151"/>
      <c r="AC80" s="151"/>
      <c r="AD80" s="151"/>
      <c r="AE80" s="151"/>
      <c r="AF80" s="151"/>
      <c r="AG80" s="151"/>
      <c r="AH80" s="151"/>
      <c r="AI80" s="151"/>
      <c r="AJ80" s="151"/>
      <c r="AK80" s="151"/>
      <c r="AL80" s="151"/>
      <c r="AM80" s="151"/>
      <c r="AN80" s="151"/>
      <c r="AO80" s="151"/>
      <c r="AP80" s="240"/>
    </row>
    <row r="81" spans="23:41" ht="15.5" x14ac:dyDescent="0.35">
      <c r="W81" s="6"/>
      <c r="X81" s="6"/>
      <c r="Y81" s="6"/>
      <c r="Z81" s="6"/>
      <c r="AA81" s="6"/>
      <c r="AB81" s="6"/>
      <c r="AC81" s="6"/>
      <c r="AD81" s="6"/>
      <c r="AE81" s="6"/>
      <c r="AF81" s="6"/>
      <c r="AG81" s="6"/>
      <c r="AH81" s="6"/>
      <c r="AI81" s="6"/>
      <c r="AJ81" s="6"/>
      <c r="AK81" s="6"/>
      <c r="AL81" s="6"/>
      <c r="AM81" s="6"/>
      <c r="AN81" s="6"/>
      <c r="AO81" s="6"/>
    </row>
  </sheetData>
  <sheetProtection selectLockedCells="1"/>
  <protectedRanges>
    <protectedRange algorithmName="SHA-512" hashValue="76mt0jOnm29TowyakMaL8PfLOWrOnnJl1J9832LxYqu0nEbCGHwrzwNk+ZUNvKaqQne6I/QRZIgXIaDDITDs3w==" saltValue="z8YGKewu5hPRB7FPr2i6qA==" spinCount="100000" sqref="A1:A46 A1:U1" name="Überschriften"/>
    <protectedRange algorithmName="SHA-512" hashValue="76mt0jOnm29TowyakMaL8PfLOWrOnnJl1J9832LxYqu0nEbCGHwrzwNk+ZUNvKaqQne6I/QRZIgXIaDDITDs3w==" saltValue="z8YGKewu5hPRB7FPr2i6qA==" spinCount="100000" sqref="D2:D46 H2:H46 L2:L46 P2:P46 T2:T46" name="Überschriften_1_1"/>
    <protectedRange sqref="B46:C46 B43:C43 B40:C40 B37:C37 B34:C34 C31 C28 C25 B22:C22 B19:C19 B16:C16 B13:C13 B10:C10 B7:C7 B4:C4 B2:B46 F28 F19 F16 F7 J7 J16 J13 J22 J25 J28 J31 N31 N28 N25 N19 N16 N7" name="Montag_Wabs_1" securityDescriptor="O:WDG:WDD:(A;;CC;;;WD)"/>
    <protectedRange sqref="F2:F6 G4 G7 G10 G13 G16 G19 G22 G25 G28 G31 G34 G37 G40 G43 G46 F29:F46 F20:F21 F17:F18 F8:F9 F11:F15 F23:F27" name="DienstagWABs_1" securityDescriptor="O:WDG:WDD:(A;;CC;;;WD)"/>
    <protectedRange sqref="J2:J6 K4 K7 K10 K13 K16 K19 K22 K25 K28 K31 K34 K37 K40 K43 K46 J8:J12 J17:J21 J14:J15 J23:J24 J26:J27 J29:J30 J32:J46" name="MittwochWABs_1" securityDescriptor="O:WDG:WDD:(A;;CC;;;WD)"/>
    <protectedRange sqref="N2:N6 O4 O7 O10 O13 O16 O19 O22 O25 O28 O31 O34 O37 O40 O43 O46 N32:N46 N29:N30 N26:N27 N20:N24 N17:N18 N8:N15 F10 F22" name="DonnerstagWABs_1" securityDescriptor="O:WDG:WDD:(A;;CC;;;WD)"/>
    <protectedRange sqref="R2:R46 S4 S7 S10 S13 S16 S19 S22 S25 S28 S31 S34 S37 S40 S43 S46" name="FreitagWABs_1" securityDescriptor="O:WDG:WDD:(A;;CC;;;WD)"/>
    <protectedRange sqref="U2:U46" name="MRDSpalten_1" securityDescriptor="O:WDG:WDD:(A;;CC;;;WD)"/>
    <protectedRange sqref="Q2:Q46" name="MRDSpalten_2_1" securityDescriptor="O:WDG:WDD:(A;;CC;;;WD)"/>
    <protectedRange sqref="M2:M46" name="MRDSpalten_3_1" securityDescriptor="O:WDG:WDD:(A;;CC;;;WD)"/>
    <protectedRange sqref="I2:I46" name="MRDSpalten_4_1" securityDescriptor="O:WDG:WDD:(A;;CC;;;WD)"/>
    <protectedRange sqref="E2:E46" name="MRDSpalten_5_1" securityDescriptor="O:WDG:WDD:(A;;CC;;;WD)"/>
  </protectedRanges>
  <customSheetViews>
    <customSheetView guid="{AF731A35-9978-4A72-829F-F3E8771EE2D4}" showPageBreaks="1">
      <selection activeCell="P42" sqref="P42"/>
      <pageMargins left="0" right="0" top="0" bottom="0" header="0" footer="0"/>
      <pageSetup paperSize="9" orientation="landscape" r:id="rId1"/>
    </customSheetView>
  </customSheetViews>
  <mergeCells count="72">
    <mergeCell ref="AA7:AC7"/>
    <mergeCell ref="AG7:AI7"/>
    <mergeCell ref="X10:Z10"/>
    <mergeCell ref="AD10:AF10"/>
    <mergeCell ref="AJ10:AL10"/>
    <mergeCell ref="X13:Z13"/>
    <mergeCell ref="AD13:AF13"/>
    <mergeCell ref="AA16:AC16"/>
    <mergeCell ref="AG16:AI16"/>
    <mergeCell ref="W49:W50"/>
    <mergeCell ref="W51:AO51"/>
    <mergeCell ref="W25:W27"/>
    <mergeCell ref="W28:W30"/>
    <mergeCell ref="W31:W33"/>
    <mergeCell ref="W13:W15"/>
    <mergeCell ref="W16:W18"/>
    <mergeCell ref="W35:W37"/>
    <mergeCell ref="AD35:AF35"/>
    <mergeCell ref="AG35:AI35"/>
    <mergeCell ref="AJ35:AL35"/>
    <mergeCell ref="W38:W40"/>
    <mergeCell ref="W41:W43"/>
    <mergeCell ref="W45:W46"/>
    <mergeCell ref="W47:W48"/>
    <mergeCell ref="A44:A46"/>
    <mergeCell ref="A2:A4"/>
    <mergeCell ref="A5:A7"/>
    <mergeCell ref="A8:A10"/>
    <mergeCell ref="A11:A13"/>
    <mergeCell ref="A14:A16"/>
    <mergeCell ref="A17:A19"/>
    <mergeCell ref="A32:A34"/>
    <mergeCell ref="A35:A37"/>
    <mergeCell ref="A38:A40"/>
    <mergeCell ref="A29:A31"/>
    <mergeCell ref="A26:A28"/>
    <mergeCell ref="A23:A25"/>
    <mergeCell ref="A20:A22"/>
    <mergeCell ref="A41:A43"/>
    <mergeCell ref="AM7:AO7"/>
    <mergeCell ref="AG10:AI10"/>
    <mergeCell ref="AJ13:AL13"/>
    <mergeCell ref="AM16:AO16"/>
    <mergeCell ref="X25:Z25"/>
    <mergeCell ref="AJ25:AL25"/>
    <mergeCell ref="V20:V38"/>
    <mergeCell ref="W7:W9"/>
    <mergeCell ref="W10:W12"/>
    <mergeCell ref="W4:W6"/>
    <mergeCell ref="W2:W3"/>
    <mergeCell ref="V12:V15"/>
    <mergeCell ref="V39:V46"/>
    <mergeCell ref="V2:V4"/>
    <mergeCell ref="V5:V11"/>
    <mergeCell ref="W22:W24"/>
    <mergeCell ref="W19:W21"/>
    <mergeCell ref="X2:Z2"/>
    <mergeCell ref="AA2:AI2"/>
    <mergeCell ref="AJ2:AL2"/>
    <mergeCell ref="AM2:AO2"/>
    <mergeCell ref="X3:Z3"/>
    <mergeCell ref="AA3:AC3"/>
    <mergeCell ref="AD3:AF3"/>
    <mergeCell ref="AG3:AI3"/>
    <mergeCell ref="AJ3:AL3"/>
    <mergeCell ref="AM3:AO3"/>
    <mergeCell ref="X4:Z4"/>
    <mergeCell ref="AA4:AC4"/>
    <mergeCell ref="V16:V19"/>
    <mergeCell ref="AD4:AF4"/>
    <mergeCell ref="AG4:AI4"/>
    <mergeCell ref="AJ4:AL4"/>
  </mergeCells>
  <conditionalFormatting sqref="F1 J1 N1 R1 A1:B1 A2 A8:A46 A5">
    <cfRule type="expression" dxfId="38" priority="64">
      <formula>CELL("Schutz",A1)</formula>
    </cfRule>
  </conditionalFormatting>
  <conditionalFormatting sqref="T2:T46 D2:D46 H2:H46 L2:L46 P2:P46">
    <cfRule type="expression" dxfId="37" priority="30">
      <formula>CELL("Schutz",D2)</formula>
    </cfRule>
  </conditionalFormatting>
  <conditionalFormatting sqref="B2:B46">
    <cfRule type="expression" dxfId="36" priority="29">
      <formula>CELL("Schutz",B2)</formula>
    </cfRule>
  </conditionalFormatting>
  <conditionalFormatting sqref="F2:F6 F29:F46 F20:F21 F17:F18 F8:F9 F11:F15 F23:F27">
    <cfRule type="expression" dxfId="35" priority="28">
      <formula>CELL("Schutz",F2)</formula>
    </cfRule>
  </conditionalFormatting>
  <conditionalFormatting sqref="J2:J6 J8:J12 J17:J21 J14:J15 J23:J24 J26:J27 J29:J30 J32:J46">
    <cfRule type="expression" dxfId="34" priority="27">
      <formula>CELL("Schutz",J2)</formula>
    </cfRule>
  </conditionalFormatting>
  <conditionalFormatting sqref="N2:N6 N32:N46 N29:N30 N26:N27 N20:N24 N17:N18 N8:N15">
    <cfRule type="expression" dxfId="33" priority="26">
      <formula>CELL("Schutz",N2)</formula>
    </cfRule>
  </conditionalFormatting>
  <conditionalFormatting sqref="R2:R46">
    <cfRule type="expression" dxfId="32" priority="25">
      <formula>CELL("Schutz",R2)</formula>
    </cfRule>
  </conditionalFormatting>
  <conditionalFormatting sqref="U2:U46">
    <cfRule type="expression" dxfId="31" priority="24">
      <formula>CELL("Schutz",U2)</formula>
    </cfRule>
  </conditionalFormatting>
  <conditionalFormatting sqref="Q2:Q46">
    <cfRule type="expression" dxfId="30" priority="23">
      <formula>CELL("Schutz",Q2)</formula>
    </cfRule>
  </conditionalFormatting>
  <conditionalFormatting sqref="M2:M46">
    <cfRule type="expression" dxfId="29" priority="22">
      <formula>CELL("Schutz",M2)</formula>
    </cfRule>
  </conditionalFormatting>
  <conditionalFormatting sqref="I2:I46">
    <cfRule type="expression" dxfId="28" priority="21">
      <formula>CELL("Schutz",I2)</formula>
    </cfRule>
  </conditionalFormatting>
  <conditionalFormatting sqref="E2:E46">
    <cfRule type="expression" dxfId="27" priority="20">
      <formula>CELL("Schutz",E2)</formula>
    </cfRule>
  </conditionalFormatting>
  <conditionalFormatting sqref="F28">
    <cfRule type="expression" dxfId="18" priority="19">
      <formula>CELL("Schutz",F28)</formula>
    </cfRule>
  </conditionalFormatting>
  <conditionalFormatting sqref="F19">
    <cfRule type="expression" dxfId="17" priority="18">
      <formula>CELL("Schutz",F19)</formula>
    </cfRule>
  </conditionalFormatting>
  <conditionalFormatting sqref="F16">
    <cfRule type="expression" dxfId="16" priority="17">
      <formula>CELL("Schutz",F16)</formula>
    </cfRule>
  </conditionalFormatting>
  <conditionalFormatting sqref="F7">
    <cfRule type="expression" dxfId="15" priority="16">
      <formula>CELL("Schutz",F7)</formula>
    </cfRule>
  </conditionalFormatting>
  <conditionalFormatting sqref="J7">
    <cfRule type="expression" dxfId="14" priority="15">
      <formula>CELL("Schutz",J7)</formula>
    </cfRule>
  </conditionalFormatting>
  <conditionalFormatting sqref="J16">
    <cfRule type="expression" dxfId="13" priority="14">
      <formula>CELL("Schutz",J16)</formula>
    </cfRule>
  </conditionalFormatting>
  <conditionalFormatting sqref="J13">
    <cfRule type="expression" dxfId="12" priority="13">
      <formula>CELL("Schutz",J13)</formula>
    </cfRule>
  </conditionalFormatting>
  <conditionalFormatting sqref="J22">
    <cfRule type="expression" dxfId="11" priority="12">
      <formula>CELL("Schutz",J22)</formula>
    </cfRule>
  </conditionalFormatting>
  <conditionalFormatting sqref="J25">
    <cfRule type="expression" dxfId="10" priority="11">
      <formula>CELL("Schutz",J25)</formula>
    </cfRule>
  </conditionalFormatting>
  <conditionalFormatting sqref="J28">
    <cfRule type="expression" dxfId="9" priority="10">
      <formula>CELL("Schutz",J28)</formula>
    </cfRule>
  </conditionalFormatting>
  <conditionalFormatting sqref="J31">
    <cfRule type="expression" dxfId="8" priority="9">
      <formula>CELL("Schutz",J31)</formula>
    </cfRule>
  </conditionalFormatting>
  <conditionalFormatting sqref="N31">
    <cfRule type="expression" dxfId="7" priority="8">
      <formula>CELL("Schutz",N31)</formula>
    </cfRule>
  </conditionalFormatting>
  <conditionalFormatting sqref="N28">
    <cfRule type="expression" dxfId="6" priority="7">
      <formula>CELL("Schutz",N28)</formula>
    </cfRule>
  </conditionalFormatting>
  <conditionalFormatting sqref="N25">
    <cfRule type="expression" dxfId="5" priority="6">
      <formula>CELL("Schutz",N25)</formula>
    </cfRule>
  </conditionalFormatting>
  <conditionalFormatting sqref="N19">
    <cfRule type="expression" dxfId="4" priority="5">
      <formula>CELL("Schutz",N19)</formula>
    </cfRule>
  </conditionalFormatting>
  <conditionalFormatting sqref="N16">
    <cfRule type="expression" dxfId="3" priority="4">
      <formula>CELL("Schutz",N16)</formula>
    </cfRule>
  </conditionalFormatting>
  <conditionalFormatting sqref="N7">
    <cfRule type="expression" dxfId="2" priority="3">
      <formula>CELL("Schutz",N7)</formula>
    </cfRule>
  </conditionalFormatting>
  <conditionalFormatting sqref="F10">
    <cfRule type="expression" dxfId="1" priority="2">
      <formula>CELL("Schutz",F10)</formula>
    </cfRule>
  </conditionalFormatting>
  <conditionalFormatting sqref="F22">
    <cfRule type="expression" dxfId="0" priority="1">
      <formula>CELL("Schutz",F22)</formula>
    </cfRule>
  </conditionalFormatting>
  <dataValidations count="1">
    <dataValidation type="list" allowBlank="1" showInputMessage="1" showErrorMessage="1" sqref="W1" xr:uid="{4483F865-F4EC-4BBD-B190-DB7109D0A181}">
      <formula1>"Tourenplan_BML_WNeudorf,Tourenplan_BML_Graz,Tourenplan_BML_Klagenfurt,Tourenplan_BML_Innsbruck,Tourenplan_BML_Linz,Tourenplan_BML_Dornbirn,Tourenplan_BML_Deutschland"</formula1>
    </dataValidation>
  </dataValidations>
  <pageMargins left="0.31496062992125984" right="0.31496062992125984" top="0.19685039370078741" bottom="0.19685039370078741" header="0.31496062992125984" footer="0.31496062992125984"/>
  <pageSetup paperSize="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tnSwitchKW">
              <controlPr defaultSize="0" print="0" autoFill="0" autoPict="0" macro="[0]!SwitchKW">
                <anchor moveWithCells="1" sizeWithCells="1">
                  <from>
                    <xdr:col>21</xdr:col>
                    <xdr:colOff>69850</xdr:colOff>
                    <xdr:row>1</xdr:row>
                    <xdr:rowOff>69850</xdr:rowOff>
                  </from>
                  <to>
                    <xdr:col>21</xdr:col>
                    <xdr:colOff>1028700</xdr:colOff>
                    <xdr:row>3</xdr:row>
                    <xdr:rowOff>165100</xdr:rowOff>
                  </to>
                </anchor>
              </controlPr>
            </control>
          </mc:Choice>
        </mc:AlternateContent>
        <mc:AlternateContent xmlns:mc="http://schemas.openxmlformats.org/markup-compatibility/2006">
          <mc:Choice Requires="x14">
            <control shapeId="1026" r:id="rId6" name="btnLoadData">
              <controlPr defaultSize="0" print="0" autoFill="0" autoPict="0" macro="[0]!SimpleTransferWithDates">
                <anchor moveWithCells="1">
                  <from>
                    <xdr:col>21</xdr:col>
                    <xdr:colOff>88900</xdr:colOff>
                    <xdr:row>4</xdr:row>
                    <xdr:rowOff>88900</xdr:rowOff>
                  </from>
                  <to>
                    <xdr:col>21</xdr:col>
                    <xdr:colOff>990600</xdr:colOff>
                    <xdr:row>10</xdr:row>
                    <xdr:rowOff>107950</xdr:rowOff>
                  </to>
                </anchor>
              </controlPr>
            </control>
          </mc:Choice>
        </mc:AlternateContent>
        <mc:AlternateContent xmlns:mc="http://schemas.openxmlformats.org/markup-compatibility/2006">
          <mc:Choice Requires="x14">
            <control shapeId="1027" r:id="rId7" name="btnTransferTours">
              <controlPr defaultSize="0" print="0" autoFill="0" autoPict="0" macro="[0]!TransferTours">
                <anchor moveWithCells="1" sizeWithCells="1">
                  <from>
                    <xdr:col>21</xdr:col>
                    <xdr:colOff>57150</xdr:colOff>
                    <xdr:row>11</xdr:row>
                    <xdr:rowOff>69850</xdr:rowOff>
                  </from>
                  <to>
                    <xdr:col>21</xdr:col>
                    <xdr:colOff>1028700</xdr:colOff>
                    <xdr:row>14</xdr:row>
                    <xdr:rowOff>133350</xdr:rowOff>
                  </to>
                </anchor>
              </controlPr>
            </control>
          </mc:Choice>
        </mc:AlternateContent>
        <mc:AlternateContent xmlns:mc="http://schemas.openxmlformats.org/markup-compatibility/2006">
          <mc:Choice Requires="x14">
            <control shapeId="1028" r:id="rId8" name="btnTransferWABs">
              <controlPr defaultSize="0" print="0" autoFill="0" autoPict="0" macro="[0]!TransferWABs">
                <anchor moveWithCells="1" sizeWithCells="1">
                  <from>
                    <xdr:col>21</xdr:col>
                    <xdr:colOff>69850</xdr:colOff>
                    <xdr:row>15</xdr:row>
                    <xdr:rowOff>76200</xdr:rowOff>
                  </from>
                  <to>
                    <xdr:col>21</xdr:col>
                    <xdr:colOff>1041400</xdr:colOff>
                    <xdr:row>18</xdr:row>
                    <xdr:rowOff>133350</xdr:rowOff>
                  </to>
                </anchor>
              </controlPr>
            </control>
          </mc:Choice>
        </mc:AlternateContent>
        <mc:AlternateContent xmlns:mc="http://schemas.openxmlformats.org/markup-compatibility/2006">
          <mc:Choice Requires="x14">
            <control shapeId="1033" r:id="rId9" name="btnPrint">
              <controlPr defaultSize="0" print="0" autoFill="0" autoPict="0" macro="[0]!PrintWorksheet">
                <anchor moveWithCells="1" sizeWithCells="1">
                  <from>
                    <xdr:col>21</xdr:col>
                    <xdr:colOff>69850</xdr:colOff>
                    <xdr:row>38</xdr:row>
                    <xdr:rowOff>57150</xdr:rowOff>
                  </from>
                  <to>
                    <xdr:col>21</xdr:col>
                    <xdr:colOff>1060450</xdr:colOff>
                    <xdr:row>45</xdr:row>
                    <xdr:rowOff>127000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C74CA4-FA04-4592-9ACD-C03A7C998D93}">
  <sheetPr codeName="Tabelle6"/>
  <dimension ref="A1:V81"/>
  <sheetViews>
    <sheetView view="pageLayout" zoomScale="55" zoomScaleNormal="55" zoomScaleSheetLayoutView="25" zoomScalePageLayoutView="55" workbookViewId="0">
      <selection activeCell="F8" sqref="F8"/>
    </sheetView>
  </sheetViews>
  <sheetFormatPr baseColWidth="10" defaultColWidth="14.81640625" defaultRowHeight="15.5" x14ac:dyDescent="0.35"/>
  <cols>
    <col min="1" max="1" width="45.1796875" style="6" bestFit="1" customWidth="1"/>
    <col min="2" max="2" width="31.81640625" style="6" customWidth="1"/>
    <col min="3" max="4" width="16.453125" style="6" customWidth="1"/>
    <col min="5" max="5" width="31.81640625" style="6" customWidth="1"/>
    <col min="6" max="7" width="16.453125" style="6" customWidth="1"/>
    <col min="8" max="8" width="30.54296875" style="6" customWidth="1"/>
    <col min="9" max="10" width="16.453125" style="6" customWidth="1"/>
    <col min="11" max="11" width="31.81640625" style="6" customWidth="1"/>
    <col min="12" max="13" width="16.453125" style="6" customWidth="1"/>
    <col min="14" max="14" width="31.81640625" style="6" customWidth="1"/>
    <col min="15" max="16" width="16.453125" style="6" customWidth="1"/>
    <col min="17" max="17" width="30.54296875" style="6" customWidth="1"/>
    <col min="18" max="19" width="16.453125" style="6" customWidth="1"/>
    <col min="20" max="20" width="11.26953125" style="6" customWidth="1"/>
    <col min="21" max="16384" width="14.81640625" style="6"/>
  </cols>
  <sheetData>
    <row r="1" spans="1:22" ht="46.5" customHeight="1" thickBot="1" x14ac:dyDescent="0.4">
      <c r="A1" s="210" t="s">
        <v>13</v>
      </c>
      <c r="B1" s="506" t="s">
        <v>185</v>
      </c>
      <c r="C1" s="507"/>
      <c r="D1" s="508"/>
      <c r="E1" s="509" t="s">
        <v>15</v>
      </c>
      <c r="F1" s="510"/>
      <c r="G1" s="510"/>
      <c r="H1" s="510"/>
      <c r="I1" s="510"/>
      <c r="J1" s="510"/>
      <c r="K1" s="510"/>
      <c r="L1" s="510"/>
      <c r="M1" s="511"/>
      <c r="N1" s="512">
        <f>_xlfn.ISOWEEKNUM(B2)</f>
        <v>15</v>
      </c>
      <c r="O1" s="513"/>
      <c r="P1" s="514"/>
      <c r="Q1" s="506" t="s">
        <v>16</v>
      </c>
      <c r="R1" s="507"/>
      <c r="S1" s="508"/>
    </row>
    <row r="2" spans="1:22" ht="30.5" thickBot="1" x14ac:dyDescent="0.65">
      <c r="A2" s="7"/>
      <c r="B2" s="172">
        <v>45754</v>
      </c>
      <c r="C2" s="173"/>
      <c r="D2" s="174"/>
      <c r="E2" s="172">
        <f>B2+1</f>
        <v>45755</v>
      </c>
      <c r="F2" s="183"/>
      <c r="G2" s="184"/>
      <c r="H2" s="172">
        <f t="shared" ref="H2" si="0">E2+1</f>
        <v>45756</v>
      </c>
      <c r="I2" s="183"/>
      <c r="J2" s="184"/>
      <c r="K2" s="172">
        <f t="shared" ref="K2" si="1">H2+1</f>
        <v>45757</v>
      </c>
      <c r="L2" s="183"/>
      <c r="M2" s="184"/>
      <c r="N2" s="172">
        <f t="shared" ref="N2" si="2">K2+1</f>
        <v>45758</v>
      </c>
      <c r="O2" s="183"/>
      <c r="P2" s="184"/>
      <c r="Q2" s="172">
        <f t="shared" ref="Q2" si="3">N2+1</f>
        <v>45759</v>
      </c>
      <c r="R2" s="183"/>
      <c r="S2" s="184"/>
    </row>
    <row r="3" spans="1:22" ht="23.25" customHeight="1" x14ac:dyDescent="0.5">
      <c r="A3" s="495" t="s">
        <v>192</v>
      </c>
      <c r="B3" s="682"/>
      <c r="C3" s="683"/>
      <c r="D3" s="683"/>
      <c r="E3" s="682"/>
      <c r="F3" s="683"/>
      <c r="G3" s="683"/>
      <c r="H3" s="682"/>
      <c r="I3" s="683"/>
      <c r="J3" s="683"/>
      <c r="K3" s="682"/>
      <c r="L3" s="683"/>
      <c r="M3" s="684"/>
      <c r="N3" s="685"/>
      <c r="O3" s="685"/>
      <c r="P3" s="686"/>
      <c r="Q3" s="687"/>
      <c r="R3" s="685"/>
      <c r="S3" s="688"/>
      <c r="T3" s="303"/>
      <c r="U3" s="303"/>
      <c r="V3" s="303"/>
    </row>
    <row r="4" spans="1:22" ht="23.25" customHeight="1" x14ac:dyDescent="0.5">
      <c r="A4" s="496"/>
      <c r="B4" s="689"/>
      <c r="C4" s="948"/>
      <c r="D4" s="691"/>
      <c r="E4" s="689"/>
      <c r="F4" s="948"/>
      <c r="G4" s="691"/>
      <c r="H4" s="689"/>
      <c r="I4" s="948"/>
      <c r="J4" s="691"/>
      <c r="K4" s="689"/>
      <c r="L4" s="948"/>
      <c r="M4" s="693"/>
      <c r="N4" s="694"/>
      <c r="O4" s="690"/>
      <c r="P4" s="695"/>
      <c r="Q4" s="689"/>
      <c r="R4" s="690"/>
      <c r="S4" s="696"/>
      <c r="T4" s="306"/>
      <c r="U4" s="14"/>
    </row>
    <row r="5" spans="1:22" ht="23.25" customHeight="1" x14ac:dyDescent="0.5">
      <c r="A5" s="497"/>
      <c r="B5" s="689"/>
      <c r="C5" s="950"/>
      <c r="D5" s="956"/>
      <c r="E5" s="689"/>
      <c r="F5" s="950"/>
      <c r="G5" s="956"/>
      <c r="H5" s="689"/>
      <c r="I5" s="950"/>
      <c r="J5" s="956"/>
      <c r="K5" s="689"/>
      <c r="L5" s="950"/>
      <c r="M5" s="953"/>
      <c r="N5" s="699"/>
      <c r="O5" s="699"/>
      <c r="P5" s="700"/>
      <c r="Q5" s="701"/>
      <c r="R5" s="699"/>
      <c r="S5" s="702"/>
      <c r="T5" s="14"/>
      <c r="U5" s="14"/>
      <c r="V5" s="301"/>
    </row>
    <row r="6" spans="1:22" ht="23.25" customHeight="1" x14ac:dyDescent="0.5">
      <c r="A6" s="505" t="s">
        <v>190</v>
      </c>
      <c r="B6" s="682"/>
      <c r="C6" s="683"/>
      <c r="D6" s="683"/>
      <c r="E6" s="682"/>
      <c r="F6" s="683"/>
      <c r="G6" s="683"/>
      <c r="H6" s="682"/>
      <c r="I6" s="683"/>
      <c r="J6" s="683"/>
      <c r="K6" s="682"/>
      <c r="L6" s="683"/>
      <c r="M6" s="684"/>
      <c r="N6" s="703"/>
      <c r="O6" s="703"/>
      <c r="P6" s="704"/>
      <c r="Q6" s="705"/>
      <c r="R6" s="703"/>
      <c r="S6" s="706"/>
      <c r="T6" s="306"/>
      <c r="U6" s="306"/>
      <c r="V6" s="306"/>
    </row>
    <row r="7" spans="1:22" ht="23.25" customHeight="1" x14ac:dyDescent="0.5">
      <c r="A7" s="499"/>
      <c r="B7" s="689"/>
      <c r="C7" s="948"/>
      <c r="D7" s="691"/>
      <c r="E7" s="689"/>
      <c r="F7" s="948"/>
      <c r="G7" s="691"/>
      <c r="H7" s="689"/>
      <c r="I7" s="948"/>
      <c r="J7" s="691"/>
      <c r="K7" s="689"/>
      <c r="L7" s="948"/>
      <c r="M7" s="693"/>
      <c r="N7" s="694"/>
      <c r="O7" s="690"/>
      <c r="P7" s="695"/>
      <c r="Q7" s="689"/>
      <c r="R7" s="690"/>
      <c r="S7" s="696"/>
      <c r="T7" s="306"/>
      <c r="U7" s="14"/>
    </row>
    <row r="8" spans="1:22" ht="23.25" customHeight="1" x14ac:dyDescent="0.5">
      <c r="A8" s="500"/>
      <c r="B8" s="689"/>
      <c r="C8" s="950"/>
      <c r="D8" s="956"/>
      <c r="E8" s="689"/>
      <c r="F8" s="950"/>
      <c r="G8" s="956"/>
      <c r="H8" s="689"/>
      <c r="I8" s="950"/>
      <c r="J8" s="956"/>
      <c r="K8" s="701"/>
      <c r="L8" s="699"/>
      <c r="M8" s="951"/>
      <c r="N8" s="694"/>
      <c r="O8" s="694"/>
      <c r="P8" s="698"/>
      <c r="Q8" s="701"/>
      <c r="R8" s="699"/>
      <c r="S8" s="702"/>
      <c r="T8" s="14"/>
      <c r="U8" s="14"/>
      <c r="V8" s="301"/>
    </row>
    <row r="9" spans="1:22" ht="23.25" customHeight="1" x14ac:dyDescent="0.5">
      <c r="A9" s="505" t="s">
        <v>187</v>
      </c>
      <c r="B9" s="682"/>
      <c r="C9" s="683"/>
      <c r="D9" s="683"/>
      <c r="E9" s="682"/>
      <c r="F9" s="683"/>
      <c r="G9" s="683"/>
      <c r="H9" s="682"/>
      <c r="I9" s="683"/>
      <c r="J9" s="684"/>
      <c r="K9" s="690"/>
      <c r="L9" s="690"/>
      <c r="M9" s="690"/>
      <c r="N9" s="682"/>
      <c r="O9" s="683"/>
      <c r="P9" s="684"/>
      <c r="Q9" s="703"/>
      <c r="R9" s="703"/>
      <c r="S9" s="706"/>
      <c r="T9" s="305"/>
      <c r="U9" s="305"/>
      <c r="V9" s="305"/>
    </row>
    <row r="10" spans="1:22" ht="23.25" customHeight="1" x14ac:dyDescent="0.5">
      <c r="A10" s="499"/>
      <c r="B10" s="689"/>
      <c r="C10" s="948"/>
      <c r="D10" s="691"/>
      <c r="E10" s="689"/>
      <c r="F10" s="948"/>
      <c r="G10" s="691"/>
      <c r="H10" s="689"/>
      <c r="I10" s="948"/>
      <c r="J10" s="693"/>
      <c r="K10" s="694"/>
      <c r="L10" s="690"/>
      <c r="M10" s="707"/>
      <c r="N10" s="689"/>
      <c r="O10" s="948"/>
      <c r="P10" s="693"/>
      <c r="Q10" s="694"/>
      <c r="R10" s="690"/>
      <c r="S10" s="696"/>
      <c r="T10" s="306"/>
      <c r="U10" s="14"/>
    </row>
    <row r="11" spans="1:22" ht="23.25" customHeight="1" x14ac:dyDescent="0.5">
      <c r="A11" s="500"/>
      <c r="B11" s="689"/>
      <c r="C11" s="950"/>
      <c r="D11" s="956"/>
      <c r="E11" s="689"/>
      <c r="F11" s="950"/>
      <c r="G11" s="956"/>
      <c r="H11" s="689"/>
      <c r="I11" s="950"/>
      <c r="J11" s="953"/>
      <c r="K11" s="694"/>
      <c r="L11" s="694"/>
      <c r="M11" s="697"/>
      <c r="N11" s="701"/>
      <c r="O11" s="699"/>
      <c r="P11" s="951"/>
      <c r="Q11" s="699"/>
      <c r="R11" s="699"/>
      <c r="S11" s="702"/>
      <c r="T11" s="14"/>
      <c r="U11" s="14"/>
      <c r="V11" s="301"/>
    </row>
    <row r="12" spans="1:22" ht="23.25" customHeight="1" thickBot="1" x14ac:dyDescent="0.55000000000000004">
      <c r="A12" s="505" t="s">
        <v>189</v>
      </c>
      <c r="B12" s="682"/>
      <c r="C12" s="683"/>
      <c r="D12" s="683"/>
      <c r="E12" s="682"/>
      <c r="F12" s="683"/>
      <c r="G12" s="683"/>
      <c r="H12" s="682"/>
      <c r="I12" s="683"/>
      <c r="J12" s="683"/>
      <c r="K12" s="682"/>
      <c r="L12" s="683"/>
      <c r="M12" s="684"/>
      <c r="N12" s="690"/>
      <c r="O12" s="690"/>
      <c r="P12" s="708"/>
      <c r="Q12" s="705"/>
      <c r="R12" s="703"/>
      <c r="S12" s="706"/>
      <c r="T12" s="305"/>
      <c r="U12" s="305"/>
      <c r="V12" s="305"/>
    </row>
    <row r="13" spans="1:22" ht="23.25" customHeight="1" thickBot="1" x14ac:dyDescent="0.55000000000000004">
      <c r="A13" s="499"/>
      <c r="B13" s="689"/>
      <c r="C13" s="948"/>
      <c r="D13" s="691"/>
      <c r="E13" s="692"/>
      <c r="F13" s="948"/>
      <c r="G13" s="691"/>
      <c r="H13" s="689"/>
      <c r="I13" s="948"/>
      <c r="J13" s="691"/>
      <c r="K13" s="689"/>
      <c r="L13" s="948"/>
      <c r="M13" s="693"/>
      <c r="N13" s="694"/>
      <c r="O13" s="690"/>
      <c r="P13" s="695"/>
      <c r="Q13" s="689"/>
      <c r="R13" s="690"/>
      <c r="S13" s="696"/>
      <c r="T13" s="306"/>
      <c r="U13" s="14"/>
    </row>
    <row r="14" spans="1:22" ht="23.25" customHeight="1" x14ac:dyDescent="0.5">
      <c r="A14" s="500"/>
      <c r="B14" s="689"/>
      <c r="C14" s="950"/>
      <c r="D14" s="956"/>
      <c r="E14" s="689"/>
      <c r="F14" s="950"/>
      <c r="G14" s="956"/>
      <c r="H14" s="689"/>
      <c r="I14" s="950"/>
      <c r="J14" s="956"/>
      <c r="K14" s="689"/>
      <c r="L14" s="950"/>
      <c r="M14" s="953"/>
      <c r="N14" s="699"/>
      <c r="O14" s="699"/>
      <c r="P14" s="700"/>
      <c r="Q14" s="701"/>
      <c r="R14" s="699"/>
      <c r="S14" s="702"/>
      <c r="T14" s="14"/>
      <c r="U14" s="14"/>
      <c r="V14" s="301"/>
    </row>
    <row r="15" spans="1:22" ht="23.25" customHeight="1" x14ac:dyDescent="0.5">
      <c r="A15" s="505" t="s">
        <v>188</v>
      </c>
      <c r="B15" s="682"/>
      <c r="C15" s="683"/>
      <c r="D15" s="683"/>
      <c r="E15" s="682"/>
      <c r="F15" s="683"/>
      <c r="G15" s="683"/>
      <c r="H15" s="682"/>
      <c r="I15" s="683"/>
      <c r="J15" s="683"/>
      <c r="K15" s="682"/>
      <c r="L15" s="683"/>
      <c r="M15" s="684"/>
      <c r="N15" s="703"/>
      <c r="O15" s="703"/>
      <c r="P15" s="704"/>
      <c r="Q15" s="705"/>
      <c r="R15" s="703"/>
      <c r="S15" s="706"/>
      <c r="T15" s="305"/>
      <c r="U15" s="305"/>
      <c r="V15" s="305"/>
    </row>
    <row r="16" spans="1:22" ht="23.25" customHeight="1" x14ac:dyDescent="0.5">
      <c r="A16" s="499"/>
      <c r="B16" s="689"/>
      <c r="C16" s="948"/>
      <c r="D16" s="691"/>
      <c r="E16" s="689"/>
      <c r="F16" s="948"/>
      <c r="G16" s="691"/>
      <c r="H16" s="689"/>
      <c r="I16" s="948"/>
      <c r="J16" s="691"/>
      <c r="K16" s="689"/>
      <c r="L16" s="948"/>
      <c r="M16" s="693"/>
      <c r="N16" s="694"/>
      <c r="O16" s="690"/>
      <c r="P16" s="695"/>
      <c r="Q16" s="689"/>
      <c r="R16" s="690"/>
      <c r="S16" s="696"/>
      <c r="T16" s="306"/>
      <c r="U16" s="14"/>
    </row>
    <row r="17" spans="1:22" ht="23.25" customHeight="1" x14ac:dyDescent="0.5">
      <c r="A17" s="500"/>
      <c r="B17" s="689"/>
      <c r="C17" s="950"/>
      <c r="D17" s="956"/>
      <c r="E17" s="689"/>
      <c r="F17" s="950"/>
      <c r="G17" s="956"/>
      <c r="H17" s="689"/>
      <c r="I17" s="950"/>
      <c r="J17" s="956"/>
      <c r="K17" s="701"/>
      <c r="L17" s="699"/>
      <c r="M17" s="951"/>
      <c r="N17" s="699"/>
      <c r="O17" s="699"/>
      <c r="P17" s="700"/>
      <c r="Q17" s="701"/>
      <c r="R17" s="699"/>
      <c r="S17" s="702"/>
      <c r="T17" s="14"/>
      <c r="U17" s="14"/>
      <c r="V17" s="301"/>
    </row>
    <row r="18" spans="1:22" ht="23.25" customHeight="1" thickBot="1" x14ac:dyDescent="0.55000000000000004">
      <c r="A18" s="498" t="s">
        <v>191</v>
      </c>
      <c r="B18" s="682"/>
      <c r="C18" s="683"/>
      <c r="D18" s="683"/>
      <c r="E18" s="682"/>
      <c r="F18" s="683"/>
      <c r="G18" s="683"/>
      <c r="H18" s="682"/>
      <c r="I18" s="683"/>
      <c r="J18" s="684"/>
      <c r="K18" s="690"/>
      <c r="L18" s="690"/>
      <c r="M18" s="708"/>
      <c r="N18" s="709"/>
      <c r="O18" s="690"/>
      <c r="P18" s="708"/>
      <c r="Q18" s="709"/>
      <c r="R18" s="690"/>
      <c r="S18" s="710"/>
      <c r="T18" s="305"/>
      <c r="U18" s="14"/>
      <c r="V18" s="301"/>
    </row>
    <row r="19" spans="1:22" ht="23.25" customHeight="1" thickBot="1" x14ac:dyDescent="0.55000000000000004">
      <c r="A19" s="499"/>
      <c r="B19" s="689"/>
      <c r="C19" s="948"/>
      <c r="D19" s="693"/>
      <c r="E19" s="692"/>
      <c r="F19" s="948"/>
      <c r="G19" s="691"/>
      <c r="H19" s="689"/>
      <c r="I19" s="948"/>
      <c r="J19" s="693"/>
      <c r="K19" s="694"/>
      <c r="L19" s="690"/>
      <c r="M19" s="695"/>
      <c r="N19" s="689"/>
      <c r="O19" s="690"/>
      <c r="P19" s="695"/>
      <c r="Q19" s="689"/>
      <c r="R19" s="690"/>
      <c r="S19" s="696"/>
      <c r="T19" s="306"/>
      <c r="U19" s="14"/>
    </row>
    <row r="20" spans="1:22" ht="23.25" customHeight="1" x14ac:dyDescent="0.5">
      <c r="A20" s="500"/>
      <c r="B20" s="701"/>
      <c r="C20" s="699"/>
      <c r="D20" s="949"/>
      <c r="E20" s="701"/>
      <c r="F20" s="699"/>
      <c r="G20" s="949"/>
      <c r="H20" s="701"/>
      <c r="I20" s="699"/>
      <c r="J20" s="951"/>
      <c r="K20" s="699"/>
      <c r="L20" s="699"/>
      <c r="M20" s="700"/>
      <c r="N20" s="701"/>
      <c r="O20" s="699"/>
      <c r="P20" s="700"/>
      <c r="Q20" s="701"/>
      <c r="R20" s="699"/>
      <c r="S20" s="702"/>
      <c r="T20" s="14"/>
      <c r="U20" s="14"/>
      <c r="V20" s="301"/>
    </row>
    <row r="21" spans="1:22" ht="23.25" customHeight="1" x14ac:dyDescent="0.5">
      <c r="A21" s="501" t="s">
        <v>186</v>
      </c>
      <c r="B21" s="711"/>
      <c r="C21" s="690"/>
      <c r="D21" s="708"/>
      <c r="E21" s="709"/>
      <c r="F21" s="690"/>
      <c r="G21" s="708"/>
      <c r="H21" s="709"/>
      <c r="I21" s="690"/>
      <c r="J21" s="708"/>
      <c r="K21" s="705"/>
      <c r="L21" s="703"/>
      <c r="M21" s="704"/>
      <c r="N21" s="705"/>
      <c r="O21" s="703"/>
      <c r="P21" s="704"/>
      <c r="Q21" s="705"/>
      <c r="R21" s="703"/>
      <c r="S21" s="706"/>
      <c r="T21" s="305"/>
      <c r="U21" s="14"/>
      <c r="V21" s="301"/>
    </row>
    <row r="22" spans="1:22" ht="23.25" customHeight="1" x14ac:dyDescent="0.5">
      <c r="A22" s="502"/>
      <c r="B22" s="712"/>
      <c r="C22" s="690"/>
      <c r="D22" s="695"/>
      <c r="E22" s="689"/>
      <c r="F22" s="690"/>
      <c r="G22" s="695"/>
      <c r="H22" s="689"/>
      <c r="I22" s="690"/>
      <c r="J22" s="695"/>
      <c r="K22" s="689"/>
      <c r="L22" s="690"/>
      <c r="M22" s="695"/>
      <c r="N22" s="689"/>
      <c r="O22" s="690"/>
      <c r="P22" s="695"/>
      <c r="Q22" s="689"/>
      <c r="R22" s="690"/>
      <c r="S22" s="696"/>
      <c r="T22" s="306"/>
      <c r="U22" s="14"/>
    </row>
    <row r="23" spans="1:22" ht="23.25" customHeight="1" x14ac:dyDescent="0.5">
      <c r="A23" s="503"/>
      <c r="B23" s="713"/>
      <c r="C23" s="699"/>
      <c r="D23" s="700"/>
      <c r="E23" s="701"/>
      <c r="F23" s="699"/>
      <c r="G23" s="700"/>
      <c r="H23" s="701"/>
      <c r="I23" s="699"/>
      <c r="J23" s="700"/>
      <c r="K23" s="701"/>
      <c r="L23" s="699"/>
      <c r="M23" s="700"/>
      <c r="N23" s="701"/>
      <c r="O23" s="699"/>
      <c r="P23" s="700"/>
      <c r="Q23" s="701"/>
      <c r="R23" s="699"/>
      <c r="S23" s="702"/>
      <c r="T23" s="14"/>
      <c r="U23" s="14"/>
      <c r="V23" s="301"/>
    </row>
    <row r="24" spans="1:22" ht="18.75" customHeight="1" x14ac:dyDescent="0.5">
      <c r="A24" s="493" t="s">
        <v>17</v>
      </c>
      <c r="B24" s="714"/>
      <c r="C24" s="703"/>
      <c r="D24" s="704"/>
      <c r="E24" s="705"/>
      <c r="F24" s="703"/>
      <c r="G24" s="704"/>
      <c r="H24" s="705"/>
      <c r="I24" s="703"/>
      <c r="J24" s="704"/>
      <c r="K24" s="705"/>
      <c r="L24" s="703"/>
      <c r="M24" s="704"/>
      <c r="N24" s="705"/>
      <c r="O24" s="703"/>
      <c r="P24" s="704"/>
      <c r="Q24" s="705"/>
      <c r="R24" s="703"/>
      <c r="S24" s="706"/>
      <c r="T24" s="14"/>
      <c r="U24" s="14"/>
    </row>
    <row r="25" spans="1:22" ht="18.75" customHeight="1" x14ac:dyDescent="0.5">
      <c r="A25" s="494"/>
      <c r="B25" s="712"/>
      <c r="C25" s="690"/>
      <c r="D25" s="695"/>
      <c r="E25" s="689"/>
      <c r="F25" s="690"/>
      <c r="G25" s="695"/>
      <c r="H25" s="689"/>
      <c r="I25" s="690"/>
      <c r="J25" s="695"/>
      <c r="K25" s="689"/>
      <c r="L25" s="690"/>
      <c r="M25" s="695"/>
      <c r="N25" s="689"/>
      <c r="O25" s="690"/>
      <c r="P25" s="695"/>
      <c r="Q25" s="689"/>
      <c r="R25" s="690"/>
      <c r="S25" s="696"/>
      <c r="T25" s="14"/>
      <c r="U25" s="14"/>
    </row>
    <row r="26" spans="1:22" ht="18.75" customHeight="1" x14ac:dyDescent="0.5">
      <c r="A26" s="504"/>
      <c r="B26" s="713"/>
      <c r="C26" s="699"/>
      <c r="D26" s="700"/>
      <c r="E26" s="701"/>
      <c r="F26" s="699"/>
      <c r="G26" s="700"/>
      <c r="H26" s="701"/>
      <c r="I26" s="699"/>
      <c r="J26" s="700"/>
      <c r="K26" s="701"/>
      <c r="L26" s="699"/>
      <c r="M26" s="700"/>
      <c r="N26" s="701"/>
      <c r="O26" s="699"/>
      <c r="P26" s="700"/>
      <c r="Q26" s="701"/>
      <c r="R26" s="699"/>
      <c r="S26" s="702"/>
      <c r="T26" s="14"/>
      <c r="U26" s="14"/>
    </row>
    <row r="27" spans="1:22" ht="18.75" customHeight="1" x14ac:dyDescent="0.5">
      <c r="A27" s="493" t="s">
        <v>18</v>
      </c>
      <c r="B27" s="714"/>
      <c r="C27" s="703"/>
      <c r="D27" s="704"/>
      <c r="E27" s="705"/>
      <c r="F27" s="703"/>
      <c r="G27" s="704"/>
      <c r="H27" s="705"/>
      <c r="I27" s="703"/>
      <c r="J27" s="704"/>
      <c r="K27" s="705"/>
      <c r="L27" s="703"/>
      <c r="M27" s="704"/>
      <c r="N27" s="705"/>
      <c r="O27" s="703"/>
      <c r="P27" s="704"/>
      <c r="Q27" s="705"/>
      <c r="R27" s="703"/>
      <c r="S27" s="706"/>
      <c r="T27" s="14"/>
      <c r="U27" s="14"/>
    </row>
    <row r="28" spans="1:22" ht="18.75" customHeight="1" x14ac:dyDescent="0.5">
      <c r="A28" s="494"/>
      <c r="B28" s="712"/>
      <c r="C28" s="690"/>
      <c r="D28" s="695"/>
      <c r="E28" s="689"/>
      <c r="F28" s="690"/>
      <c r="G28" s="695"/>
      <c r="H28" s="689"/>
      <c r="I28" s="690"/>
      <c r="J28" s="695"/>
      <c r="K28" s="689"/>
      <c r="L28" s="690"/>
      <c r="M28" s="695"/>
      <c r="N28" s="689"/>
      <c r="O28" s="690"/>
      <c r="P28" s="695"/>
      <c r="Q28" s="689"/>
      <c r="R28" s="690"/>
      <c r="S28" s="696"/>
      <c r="T28" s="14"/>
      <c r="U28" s="14"/>
    </row>
    <row r="29" spans="1:22" ht="18.75" customHeight="1" x14ac:dyDescent="0.5">
      <c r="A29" s="504"/>
      <c r="B29" s="713"/>
      <c r="C29" s="699"/>
      <c r="D29" s="700"/>
      <c r="E29" s="701"/>
      <c r="F29" s="699"/>
      <c r="G29" s="700"/>
      <c r="H29" s="701"/>
      <c r="I29" s="699"/>
      <c r="J29" s="700"/>
      <c r="K29" s="701"/>
      <c r="L29" s="699"/>
      <c r="M29" s="700"/>
      <c r="N29" s="701"/>
      <c r="O29" s="699"/>
      <c r="P29" s="700"/>
      <c r="Q29" s="701"/>
      <c r="R29" s="699"/>
      <c r="S29" s="702"/>
      <c r="T29" s="14"/>
      <c r="U29" s="14"/>
    </row>
    <row r="30" spans="1:22" ht="18.75" customHeight="1" x14ac:dyDescent="0.5">
      <c r="A30" s="493" t="s">
        <v>19</v>
      </c>
      <c r="B30" s="714"/>
      <c r="C30" s="703"/>
      <c r="D30" s="704"/>
      <c r="E30" s="705"/>
      <c r="F30" s="703"/>
      <c r="G30" s="704"/>
      <c r="H30" s="705"/>
      <c r="I30" s="703"/>
      <c r="J30" s="704"/>
      <c r="K30" s="705"/>
      <c r="L30" s="703"/>
      <c r="M30" s="704"/>
      <c r="N30" s="705"/>
      <c r="O30" s="703"/>
      <c r="P30" s="704"/>
      <c r="Q30" s="705"/>
      <c r="R30" s="703"/>
      <c r="S30" s="706"/>
      <c r="T30" s="14"/>
      <c r="U30" s="14"/>
    </row>
    <row r="31" spans="1:22" ht="18.75" customHeight="1" x14ac:dyDescent="0.5">
      <c r="A31" s="494"/>
      <c r="B31" s="712"/>
      <c r="C31" s="690"/>
      <c r="D31" s="695"/>
      <c r="E31" s="689"/>
      <c r="F31" s="690"/>
      <c r="G31" s="695"/>
      <c r="H31" s="689"/>
      <c r="I31" s="690"/>
      <c r="J31" s="695"/>
      <c r="K31" s="689"/>
      <c r="L31" s="690"/>
      <c r="M31" s="695"/>
      <c r="N31" s="689"/>
      <c r="O31" s="690"/>
      <c r="P31" s="695"/>
      <c r="Q31" s="689"/>
      <c r="R31" s="690"/>
      <c r="S31" s="696"/>
      <c r="T31" s="14"/>
      <c r="U31" s="14"/>
    </row>
    <row r="32" spans="1:22" ht="18.75" customHeight="1" x14ac:dyDescent="0.5">
      <c r="A32" s="504"/>
      <c r="B32" s="713"/>
      <c r="C32" s="699"/>
      <c r="D32" s="700"/>
      <c r="E32" s="701"/>
      <c r="F32" s="699"/>
      <c r="G32" s="700"/>
      <c r="H32" s="701"/>
      <c r="I32" s="699"/>
      <c r="J32" s="700"/>
      <c r="K32" s="701"/>
      <c r="L32" s="699"/>
      <c r="M32" s="700"/>
      <c r="N32" s="701"/>
      <c r="O32" s="699"/>
      <c r="P32" s="700"/>
      <c r="Q32" s="701"/>
      <c r="R32" s="699"/>
      <c r="S32" s="702"/>
      <c r="T32" s="14"/>
      <c r="U32" s="14"/>
    </row>
    <row r="33" spans="1:21" ht="18.75" customHeight="1" x14ac:dyDescent="0.5">
      <c r="A33" s="493" t="s">
        <v>20</v>
      </c>
      <c r="B33" s="714"/>
      <c r="C33" s="703"/>
      <c r="D33" s="704"/>
      <c r="E33" s="705"/>
      <c r="F33" s="703"/>
      <c r="G33" s="704"/>
      <c r="H33" s="705"/>
      <c r="I33" s="703"/>
      <c r="J33" s="704"/>
      <c r="K33" s="705"/>
      <c r="L33" s="703"/>
      <c r="M33" s="704"/>
      <c r="N33" s="705"/>
      <c r="O33" s="703"/>
      <c r="P33" s="704"/>
      <c r="Q33" s="705"/>
      <c r="R33" s="703"/>
      <c r="S33" s="706"/>
      <c r="T33" s="14"/>
      <c r="U33" s="14"/>
    </row>
    <row r="34" spans="1:21" ht="18.75" customHeight="1" x14ac:dyDescent="0.5">
      <c r="A34" s="494"/>
      <c r="B34" s="715"/>
      <c r="C34" s="690"/>
      <c r="D34" s="716"/>
      <c r="E34" s="717"/>
      <c r="F34" s="690"/>
      <c r="G34" s="716"/>
      <c r="H34" s="717"/>
      <c r="I34" s="690"/>
      <c r="J34" s="716"/>
      <c r="K34" s="717"/>
      <c r="L34" s="690"/>
      <c r="M34" s="716"/>
      <c r="N34" s="717"/>
      <c r="O34" s="690"/>
      <c r="P34" s="716"/>
      <c r="Q34" s="370"/>
      <c r="R34" s="358"/>
      <c r="S34" s="384"/>
      <c r="T34" s="14"/>
      <c r="U34" s="14"/>
    </row>
    <row r="35" spans="1:21" ht="18.75" customHeight="1" x14ac:dyDescent="0.5">
      <c r="A35" s="504"/>
      <c r="B35" s="713"/>
      <c r="C35" s="699"/>
      <c r="D35" s="700"/>
      <c r="E35" s="701"/>
      <c r="F35" s="699"/>
      <c r="G35" s="700"/>
      <c r="H35" s="701"/>
      <c r="I35" s="699"/>
      <c r="J35" s="700"/>
      <c r="K35" s="701"/>
      <c r="L35" s="699"/>
      <c r="M35" s="700"/>
      <c r="N35" s="701"/>
      <c r="O35" s="699"/>
      <c r="P35" s="700"/>
      <c r="Q35" s="701"/>
      <c r="R35" s="699"/>
      <c r="S35" s="702"/>
      <c r="T35" s="14"/>
      <c r="U35" s="14"/>
    </row>
    <row r="36" spans="1:21" ht="18.75" customHeight="1" x14ac:dyDescent="0.5">
      <c r="A36" s="493" t="s">
        <v>21</v>
      </c>
      <c r="B36" s="714"/>
      <c r="C36" s="703"/>
      <c r="D36" s="704"/>
      <c r="E36" s="705"/>
      <c r="F36" s="703"/>
      <c r="G36" s="704"/>
      <c r="H36" s="705"/>
      <c r="I36" s="703"/>
      <c r="J36" s="704"/>
      <c r="K36" s="705"/>
      <c r="L36" s="703"/>
      <c r="M36" s="704"/>
      <c r="N36" s="705"/>
      <c r="O36" s="703"/>
      <c r="P36" s="704"/>
      <c r="Q36" s="705"/>
      <c r="R36" s="703"/>
      <c r="S36" s="706"/>
      <c r="T36" s="14"/>
      <c r="U36" s="14"/>
    </row>
    <row r="37" spans="1:21" ht="18.75" customHeight="1" x14ac:dyDescent="0.5">
      <c r="A37" s="494"/>
      <c r="B37" s="715"/>
      <c r="C37" s="690"/>
      <c r="D37" s="716"/>
      <c r="E37" s="717"/>
      <c r="F37" s="690"/>
      <c r="G37" s="716"/>
      <c r="H37" s="717"/>
      <c r="I37" s="690"/>
      <c r="J37" s="716"/>
      <c r="K37" s="717"/>
      <c r="L37" s="690"/>
      <c r="M37" s="716"/>
      <c r="N37" s="717"/>
      <c r="O37" s="690"/>
      <c r="P37" s="716"/>
      <c r="Q37" s="717"/>
      <c r="R37" s="690"/>
      <c r="S37" s="718"/>
      <c r="T37" s="14"/>
      <c r="U37" s="14"/>
    </row>
    <row r="38" spans="1:21" ht="18.75" customHeight="1" x14ac:dyDescent="0.5">
      <c r="A38" s="504"/>
      <c r="B38" s="713"/>
      <c r="C38" s="699"/>
      <c r="D38" s="700"/>
      <c r="E38" s="701"/>
      <c r="F38" s="699"/>
      <c r="G38" s="700"/>
      <c r="H38" s="701"/>
      <c r="I38" s="699"/>
      <c r="J38" s="700"/>
      <c r="K38" s="701"/>
      <c r="L38" s="699"/>
      <c r="M38" s="700"/>
      <c r="N38" s="701"/>
      <c r="O38" s="699"/>
      <c r="P38" s="700"/>
      <c r="Q38" s="701"/>
      <c r="R38" s="699"/>
      <c r="S38" s="702"/>
      <c r="T38" s="14"/>
      <c r="U38" s="14"/>
    </row>
    <row r="39" spans="1:21" ht="18.75" customHeight="1" x14ac:dyDescent="0.5">
      <c r="A39" s="493" t="s">
        <v>22</v>
      </c>
      <c r="B39" s="714"/>
      <c r="C39" s="703"/>
      <c r="D39" s="704"/>
      <c r="E39" s="705"/>
      <c r="F39" s="703"/>
      <c r="G39" s="704"/>
      <c r="H39" s="705"/>
      <c r="I39" s="703"/>
      <c r="J39" s="704"/>
      <c r="K39" s="705"/>
      <c r="L39" s="703"/>
      <c r="M39" s="704"/>
      <c r="N39" s="705"/>
      <c r="O39" s="703"/>
      <c r="P39" s="704"/>
      <c r="Q39" s="367"/>
      <c r="R39" s="366"/>
      <c r="S39" s="377"/>
      <c r="T39" s="14"/>
      <c r="U39" s="14"/>
    </row>
    <row r="40" spans="1:21" ht="18.75" customHeight="1" x14ac:dyDescent="0.5">
      <c r="A40" s="494"/>
      <c r="B40" s="715"/>
      <c r="C40" s="690"/>
      <c r="D40" s="716"/>
      <c r="E40" s="717"/>
      <c r="F40" s="690"/>
      <c r="G40" s="716"/>
      <c r="H40" s="717"/>
      <c r="I40" s="690"/>
      <c r="J40" s="716"/>
      <c r="K40" s="717"/>
      <c r="L40" s="690"/>
      <c r="M40" s="716"/>
      <c r="N40" s="717"/>
      <c r="O40" s="690"/>
      <c r="P40" s="716"/>
      <c r="Q40" s="370"/>
      <c r="R40" s="358"/>
      <c r="S40" s="384"/>
      <c r="T40" s="14"/>
      <c r="U40" s="14"/>
    </row>
    <row r="41" spans="1:21" ht="18.75" customHeight="1" x14ac:dyDescent="0.5">
      <c r="A41" s="504"/>
      <c r="B41" s="713"/>
      <c r="C41" s="699"/>
      <c r="D41" s="700"/>
      <c r="E41" s="701"/>
      <c r="F41" s="699"/>
      <c r="G41" s="700"/>
      <c r="H41" s="701"/>
      <c r="I41" s="699"/>
      <c r="J41" s="700"/>
      <c r="K41" s="701"/>
      <c r="L41" s="699"/>
      <c r="M41" s="700"/>
      <c r="N41" s="701"/>
      <c r="O41" s="699"/>
      <c r="P41" s="700"/>
      <c r="Q41" s="360"/>
      <c r="R41" s="361"/>
      <c r="S41" s="376"/>
      <c r="T41" s="14"/>
      <c r="U41" s="14"/>
    </row>
    <row r="42" spans="1:21" ht="18.75" customHeight="1" x14ac:dyDescent="0.5">
      <c r="A42" s="493" t="s">
        <v>23</v>
      </c>
      <c r="B42" s="714"/>
      <c r="C42" s="703"/>
      <c r="D42" s="704"/>
      <c r="E42" s="705"/>
      <c r="F42" s="703"/>
      <c r="G42" s="704"/>
      <c r="H42" s="705"/>
      <c r="I42" s="703"/>
      <c r="J42" s="704"/>
      <c r="K42" s="705"/>
      <c r="L42" s="703"/>
      <c r="M42" s="704"/>
      <c r="N42" s="705"/>
      <c r="O42" s="703"/>
      <c r="P42" s="704"/>
      <c r="Q42" s="367"/>
      <c r="R42" s="366"/>
      <c r="S42" s="377"/>
      <c r="T42" s="14"/>
      <c r="U42" s="14"/>
    </row>
    <row r="43" spans="1:21" ht="18.75" customHeight="1" x14ac:dyDescent="0.35">
      <c r="A43" s="494"/>
      <c r="B43" s="715"/>
      <c r="C43" s="690"/>
      <c r="D43" s="716"/>
      <c r="E43" s="717"/>
      <c r="F43" s="690"/>
      <c r="G43" s="716"/>
      <c r="H43" s="717"/>
      <c r="I43" s="690"/>
      <c r="J43" s="716"/>
      <c r="K43" s="717"/>
      <c r="L43" s="690"/>
      <c r="M43" s="716"/>
      <c r="N43" s="717"/>
      <c r="O43" s="690"/>
      <c r="P43" s="716"/>
      <c r="Q43" s="370"/>
      <c r="R43" s="358"/>
      <c r="S43" s="384"/>
    </row>
    <row r="44" spans="1:21" ht="18.75" customHeight="1" thickBot="1" x14ac:dyDescent="0.4">
      <c r="A44" s="504"/>
      <c r="B44" s="911"/>
      <c r="C44" s="912"/>
      <c r="D44" s="914"/>
      <c r="E44" s="915"/>
      <c r="F44" s="912"/>
      <c r="G44" s="914"/>
      <c r="H44" s="915"/>
      <c r="I44" s="912"/>
      <c r="J44" s="914"/>
      <c r="K44" s="915"/>
      <c r="L44" s="912"/>
      <c r="M44" s="914"/>
      <c r="N44" s="915"/>
      <c r="O44" s="912"/>
      <c r="P44" s="914"/>
      <c r="Q44" s="380"/>
      <c r="R44" s="378"/>
      <c r="S44" s="379"/>
    </row>
    <row r="45" spans="1:21" ht="18.75" hidden="1" customHeight="1" x14ac:dyDescent="0.35">
      <c r="A45" s="493" t="s">
        <v>24</v>
      </c>
      <c r="B45" s="709"/>
      <c r="C45" s="690"/>
      <c r="D45" s="708"/>
      <c r="E45" s="709"/>
      <c r="F45" s="690"/>
      <c r="G45" s="708"/>
      <c r="H45" s="709"/>
      <c r="I45" s="690"/>
      <c r="J45" s="708"/>
      <c r="K45" s="709"/>
      <c r="L45" s="690"/>
      <c r="M45" s="708"/>
      <c r="N45" s="709"/>
      <c r="O45" s="690"/>
      <c r="P45" s="708"/>
      <c r="Q45" s="369"/>
      <c r="R45" s="358"/>
      <c r="S45" s="364"/>
    </row>
    <row r="46" spans="1:21" ht="18.75" hidden="1" customHeight="1" x14ac:dyDescent="0.35">
      <c r="A46" s="494"/>
      <c r="B46" s="717"/>
      <c r="C46" s="690"/>
      <c r="D46" s="716"/>
      <c r="E46" s="717"/>
      <c r="F46" s="690"/>
      <c r="G46" s="716"/>
      <c r="H46" s="717"/>
      <c r="I46" s="690"/>
      <c r="J46" s="716"/>
      <c r="K46" s="717"/>
      <c r="L46" s="690"/>
      <c r="M46" s="716"/>
      <c r="N46" s="717"/>
      <c r="O46" s="690"/>
      <c r="P46" s="716"/>
      <c r="Q46" s="370"/>
      <c r="R46" s="358"/>
      <c r="S46" s="359"/>
    </row>
    <row r="47" spans="1:21" ht="18.75" hidden="1" customHeight="1" x14ac:dyDescent="0.35">
      <c r="A47" s="504"/>
      <c r="B47" s="701"/>
      <c r="C47" s="699"/>
      <c r="D47" s="700"/>
      <c r="E47" s="701"/>
      <c r="F47" s="699"/>
      <c r="G47" s="700"/>
      <c r="H47" s="701"/>
      <c r="I47" s="699"/>
      <c r="J47" s="700"/>
      <c r="K47" s="701"/>
      <c r="L47" s="699"/>
      <c r="M47" s="700"/>
      <c r="N47" s="701"/>
      <c r="O47" s="699"/>
      <c r="P47" s="700"/>
      <c r="Q47" s="360"/>
      <c r="R47" s="361"/>
      <c r="S47" s="362"/>
    </row>
    <row r="48" spans="1:21" ht="18.75" hidden="1" customHeight="1" x14ac:dyDescent="0.35">
      <c r="A48" s="493" t="s">
        <v>25</v>
      </c>
      <c r="B48" s="705"/>
      <c r="C48" s="703"/>
      <c r="D48" s="704"/>
      <c r="E48" s="705"/>
      <c r="F48" s="703"/>
      <c r="G48" s="704"/>
      <c r="H48" s="705"/>
      <c r="I48" s="703"/>
      <c r="J48" s="704"/>
      <c r="K48" s="705"/>
      <c r="L48" s="703"/>
      <c r="M48" s="704"/>
      <c r="N48" s="705"/>
      <c r="O48" s="703"/>
      <c r="P48" s="704"/>
      <c r="Q48" s="367"/>
      <c r="R48" s="366"/>
      <c r="S48" s="363"/>
    </row>
    <row r="49" spans="1:20" ht="18.75" hidden="1" customHeight="1" x14ac:dyDescent="0.35">
      <c r="A49" s="494"/>
      <c r="B49" s="717"/>
      <c r="C49" s="690"/>
      <c r="D49" s="716"/>
      <c r="E49" s="717"/>
      <c r="F49" s="690"/>
      <c r="G49" s="716"/>
      <c r="H49" s="717"/>
      <c r="I49" s="690"/>
      <c r="J49" s="716"/>
      <c r="K49" s="717"/>
      <c r="L49" s="690"/>
      <c r="M49" s="716"/>
      <c r="N49" s="717"/>
      <c r="O49" s="690"/>
      <c r="P49" s="716"/>
      <c r="Q49" s="370"/>
      <c r="R49" s="358"/>
      <c r="S49" s="359"/>
    </row>
    <row r="50" spans="1:20" ht="18.75" hidden="1" customHeight="1" x14ac:dyDescent="0.35">
      <c r="A50" s="504"/>
      <c r="B50" s="701"/>
      <c r="C50" s="699"/>
      <c r="D50" s="700"/>
      <c r="E50" s="701"/>
      <c r="F50" s="699"/>
      <c r="G50" s="700"/>
      <c r="H50" s="701"/>
      <c r="I50" s="699"/>
      <c r="J50" s="700"/>
      <c r="K50" s="701"/>
      <c r="L50" s="699"/>
      <c r="M50" s="700"/>
      <c r="N50" s="701"/>
      <c r="O50" s="699"/>
      <c r="P50" s="700"/>
      <c r="Q50" s="360"/>
      <c r="R50" s="361"/>
      <c r="S50" s="362"/>
    </row>
    <row r="51" spans="1:20" ht="18.75" hidden="1" customHeight="1" x14ac:dyDescent="0.35">
      <c r="A51" s="493" t="s">
        <v>26</v>
      </c>
      <c r="B51" s="705"/>
      <c r="C51" s="703"/>
      <c r="D51" s="704"/>
      <c r="E51" s="705"/>
      <c r="F51" s="703"/>
      <c r="G51" s="704"/>
      <c r="H51" s="705"/>
      <c r="I51" s="703"/>
      <c r="J51" s="704"/>
      <c r="K51" s="705"/>
      <c r="L51" s="703"/>
      <c r="M51" s="704"/>
      <c r="N51" s="705"/>
      <c r="O51" s="703"/>
      <c r="P51" s="704"/>
      <c r="Q51" s="367"/>
      <c r="R51" s="366"/>
      <c r="S51" s="363"/>
    </row>
    <row r="52" spans="1:20" ht="18.75" hidden="1" customHeight="1" x14ac:dyDescent="0.35">
      <c r="A52" s="494"/>
      <c r="B52" s="717"/>
      <c r="C52" s="690"/>
      <c r="D52" s="716"/>
      <c r="E52" s="717"/>
      <c r="F52" s="690"/>
      <c r="G52" s="716"/>
      <c r="H52" s="717"/>
      <c r="I52" s="690"/>
      <c r="J52" s="716"/>
      <c r="K52" s="717"/>
      <c r="L52" s="690"/>
      <c r="M52" s="716"/>
      <c r="N52" s="717"/>
      <c r="O52" s="690"/>
      <c r="P52" s="716"/>
      <c r="Q52" s="370"/>
      <c r="R52" s="358"/>
      <c r="S52" s="359"/>
    </row>
    <row r="53" spans="1:20" ht="18.75" hidden="1" customHeight="1" x14ac:dyDescent="0.35">
      <c r="A53" s="494"/>
      <c r="B53" s="689"/>
      <c r="C53" s="694"/>
      <c r="D53" s="698"/>
      <c r="E53" s="689"/>
      <c r="F53" s="694"/>
      <c r="G53" s="698"/>
      <c r="H53" s="689"/>
      <c r="I53" s="694"/>
      <c r="J53" s="698"/>
      <c r="K53" s="689"/>
      <c r="L53" s="694"/>
      <c r="M53" s="698"/>
      <c r="N53" s="689"/>
      <c r="O53" s="694"/>
      <c r="P53" s="698"/>
      <c r="Q53" s="357"/>
      <c r="R53" s="365"/>
      <c r="S53" s="368"/>
    </row>
    <row r="54" spans="1:20" ht="5.25" customHeight="1" thickBot="1" x14ac:dyDescent="0.4">
      <c r="A54" s="371"/>
      <c r="B54" s="1062"/>
      <c r="C54" s="861"/>
      <c r="D54" s="685"/>
      <c r="E54" s="1062"/>
      <c r="F54" s="861"/>
      <c r="G54" s="685"/>
      <c r="H54" s="1062"/>
      <c r="I54" s="861"/>
      <c r="J54" s="685"/>
      <c r="K54" s="1062"/>
      <c r="L54" s="861"/>
      <c r="M54" s="685"/>
      <c r="N54" s="1062"/>
      <c r="O54" s="861"/>
      <c r="P54" s="685"/>
      <c r="Q54" s="381"/>
      <c r="R54" s="382"/>
      <c r="S54" s="383"/>
    </row>
    <row r="55" spans="1:20" ht="22.5" customHeight="1" thickBot="1" x14ac:dyDescent="0.4">
      <c r="A55" s="490" t="s">
        <v>27</v>
      </c>
      <c r="B55" s="682"/>
      <c r="C55" s="683"/>
      <c r="D55" s="683"/>
      <c r="E55" s="682"/>
      <c r="F55" s="683"/>
      <c r="G55" s="683"/>
      <c r="H55" s="682"/>
      <c r="I55" s="683"/>
      <c r="J55" s="683"/>
      <c r="K55" s="682"/>
      <c r="L55" s="683"/>
      <c r="M55" s="683"/>
      <c r="N55" s="682"/>
      <c r="O55" s="683"/>
      <c r="P55" s="684"/>
      <c r="Q55" s="685"/>
      <c r="R55" s="685"/>
      <c r="S55" s="688"/>
    </row>
    <row r="56" spans="1:20" ht="22.5" customHeight="1" thickBot="1" x14ac:dyDescent="0.4">
      <c r="A56" s="490"/>
      <c r="B56" s="689"/>
      <c r="C56" s="948"/>
      <c r="D56" s="691"/>
      <c r="E56" s="952"/>
      <c r="F56" s="948"/>
      <c r="G56" s="691"/>
      <c r="H56" s="689"/>
      <c r="I56" s="948"/>
      <c r="J56" s="691"/>
      <c r="K56" s="689"/>
      <c r="L56" s="948"/>
      <c r="M56" s="691"/>
      <c r="N56" s="689"/>
      <c r="O56" s="948"/>
      <c r="P56" s="693"/>
      <c r="Q56" s="694"/>
      <c r="R56" s="690"/>
      <c r="S56" s="696"/>
    </row>
    <row r="57" spans="1:20" ht="22.5" customHeight="1" thickBot="1" x14ac:dyDescent="0.55000000000000004">
      <c r="A57" s="491"/>
      <c r="B57" s="689"/>
      <c r="C57" s="950"/>
      <c r="D57" s="956"/>
      <c r="E57" s="689"/>
      <c r="F57" s="950"/>
      <c r="G57" s="956"/>
      <c r="H57" s="689"/>
      <c r="I57" s="950"/>
      <c r="J57" s="956"/>
      <c r="K57" s="689"/>
      <c r="L57" s="950"/>
      <c r="M57" s="956"/>
      <c r="N57" s="701"/>
      <c r="O57" s="699"/>
      <c r="P57" s="951"/>
      <c r="Q57" s="699"/>
      <c r="R57" s="699"/>
      <c r="S57" s="702"/>
      <c r="T57" s="55"/>
    </row>
    <row r="58" spans="1:20" ht="22.5" customHeight="1" x14ac:dyDescent="0.5">
      <c r="A58" s="489" t="s">
        <v>27</v>
      </c>
      <c r="B58" s="682"/>
      <c r="C58" s="683"/>
      <c r="D58" s="683"/>
      <c r="E58" s="682"/>
      <c r="F58" s="683"/>
      <c r="G58" s="683"/>
      <c r="H58" s="682"/>
      <c r="I58" s="683"/>
      <c r="J58" s="683"/>
      <c r="K58" s="682"/>
      <c r="L58" s="683"/>
      <c r="M58" s="684"/>
      <c r="N58" s="690"/>
      <c r="O58" s="690"/>
      <c r="P58" s="708"/>
      <c r="Q58" s="705"/>
      <c r="R58" s="703"/>
      <c r="S58" s="706"/>
      <c r="T58" s="55"/>
    </row>
    <row r="59" spans="1:20" ht="22.5" customHeight="1" x14ac:dyDescent="0.5">
      <c r="A59" s="490"/>
      <c r="B59" s="689"/>
      <c r="C59" s="948"/>
      <c r="D59" s="691"/>
      <c r="E59" s="689"/>
      <c r="F59" s="948"/>
      <c r="G59" s="691"/>
      <c r="H59" s="689"/>
      <c r="I59" s="948"/>
      <c r="J59" s="691"/>
      <c r="K59" s="689"/>
      <c r="L59" s="948"/>
      <c r="M59" s="693"/>
      <c r="N59" s="694"/>
      <c r="O59" s="690"/>
      <c r="P59" s="695"/>
      <c r="Q59" s="689"/>
      <c r="R59" s="690"/>
      <c r="S59" s="696"/>
      <c r="T59" s="55"/>
    </row>
    <row r="60" spans="1:20" ht="22.5" customHeight="1" thickBot="1" x14ac:dyDescent="0.55000000000000004">
      <c r="A60" s="491"/>
      <c r="B60" s="689"/>
      <c r="C60" s="950"/>
      <c r="D60" s="956"/>
      <c r="E60" s="689"/>
      <c r="F60" s="950"/>
      <c r="G60" s="956"/>
      <c r="H60" s="689"/>
      <c r="I60" s="950"/>
      <c r="J60" s="956"/>
      <c r="K60" s="689"/>
      <c r="L60" s="950"/>
      <c r="M60" s="953"/>
      <c r="N60" s="699"/>
      <c r="O60" s="699"/>
      <c r="P60" s="700"/>
      <c r="Q60" s="701"/>
      <c r="R60" s="699"/>
      <c r="S60" s="702"/>
      <c r="T60" s="55"/>
    </row>
    <row r="61" spans="1:20" ht="22.5" customHeight="1" x14ac:dyDescent="0.5">
      <c r="A61" s="489" t="s">
        <v>27</v>
      </c>
      <c r="B61" s="682"/>
      <c r="C61" s="683"/>
      <c r="D61" s="683"/>
      <c r="E61" s="682"/>
      <c r="F61" s="683"/>
      <c r="G61" s="683"/>
      <c r="H61" s="682"/>
      <c r="I61" s="683"/>
      <c r="J61" s="683"/>
      <c r="K61" s="682"/>
      <c r="L61" s="683"/>
      <c r="M61" s="684"/>
      <c r="N61" s="703"/>
      <c r="O61" s="703"/>
      <c r="P61" s="704"/>
      <c r="Q61" s="705"/>
      <c r="R61" s="703"/>
      <c r="S61" s="706"/>
      <c r="T61" s="55"/>
    </row>
    <row r="62" spans="1:20" ht="22.5" customHeight="1" x14ac:dyDescent="0.5">
      <c r="A62" s="490"/>
      <c r="B62" s="689"/>
      <c r="C62" s="948"/>
      <c r="D62" s="691"/>
      <c r="E62" s="689"/>
      <c r="F62" s="948"/>
      <c r="G62" s="691"/>
      <c r="H62" s="689"/>
      <c r="I62" s="948"/>
      <c r="J62" s="691"/>
      <c r="K62" s="689"/>
      <c r="L62" s="948"/>
      <c r="M62" s="693"/>
      <c r="N62" s="694"/>
      <c r="O62" s="690"/>
      <c r="P62" s="695"/>
      <c r="Q62" s="689"/>
      <c r="R62" s="690"/>
      <c r="S62" s="696"/>
      <c r="T62" s="55"/>
    </row>
    <row r="63" spans="1:20" s="62" customFormat="1" ht="22.5" customHeight="1" thickBot="1" x14ac:dyDescent="0.4">
      <c r="A63" s="491"/>
      <c r="B63" s="689"/>
      <c r="C63" s="950"/>
      <c r="D63" s="956"/>
      <c r="E63" s="689"/>
      <c r="F63" s="950"/>
      <c r="G63" s="956"/>
      <c r="H63" s="689"/>
      <c r="I63" s="950"/>
      <c r="J63" s="956"/>
      <c r="K63" s="689"/>
      <c r="L63" s="950"/>
      <c r="M63" s="953"/>
      <c r="N63" s="699"/>
      <c r="O63" s="699"/>
      <c r="P63" s="700"/>
      <c r="Q63" s="701"/>
      <c r="R63" s="699"/>
      <c r="S63" s="702"/>
      <c r="T63" s="61"/>
    </row>
    <row r="64" spans="1:20" s="62" customFormat="1" ht="22.5" customHeight="1" thickBot="1" x14ac:dyDescent="0.4">
      <c r="A64" s="489" t="s">
        <v>27</v>
      </c>
      <c r="B64" s="682"/>
      <c r="C64" s="683"/>
      <c r="D64" s="683"/>
      <c r="E64" s="682"/>
      <c r="F64" s="683"/>
      <c r="G64" s="683"/>
      <c r="H64" s="682"/>
      <c r="I64" s="683"/>
      <c r="J64" s="683"/>
      <c r="K64" s="682"/>
      <c r="L64" s="683"/>
      <c r="M64" s="684"/>
      <c r="N64" s="703"/>
      <c r="O64" s="703"/>
      <c r="P64" s="704"/>
      <c r="Q64" s="705"/>
      <c r="R64" s="703"/>
      <c r="S64" s="706"/>
      <c r="T64" s="61"/>
    </row>
    <row r="65" spans="1:20" s="62" customFormat="1" ht="22.5" customHeight="1" thickBot="1" x14ac:dyDescent="0.4">
      <c r="A65" s="490"/>
      <c r="B65" s="689"/>
      <c r="C65" s="948"/>
      <c r="D65" s="691"/>
      <c r="E65" s="692"/>
      <c r="F65" s="948"/>
      <c r="G65" s="691"/>
      <c r="H65" s="689"/>
      <c r="I65" s="948"/>
      <c r="J65" s="691"/>
      <c r="K65" s="689"/>
      <c r="L65" s="948"/>
      <c r="M65" s="693"/>
      <c r="N65" s="694"/>
      <c r="O65" s="690"/>
      <c r="P65" s="695"/>
      <c r="Q65" s="689"/>
      <c r="R65" s="690"/>
      <c r="S65" s="696"/>
      <c r="T65" s="61"/>
    </row>
    <row r="66" spans="1:20" s="62" customFormat="1" ht="22.5" customHeight="1" thickBot="1" x14ac:dyDescent="0.4">
      <c r="A66" s="491"/>
      <c r="B66" s="689"/>
      <c r="C66" s="950"/>
      <c r="D66" s="956"/>
      <c r="E66" s="689"/>
      <c r="F66" s="950"/>
      <c r="G66" s="956"/>
      <c r="H66" s="689"/>
      <c r="I66" s="950"/>
      <c r="J66" s="956"/>
      <c r="K66" s="701"/>
      <c r="L66" s="699"/>
      <c r="M66" s="951"/>
      <c r="N66" s="699"/>
      <c r="O66" s="699"/>
      <c r="P66" s="700"/>
      <c r="Q66" s="701"/>
      <c r="R66" s="699"/>
      <c r="S66" s="702"/>
      <c r="T66" s="61"/>
    </row>
    <row r="67" spans="1:20" s="62" customFormat="1" ht="22.5" customHeight="1" thickBot="1" x14ac:dyDescent="0.4">
      <c r="A67" s="489" t="s">
        <v>27</v>
      </c>
      <c r="B67" s="682"/>
      <c r="C67" s="683"/>
      <c r="D67" s="683"/>
      <c r="E67" s="682"/>
      <c r="F67" s="683"/>
      <c r="G67" s="683"/>
      <c r="H67" s="682"/>
      <c r="I67" s="683"/>
      <c r="J67" s="684"/>
      <c r="K67" s="690"/>
      <c r="L67" s="690"/>
      <c r="M67" s="708"/>
      <c r="N67" s="705"/>
      <c r="O67" s="703"/>
      <c r="P67" s="704"/>
      <c r="Q67" s="705"/>
      <c r="R67" s="703"/>
      <c r="S67" s="706"/>
      <c r="T67" s="61"/>
    </row>
    <row r="68" spans="1:20" s="62" customFormat="1" ht="22.5" customHeight="1" thickBot="1" x14ac:dyDescent="0.4">
      <c r="A68" s="490"/>
      <c r="B68" s="689"/>
      <c r="C68" s="948"/>
      <c r="D68" s="691"/>
      <c r="E68" s="952"/>
      <c r="F68" s="948"/>
      <c r="G68" s="691"/>
      <c r="H68" s="689"/>
      <c r="I68" s="948"/>
      <c r="J68" s="693"/>
      <c r="K68" s="694"/>
      <c r="L68" s="690"/>
      <c r="M68" s="695"/>
      <c r="N68" s="689"/>
      <c r="O68" s="690"/>
      <c r="P68" s="695"/>
      <c r="Q68" s="689"/>
      <c r="R68" s="690"/>
      <c r="S68" s="696"/>
      <c r="T68" s="61"/>
    </row>
    <row r="69" spans="1:20" s="62" customFormat="1" ht="22.5" customHeight="1" thickBot="1" x14ac:dyDescent="0.4">
      <c r="A69" s="491"/>
      <c r="B69" s="701"/>
      <c r="C69" s="699"/>
      <c r="D69" s="949"/>
      <c r="E69" s="689"/>
      <c r="F69" s="950"/>
      <c r="G69" s="956"/>
      <c r="H69" s="689"/>
      <c r="I69" s="950"/>
      <c r="J69" s="953"/>
      <c r="K69" s="699"/>
      <c r="L69" s="699"/>
      <c r="M69" s="700"/>
      <c r="N69" s="701"/>
      <c r="O69" s="699"/>
      <c r="P69" s="700"/>
      <c r="Q69" s="701"/>
      <c r="R69" s="699"/>
      <c r="S69" s="702"/>
      <c r="T69" s="61"/>
    </row>
    <row r="70" spans="1:20" s="62" customFormat="1" ht="22.5" customHeight="1" thickBot="1" x14ac:dyDescent="0.4">
      <c r="A70" s="489" t="s">
        <v>27</v>
      </c>
      <c r="B70" s="711"/>
      <c r="C70" s="690"/>
      <c r="D70" s="690"/>
      <c r="E70" s="682"/>
      <c r="F70" s="683"/>
      <c r="G70" s="683"/>
      <c r="H70" s="682"/>
      <c r="I70" s="683"/>
      <c r="J70" s="684"/>
      <c r="K70" s="703"/>
      <c r="L70" s="703"/>
      <c r="M70" s="704"/>
      <c r="N70" s="705"/>
      <c r="O70" s="703"/>
      <c r="P70" s="704"/>
      <c r="Q70" s="705"/>
      <c r="R70" s="703"/>
      <c r="S70" s="706"/>
      <c r="T70" s="61"/>
    </row>
    <row r="71" spans="1:20" s="62" customFormat="1" ht="22.5" customHeight="1" thickBot="1" x14ac:dyDescent="0.4">
      <c r="A71" s="490"/>
      <c r="B71" s="712"/>
      <c r="C71" s="690"/>
      <c r="D71" s="707"/>
      <c r="E71" s="692"/>
      <c r="F71" s="948"/>
      <c r="G71" s="691"/>
      <c r="H71" s="689"/>
      <c r="I71" s="948"/>
      <c r="J71" s="693"/>
      <c r="K71" s="694"/>
      <c r="L71" s="690"/>
      <c r="M71" s="695"/>
      <c r="N71" s="689"/>
      <c r="O71" s="690"/>
      <c r="P71" s="695"/>
      <c r="Q71" s="689"/>
      <c r="R71" s="690"/>
      <c r="S71" s="696"/>
      <c r="T71" s="61"/>
    </row>
    <row r="72" spans="1:20" s="62" customFormat="1" ht="22.5" customHeight="1" thickBot="1" x14ac:dyDescent="0.4">
      <c r="A72" s="490"/>
      <c r="B72" s="911"/>
      <c r="C72" s="912"/>
      <c r="D72" s="913"/>
      <c r="E72" s="701"/>
      <c r="F72" s="699"/>
      <c r="G72" s="949"/>
      <c r="H72" s="701"/>
      <c r="I72" s="699"/>
      <c r="J72" s="951"/>
      <c r="K72" s="912"/>
      <c r="L72" s="912"/>
      <c r="M72" s="914"/>
      <c r="N72" s="915"/>
      <c r="O72" s="912"/>
      <c r="P72" s="914"/>
      <c r="Q72" s="915"/>
      <c r="R72" s="912"/>
      <c r="S72" s="916"/>
      <c r="T72" s="61"/>
    </row>
    <row r="73" spans="1:20" s="62" customFormat="1" ht="32.25" customHeight="1" thickBot="1" x14ac:dyDescent="0.4">
      <c r="A73" s="300" t="s">
        <v>28</v>
      </c>
      <c r="B73" s="307" t="s">
        <v>29</v>
      </c>
      <c r="C73" s="308" t="s">
        <v>30</v>
      </c>
      <c r="D73" s="309"/>
      <c r="E73" s="307" t="s">
        <v>29</v>
      </c>
      <c r="F73" s="308" t="s">
        <v>30</v>
      </c>
      <c r="G73" s="309"/>
      <c r="H73" s="307" t="s">
        <v>29</v>
      </c>
      <c r="I73" s="308" t="s">
        <v>30</v>
      </c>
      <c r="J73" s="309"/>
      <c r="K73" s="307" t="s">
        <v>29</v>
      </c>
      <c r="L73" s="308" t="s">
        <v>30</v>
      </c>
      <c r="M73" s="309"/>
      <c r="N73" s="307" t="s">
        <v>29</v>
      </c>
      <c r="O73" s="308" t="s">
        <v>30</v>
      </c>
      <c r="P73" s="309"/>
      <c r="Q73" s="307" t="s">
        <v>29</v>
      </c>
      <c r="R73" s="308" t="s">
        <v>30</v>
      </c>
      <c r="S73" s="309"/>
      <c r="T73" s="61"/>
    </row>
    <row r="74" spans="1:20" s="62" customFormat="1" ht="25.5" customHeight="1" x14ac:dyDescent="0.35">
      <c r="A74" s="492" t="s">
        <v>31</v>
      </c>
      <c r="B74" s="917"/>
      <c r="C74" s="922"/>
      <c r="D74" s="923"/>
      <c r="E74" s="924"/>
      <c r="F74" s="925"/>
      <c r="G74" s="926"/>
      <c r="H74" s="924"/>
      <c r="I74" s="925"/>
      <c r="J74" s="926"/>
      <c r="K74" s="924"/>
      <c r="L74" s="925"/>
      <c r="M74" s="926"/>
      <c r="N74" s="924"/>
      <c r="O74" s="925"/>
      <c r="P74" s="926"/>
      <c r="Q74" s="924"/>
      <c r="R74" s="925"/>
      <c r="S74" s="927"/>
      <c r="T74" s="61"/>
    </row>
    <row r="75" spans="1:20" ht="25.5" customHeight="1" thickBot="1" x14ac:dyDescent="0.4">
      <c r="A75" s="491"/>
      <c r="B75" s="928"/>
      <c r="C75" s="929"/>
      <c r="D75" s="930"/>
      <c r="E75" s="931"/>
      <c r="F75" s="932"/>
      <c r="G75" s="933"/>
      <c r="H75" s="931"/>
      <c r="I75" s="932"/>
      <c r="J75" s="933"/>
      <c r="K75" s="931"/>
      <c r="L75" s="932"/>
      <c r="M75" s="933"/>
      <c r="N75" s="931"/>
      <c r="O75" s="932"/>
      <c r="P75" s="933"/>
      <c r="Q75" s="931"/>
      <c r="R75" s="932"/>
      <c r="S75" s="934"/>
    </row>
    <row r="76" spans="1:20" ht="25.5" customHeight="1" x14ac:dyDescent="0.35">
      <c r="A76" s="492" t="s">
        <v>31</v>
      </c>
      <c r="B76" s="935"/>
      <c r="C76" s="936"/>
      <c r="D76" s="937"/>
      <c r="E76" s="938"/>
      <c r="F76" s="936"/>
      <c r="G76" s="937"/>
      <c r="H76" s="938"/>
      <c r="I76" s="936"/>
      <c r="J76" s="937"/>
      <c r="K76" s="938"/>
      <c r="L76" s="936"/>
      <c r="M76" s="937"/>
      <c r="N76" s="938"/>
      <c r="O76" s="936"/>
      <c r="P76" s="937"/>
      <c r="Q76" s="938"/>
      <c r="R76" s="936"/>
      <c r="S76" s="939"/>
    </row>
    <row r="77" spans="1:20" ht="25.5" customHeight="1" thickBot="1" x14ac:dyDescent="0.4">
      <c r="A77" s="491"/>
      <c r="B77" s="940"/>
      <c r="C77" s="932"/>
      <c r="D77" s="933"/>
      <c r="E77" s="931"/>
      <c r="F77" s="932"/>
      <c r="G77" s="933"/>
      <c r="H77" s="931"/>
      <c r="I77" s="932"/>
      <c r="J77" s="933"/>
      <c r="K77" s="931"/>
      <c r="L77" s="932"/>
      <c r="M77" s="933"/>
      <c r="N77" s="931"/>
      <c r="O77" s="932"/>
      <c r="P77" s="933"/>
      <c r="Q77" s="931"/>
      <c r="R77" s="932"/>
      <c r="S77" s="934"/>
    </row>
    <row r="78" spans="1:20" ht="25.5" customHeight="1" x14ac:dyDescent="0.35">
      <c r="A78" s="492" t="s">
        <v>31</v>
      </c>
      <c r="B78" s="935"/>
      <c r="C78" s="918"/>
      <c r="D78" s="919"/>
      <c r="E78" s="920"/>
      <c r="F78" s="918"/>
      <c r="G78" s="919"/>
      <c r="H78" s="920"/>
      <c r="I78" s="918"/>
      <c r="J78" s="919"/>
      <c r="K78" s="920"/>
      <c r="L78" s="918"/>
      <c r="M78" s="919"/>
      <c r="N78" s="920"/>
      <c r="O78" s="918"/>
      <c r="P78" s="919"/>
      <c r="Q78" s="920"/>
      <c r="R78" s="918"/>
      <c r="S78" s="921"/>
    </row>
    <row r="79" spans="1:20" ht="25.5" customHeight="1" thickBot="1" x14ac:dyDescent="0.4">
      <c r="A79" s="490"/>
      <c r="B79" s="941"/>
      <c r="C79" s="942"/>
      <c r="D79" s="943"/>
      <c r="E79" s="944"/>
      <c r="F79" s="942"/>
      <c r="G79" s="943"/>
      <c r="H79" s="944"/>
      <c r="I79" s="942"/>
      <c r="J79" s="943"/>
      <c r="K79" s="944"/>
      <c r="L79" s="942"/>
      <c r="M79" s="943"/>
      <c r="N79" s="944"/>
      <c r="O79" s="942"/>
      <c r="P79" s="943"/>
      <c r="Q79" s="944"/>
      <c r="R79" s="942"/>
      <c r="S79" s="945"/>
    </row>
    <row r="80" spans="1:20" ht="16" thickBot="1" x14ac:dyDescent="0.4">
      <c r="A80" s="396"/>
      <c r="B80" s="946"/>
      <c r="C80" s="946"/>
      <c r="D80" s="946"/>
      <c r="E80" s="946"/>
      <c r="F80" s="946"/>
      <c r="G80" s="946"/>
      <c r="H80" s="946"/>
      <c r="I80" s="946"/>
      <c r="J80" s="946"/>
      <c r="K80" s="946"/>
      <c r="L80" s="946"/>
      <c r="M80" s="946"/>
      <c r="N80" s="946"/>
      <c r="O80" s="946"/>
      <c r="P80" s="946"/>
      <c r="Q80" s="946"/>
      <c r="R80" s="946"/>
      <c r="S80" s="947"/>
    </row>
    <row r="81" spans="2:19" x14ac:dyDescent="0.35">
      <c r="B81" s="942"/>
      <c r="C81" s="942"/>
      <c r="D81" s="942"/>
      <c r="E81" s="942"/>
      <c r="F81" s="942"/>
      <c r="G81" s="942"/>
      <c r="H81" s="942"/>
      <c r="I81" s="942"/>
      <c r="J81" s="942"/>
      <c r="K81" s="942"/>
      <c r="L81" s="942"/>
      <c r="M81" s="942"/>
      <c r="N81" s="942"/>
      <c r="O81" s="942"/>
      <c r="P81" s="942"/>
      <c r="Q81" s="942"/>
      <c r="R81" s="942"/>
      <c r="S81" s="942"/>
    </row>
  </sheetData>
  <customSheetViews>
    <customSheetView guid="{AF731A35-9978-4A72-829F-F3E8771EE2D4}" scale="55" showPageBreaks="1" printArea="1" view="pageLayout">
      <selection activeCell="K9" sqref="K9"/>
      <pageMargins left="0" right="0" top="0" bottom="0" header="0" footer="0"/>
      <printOptions horizontalCentered="1" verticalCentered="1"/>
      <pageSetup paperSize="9" scale="33" fitToWidth="0" fitToHeight="0" orientation="landscape" r:id="rId1"/>
      <headerFooter alignWithMargins="0">
        <oddFooter xml:space="preserve">&amp;Lerstellt/freigegeben: M. Mayrhofer&amp;CTourenplan vom :&amp;D&amp;RAusgabedatum: 27.06.06
</oddFooter>
      </headerFooter>
    </customSheetView>
  </customSheetViews>
  <mergeCells count="75">
    <mergeCell ref="Q1:S1"/>
    <mergeCell ref="A74:A75"/>
    <mergeCell ref="A76:A77"/>
    <mergeCell ref="B1:D1"/>
    <mergeCell ref="E1:M1"/>
    <mergeCell ref="N1:P1"/>
    <mergeCell ref="A15:A17"/>
    <mergeCell ref="A33:A35"/>
    <mergeCell ref="A36:A38"/>
    <mergeCell ref="A39:A41"/>
    <mergeCell ref="A67:A69"/>
    <mergeCell ref="A70:A72"/>
    <mergeCell ref="A55:A57"/>
    <mergeCell ref="A58:A60"/>
    <mergeCell ref="A61:A63"/>
    <mergeCell ref="H3:J3"/>
    <mergeCell ref="A64:A66"/>
    <mergeCell ref="A78:A79"/>
    <mergeCell ref="A51:A53"/>
    <mergeCell ref="A3:A5"/>
    <mergeCell ref="A18:A20"/>
    <mergeCell ref="A21:A23"/>
    <mergeCell ref="A24:A26"/>
    <mergeCell ref="A27:A29"/>
    <mergeCell ref="A12:A14"/>
    <mergeCell ref="A6:A8"/>
    <mergeCell ref="A45:A47"/>
    <mergeCell ref="A48:A50"/>
    <mergeCell ref="A30:A32"/>
    <mergeCell ref="A9:A11"/>
    <mergeCell ref="A42:A44"/>
    <mergeCell ref="H9:J9"/>
    <mergeCell ref="K55:M55"/>
    <mergeCell ref="K3:M3"/>
    <mergeCell ref="B58:D58"/>
    <mergeCell ref="B6:D6"/>
    <mergeCell ref="E58:G58"/>
    <mergeCell ref="E6:G6"/>
    <mergeCell ref="H58:J58"/>
    <mergeCell ref="H6:J6"/>
    <mergeCell ref="K58:M58"/>
    <mergeCell ref="K6:M6"/>
    <mergeCell ref="B55:D55"/>
    <mergeCell ref="B3:D3"/>
    <mergeCell ref="E55:G55"/>
    <mergeCell ref="E3:G3"/>
    <mergeCell ref="H55:J55"/>
    <mergeCell ref="N55:P55"/>
    <mergeCell ref="N9:P9"/>
    <mergeCell ref="B64:D64"/>
    <mergeCell ref="B12:D12"/>
    <mergeCell ref="E64:G64"/>
    <mergeCell ref="E12:G12"/>
    <mergeCell ref="H64:J64"/>
    <mergeCell ref="H12:J12"/>
    <mergeCell ref="K61:M61"/>
    <mergeCell ref="K12:M12"/>
    <mergeCell ref="K64:M64"/>
    <mergeCell ref="K15:M15"/>
    <mergeCell ref="B61:D61"/>
    <mergeCell ref="B9:D9"/>
    <mergeCell ref="E61:G61"/>
    <mergeCell ref="E9:G9"/>
    <mergeCell ref="B15:D15"/>
    <mergeCell ref="E67:G67"/>
    <mergeCell ref="E15:G15"/>
    <mergeCell ref="H67:J67"/>
    <mergeCell ref="H15:J15"/>
    <mergeCell ref="B18:D18"/>
    <mergeCell ref="H61:J61"/>
    <mergeCell ref="E70:G70"/>
    <mergeCell ref="E18:G18"/>
    <mergeCell ref="H70:J70"/>
    <mergeCell ref="H18:J18"/>
    <mergeCell ref="B67:D67"/>
  </mergeCells>
  <phoneticPr fontId="57" type="noConversion"/>
  <printOptions horizontalCentered="1" verticalCentered="1"/>
  <pageMargins left="0" right="0" top="0.31496062992125984" bottom="0" header="0.19685039370078741" footer="0.19685039370078741"/>
  <pageSetup paperSize="9" scale="33" fitToWidth="0" fitToHeight="0" orientation="landscape" r:id="rId2"/>
  <headerFooter alignWithMargins="0">
    <oddFooter xml:space="preserve">&amp;Lerstellt/freigegeben: M. Mayrhofer&amp;CTourenplan vom :&amp;D&amp;RAusgabedatum: 27.06.06
</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EB3C7-327C-4FBA-BA32-A49ED5EB3EA9}">
  <sheetPr codeName="Tabelle2"/>
  <dimension ref="A1:U50"/>
  <sheetViews>
    <sheetView view="pageLayout" zoomScale="55" zoomScaleNormal="55" zoomScaleSheetLayoutView="25" zoomScalePageLayoutView="55" workbookViewId="0">
      <selection activeCell="B2" sqref="B2:D2"/>
    </sheetView>
  </sheetViews>
  <sheetFormatPr baseColWidth="10" defaultColWidth="14.81640625" defaultRowHeight="15.5" x14ac:dyDescent="0.35"/>
  <cols>
    <col min="1" max="1" width="45.1796875" style="6" bestFit="1" customWidth="1"/>
    <col min="2" max="2" width="31.81640625" style="6" customWidth="1"/>
    <col min="3" max="4" width="16.453125" style="6" customWidth="1"/>
    <col min="5" max="5" width="31.81640625" style="6" customWidth="1"/>
    <col min="6" max="7" width="16.453125" style="6" customWidth="1"/>
    <col min="8" max="8" width="30.54296875" style="6" customWidth="1"/>
    <col min="9" max="10" width="16.453125" style="6" customWidth="1"/>
    <col min="11" max="11" width="31.81640625" style="6" customWidth="1"/>
    <col min="12" max="13" width="16.453125" style="6" customWidth="1"/>
    <col min="14" max="14" width="31.81640625" style="6" customWidth="1"/>
    <col min="15" max="16" width="16.453125" style="6" customWidth="1"/>
    <col min="17" max="17" width="30.54296875" style="6" customWidth="1"/>
    <col min="18" max="19" width="16.453125" style="6" customWidth="1"/>
    <col min="20" max="20" width="11.26953125" style="6" customWidth="1"/>
    <col min="21" max="16384" width="14.81640625" style="6"/>
  </cols>
  <sheetData>
    <row r="1" spans="1:21" ht="56.25" customHeight="1" thickBot="1" x14ac:dyDescent="0.4">
      <c r="A1" s="209" t="s">
        <v>32</v>
      </c>
      <c r="B1" s="542" t="s">
        <v>14</v>
      </c>
      <c r="C1" s="543"/>
      <c r="D1" s="544"/>
      <c r="E1" s="545" t="s">
        <v>33</v>
      </c>
      <c r="F1" s="546"/>
      <c r="G1" s="546"/>
      <c r="H1" s="546"/>
      <c r="I1" s="546"/>
      <c r="J1" s="546"/>
      <c r="K1" s="546"/>
      <c r="L1" s="546"/>
      <c r="M1" s="547"/>
      <c r="N1" s="548">
        <f>_xlfn.ISOWEEKNUM(B2)</f>
        <v>15</v>
      </c>
      <c r="O1" s="549"/>
      <c r="P1" s="550"/>
      <c r="Q1" s="542" t="s">
        <v>34</v>
      </c>
      <c r="R1" s="543"/>
      <c r="S1" s="544"/>
    </row>
    <row r="2" spans="1:21" ht="30.5" thickBot="1" x14ac:dyDescent="0.65">
      <c r="A2" s="7"/>
      <c r="B2" s="162">
        <v>45754</v>
      </c>
      <c r="C2" s="163"/>
      <c r="D2" s="164"/>
      <c r="E2" s="162">
        <f>B2+1</f>
        <v>45755</v>
      </c>
      <c r="F2" s="8"/>
      <c r="G2" s="9"/>
      <c r="H2" s="162">
        <f t="shared" ref="H2" si="0">E2+1</f>
        <v>45756</v>
      </c>
      <c r="I2" s="8"/>
      <c r="J2" s="9"/>
      <c r="K2" s="162">
        <f t="shared" ref="K2" si="1">H2+1</f>
        <v>45757</v>
      </c>
      <c r="L2" s="8"/>
      <c r="M2" s="9"/>
      <c r="N2" s="162">
        <f t="shared" ref="N2" si="2">K2+1</f>
        <v>45758</v>
      </c>
      <c r="O2" s="8"/>
      <c r="P2" s="9"/>
      <c r="Q2" s="162">
        <f t="shared" ref="Q2" si="3">N2+1</f>
        <v>45759</v>
      </c>
      <c r="R2" s="8"/>
      <c r="S2" s="9"/>
    </row>
    <row r="3" spans="1:21" ht="23.25" customHeight="1" x14ac:dyDescent="0.5">
      <c r="A3" s="551" t="s">
        <v>35</v>
      </c>
      <c r="B3" s="719"/>
      <c r="C3" s="720"/>
      <c r="D3" s="721"/>
      <c r="E3" s="722"/>
      <c r="F3" s="723"/>
      <c r="G3" s="724"/>
      <c r="H3" s="722"/>
      <c r="I3" s="720"/>
      <c r="J3" s="721"/>
      <c r="K3" s="725"/>
      <c r="L3" s="726"/>
      <c r="M3" s="727"/>
      <c r="N3" s="722"/>
      <c r="O3" s="720"/>
      <c r="P3" s="721"/>
      <c r="Q3" s="728"/>
      <c r="R3" s="729"/>
      <c r="S3" s="730"/>
      <c r="T3" s="13"/>
      <c r="U3" s="14"/>
    </row>
    <row r="4" spans="1:21" ht="23.25" customHeight="1" x14ac:dyDescent="0.5">
      <c r="A4" s="541"/>
      <c r="B4" s="731"/>
      <c r="C4" s="732"/>
      <c r="D4" s="733"/>
      <c r="E4" s="734"/>
      <c r="F4" s="732"/>
      <c r="G4" s="735"/>
      <c r="H4" s="736"/>
      <c r="I4" s="732"/>
      <c r="J4" s="737"/>
      <c r="K4" s="738"/>
      <c r="L4" s="739"/>
      <c r="M4" s="740"/>
      <c r="N4" s="736"/>
      <c r="O4" s="732"/>
      <c r="P4" s="733"/>
      <c r="Q4" s="734"/>
      <c r="R4" s="732"/>
      <c r="S4" s="741"/>
      <c r="T4" s="14"/>
      <c r="U4" s="14"/>
    </row>
    <row r="5" spans="1:21" ht="23.25" customHeight="1" x14ac:dyDescent="0.5">
      <c r="A5" s="541"/>
      <c r="B5" s="742"/>
      <c r="C5" s="743"/>
      <c r="D5" s="744"/>
      <c r="E5" s="745"/>
      <c r="F5" s="746"/>
      <c r="G5" s="747"/>
      <c r="H5" s="745"/>
      <c r="I5" s="743"/>
      <c r="J5" s="748"/>
      <c r="K5" s="749"/>
      <c r="L5" s="750"/>
      <c r="M5" s="751"/>
      <c r="N5" s="743"/>
      <c r="O5" s="743"/>
      <c r="P5" s="744"/>
      <c r="Q5" s="745"/>
      <c r="R5" s="746"/>
      <c r="S5" s="752"/>
      <c r="T5" s="14"/>
      <c r="U5" s="14"/>
    </row>
    <row r="6" spans="1:21" ht="23.25" customHeight="1" x14ac:dyDescent="0.5">
      <c r="A6" s="540" t="s">
        <v>36</v>
      </c>
      <c r="B6" s="753"/>
      <c r="C6" s="754"/>
      <c r="D6" s="754"/>
      <c r="E6" s="755"/>
      <c r="F6" s="756"/>
      <c r="G6" s="757"/>
      <c r="H6" s="758"/>
      <c r="I6" s="754"/>
      <c r="J6" s="754"/>
      <c r="K6" s="755"/>
      <c r="L6" s="756"/>
      <c r="M6" s="757"/>
      <c r="N6" s="758"/>
      <c r="O6" s="754"/>
      <c r="P6" s="754"/>
      <c r="Q6" s="755"/>
      <c r="R6" s="756"/>
      <c r="S6" s="759"/>
      <c r="T6" s="14"/>
      <c r="U6" s="14"/>
    </row>
    <row r="7" spans="1:21" ht="23.25" customHeight="1" x14ac:dyDescent="0.35">
      <c r="A7" s="541"/>
      <c r="B7" s="760"/>
      <c r="C7" s="732"/>
      <c r="D7" s="732"/>
      <c r="E7" s="736"/>
      <c r="F7" s="732"/>
      <c r="G7" s="737"/>
      <c r="H7" s="734"/>
      <c r="I7" s="732"/>
      <c r="J7" s="732"/>
      <c r="K7" s="736"/>
      <c r="L7" s="732"/>
      <c r="M7" s="733"/>
      <c r="N7" s="734"/>
      <c r="O7" s="732"/>
      <c r="P7" s="732"/>
      <c r="Q7" s="736"/>
      <c r="R7" s="732"/>
      <c r="S7" s="761"/>
    </row>
    <row r="8" spans="1:21" ht="23.25" customHeight="1" x14ac:dyDescent="0.35">
      <c r="A8" s="541"/>
      <c r="B8" s="742"/>
      <c r="C8" s="746"/>
      <c r="D8" s="746"/>
      <c r="E8" s="745"/>
      <c r="F8" s="743"/>
      <c r="G8" s="744"/>
      <c r="H8" s="745"/>
      <c r="I8" s="746"/>
      <c r="J8" s="746"/>
      <c r="K8" s="745"/>
      <c r="L8" s="743"/>
      <c r="M8" s="744"/>
      <c r="N8" s="743"/>
      <c r="O8" s="746"/>
      <c r="P8" s="746"/>
      <c r="Q8" s="745"/>
      <c r="R8" s="743"/>
      <c r="S8" s="762"/>
    </row>
    <row r="9" spans="1:21" ht="23.25" customHeight="1" x14ac:dyDescent="0.35">
      <c r="A9" s="540" t="s">
        <v>37</v>
      </c>
      <c r="B9" s="763"/>
      <c r="C9" s="756"/>
      <c r="D9" s="757"/>
      <c r="E9" s="764"/>
      <c r="F9" s="765"/>
      <c r="G9" s="766"/>
      <c r="H9" s="767"/>
      <c r="I9" s="768"/>
      <c r="J9" s="769"/>
      <c r="K9" s="767"/>
      <c r="L9" s="768"/>
      <c r="M9" s="769"/>
      <c r="N9" s="755"/>
      <c r="O9" s="756"/>
      <c r="P9" s="757"/>
      <c r="Q9" s="758"/>
      <c r="R9" s="754"/>
      <c r="S9" s="770"/>
    </row>
    <row r="10" spans="1:21" ht="23.25" customHeight="1" x14ac:dyDescent="0.35">
      <c r="A10" s="541"/>
      <c r="B10" s="731"/>
      <c r="C10" s="771"/>
      <c r="D10" s="737"/>
      <c r="E10" s="734"/>
      <c r="F10" s="732"/>
      <c r="G10" s="735"/>
      <c r="H10" s="772"/>
      <c r="I10" s="773"/>
      <c r="J10" s="733"/>
      <c r="K10" s="772"/>
      <c r="L10" s="773"/>
      <c r="M10" s="733"/>
      <c r="N10" s="736"/>
      <c r="O10" s="732"/>
      <c r="P10" s="733"/>
      <c r="Q10" s="734"/>
      <c r="R10" s="732"/>
      <c r="S10" s="741"/>
    </row>
    <row r="11" spans="1:21" ht="23.25" customHeight="1" x14ac:dyDescent="0.35">
      <c r="A11" s="541"/>
      <c r="B11" s="742"/>
      <c r="C11" s="743"/>
      <c r="D11" s="774"/>
      <c r="E11" s="745"/>
      <c r="F11" s="746"/>
      <c r="G11" s="747"/>
      <c r="H11" s="775"/>
      <c r="I11" s="776"/>
      <c r="J11" s="748"/>
      <c r="K11" s="775"/>
      <c r="L11" s="776"/>
      <c r="M11" s="748"/>
      <c r="N11" s="745"/>
      <c r="O11" s="743"/>
      <c r="P11" s="744"/>
      <c r="Q11" s="745"/>
      <c r="R11" s="746"/>
      <c r="S11" s="752"/>
    </row>
    <row r="12" spans="1:21" ht="23.25" customHeight="1" x14ac:dyDescent="0.35">
      <c r="A12" s="535" t="s">
        <v>38</v>
      </c>
      <c r="B12" s="763"/>
      <c r="C12" s="756"/>
      <c r="D12" s="757"/>
      <c r="E12" s="764"/>
      <c r="F12" s="765"/>
      <c r="G12" s="765"/>
      <c r="H12" s="755"/>
      <c r="I12" s="756"/>
      <c r="J12" s="757"/>
      <c r="K12" s="754"/>
      <c r="L12" s="754"/>
      <c r="M12" s="754"/>
      <c r="N12" s="767"/>
      <c r="O12" s="768"/>
      <c r="P12" s="769"/>
      <c r="Q12" s="777"/>
      <c r="R12" s="778"/>
      <c r="S12" s="779"/>
    </row>
    <row r="13" spans="1:21" ht="23.25" customHeight="1" x14ac:dyDescent="0.35">
      <c r="A13" s="536"/>
      <c r="B13" s="731"/>
      <c r="C13" s="732"/>
      <c r="D13" s="733"/>
      <c r="E13" s="734"/>
      <c r="F13" s="732"/>
      <c r="G13" s="732"/>
      <c r="H13" s="736"/>
      <c r="I13" s="732"/>
      <c r="J13" s="737"/>
      <c r="K13" s="732"/>
      <c r="L13" s="732"/>
      <c r="M13" s="732"/>
      <c r="N13" s="772"/>
      <c r="O13" s="773"/>
      <c r="P13" s="733"/>
      <c r="Q13" s="734"/>
      <c r="R13" s="732"/>
      <c r="S13" s="741"/>
    </row>
    <row r="14" spans="1:21" ht="23.25" customHeight="1" x14ac:dyDescent="0.35">
      <c r="A14" s="536"/>
      <c r="B14" s="742"/>
      <c r="C14" s="743"/>
      <c r="D14" s="780"/>
      <c r="E14" s="745"/>
      <c r="F14" s="746"/>
      <c r="G14" s="746"/>
      <c r="H14" s="745"/>
      <c r="I14" s="743"/>
      <c r="J14" s="744"/>
      <c r="K14" s="743"/>
      <c r="L14" s="746"/>
      <c r="M14" s="746"/>
      <c r="N14" s="775"/>
      <c r="O14" s="776"/>
      <c r="P14" s="748"/>
      <c r="Q14" s="745"/>
      <c r="R14" s="746"/>
      <c r="S14" s="752"/>
    </row>
    <row r="15" spans="1:21" ht="23.25" customHeight="1" x14ac:dyDescent="0.35">
      <c r="A15" s="528" t="s">
        <v>39</v>
      </c>
      <c r="B15" s="760"/>
      <c r="C15" s="732"/>
      <c r="D15" s="732"/>
      <c r="E15" s="755"/>
      <c r="F15" s="756"/>
      <c r="G15" s="757"/>
      <c r="H15" s="777"/>
      <c r="I15" s="778"/>
      <c r="J15" s="781"/>
      <c r="K15" s="756"/>
      <c r="L15" s="756"/>
      <c r="M15" s="756"/>
      <c r="N15" s="758"/>
      <c r="O15" s="754"/>
      <c r="P15" s="782"/>
      <c r="Q15" s="755"/>
      <c r="R15" s="756"/>
      <c r="S15" s="759"/>
    </row>
    <row r="16" spans="1:21" ht="23.25" customHeight="1" x14ac:dyDescent="0.35">
      <c r="A16" s="529"/>
      <c r="B16" s="760"/>
      <c r="C16" s="732"/>
      <c r="D16" s="732"/>
      <c r="E16" s="736"/>
      <c r="F16" s="732"/>
      <c r="G16" s="737"/>
      <c r="H16" s="734"/>
      <c r="I16" s="732"/>
      <c r="J16" s="735"/>
      <c r="K16" s="783"/>
      <c r="L16" s="732"/>
      <c r="M16" s="784"/>
      <c r="N16" s="734"/>
      <c r="O16" s="732"/>
      <c r="P16" s="735"/>
      <c r="Q16" s="736"/>
      <c r="R16" s="732"/>
      <c r="S16" s="761"/>
    </row>
    <row r="17" spans="1:19" ht="23.25" customHeight="1" x14ac:dyDescent="0.35">
      <c r="A17" s="529"/>
      <c r="B17" s="742"/>
      <c r="C17" s="746"/>
      <c r="D17" s="746"/>
      <c r="E17" s="745"/>
      <c r="F17" s="743"/>
      <c r="G17" s="744"/>
      <c r="H17" s="745"/>
      <c r="I17" s="746"/>
      <c r="J17" s="785"/>
      <c r="K17" s="743"/>
      <c r="L17" s="743"/>
      <c r="M17" s="774"/>
      <c r="N17" s="745"/>
      <c r="O17" s="786"/>
      <c r="P17" s="787"/>
      <c r="Q17" s="745"/>
      <c r="R17" s="743"/>
      <c r="S17" s="762"/>
    </row>
    <row r="18" spans="1:19" ht="23.25" customHeight="1" x14ac:dyDescent="0.35">
      <c r="A18" s="528" t="s">
        <v>40</v>
      </c>
      <c r="B18" s="788"/>
      <c r="C18" s="789"/>
      <c r="D18" s="789"/>
      <c r="E18" s="790"/>
      <c r="F18" s="791"/>
      <c r="G18" s="792"/>
      <c r="H18" s="790"/>
      <c r="I18" s="789"/>
      <c r="J18" s="793"/>
      <c r="K18" s="791"/>
      <c r="L18" s="791"/>
      <c r="M18" s="794"/>
      <c r="N18" s="790"/>
      <c r="O18" s="795"/>
      <c r="P18" s="796"/>
      <c r="Q18" s="790"/>
      <c r="R18" s="791"/>
      <c r="S18" s="797"/>
    </row>
    <row r="19" spans="1:19" ht="23.25" customHeight="1" x14ac:dyDescent="0.35">
      <c r="A19" s="529"/>
      <c r="B19" s="798"/>
      <c r="C19" s="799"/>
      <c r="D19" s="799"/>
      <c r="E19" s="800"/>
      <c r="F19" s="801"/>
      <c r="G19" s="802"/>
      <c r="H19" s="800"/>
      <c r="I19" s="799"/>
      <c r="J19" s="803"/>
      <c r="K19" s="801"/>
      <c r="L19" s="801"/>
      <c r="M19" s="804"/>
      <c r="N19" s="800"/>
      <c r="O19" s="805"/>
      <c r="P19" s="806"/>
      <c r="Q19" s="800"/>
      <c r="R19" s="801"/>
      <c r="S19" s="807"/>
    </row>
    <row r="20" spans="1:19" ht="23.25" customHeight="1" x14ac:dyDescent="0.35">
      <c r="A20" s="529"/>
      <c r="B20" s="742"/>
      <c r="C20" s="746"/>
      <c r="D20" s="746"/>
      <c r="E20" s="745"/>
      <c r="F20" s="743"/>
      <c r="G20" s="744"/>
      <c r="H20" s="745"/>
      <c r="I20" s="746"/>
      <c r="J20" s="785"/>
      <c r="K20" s="743"/>
      <c r="L20" s="743"/>
      <c r="M20" s="774"/>
      <c r="N20" s="745"/>
      <c r="O20" s="786"/>
      <c r="P20" s="787"/>
      <c r="Q20" s="745"/>
      <c r="R20" s="743"/>
      <c r="S20" s="762"/>
    </row>
    <row r="21" spans="1:19" ht="23.25" customHeight="1" x14ac:dyDescent="0.35">
      <c r="A21" s="528" t="s">
        <v>41</v>
      </c>
      <c r="B21" s="788"/>
      <c r="C21" s="789"/>
      <c r="D21" s="789"/>
      <c r="E21" s="790"/>
      <c r="F21" s="791"/>
      <c r="G21" s="792"/>
      <c r="H21" s="790"/>
      <c r="I21" s="789"/>
      <c r="J21" s="793"/>
      <c r="K21" s="791"/>
      <c r="L21" s="791"/>
      <c r="M21" s="794"/>
      <c r="N21" s="790"/>
      <c r="O21" s="795"/>
      <c r="P21" s="796"/>
      <c r="Q21" s="790"/>
      <c r="R21" s="791"/>
      <c r="S21" s="797"/>
    </row>
    <row r="22" spans="1:19" ht="23.25" customHeight="1" x14ac:dyDescent="0.35">
      <c r="A22" s="529"/>
      <c r="B22" s="798"/>
      <c r="C22" s="799"/>
      <c r="D22" s="799"/>
      <c r="E22" s="800"/>
      <c r="F22" s="801"/>
      <c r="G22" s="802"/>
      <c r="H22" s="800"/>
      <c r="I22" s="799"/>
      <c r="J22" s="803"/>
      <c r="K22" s="801"/>
      <c r="L22" s="801"/>
      <c r="M22" s="804"/>
      <c r="N22" s="800"/>
      <c r="O22" s="805"/>
      <c r="P22" s="806"/>
      <c r="Q22" s="800"/>
      <c r="R22" s="801"/>
      <c r="S22" s="807"/>
    </row>
    <row r="23" spans="1:19" ht="23.25" customHeight="1" x14ac:dyDescent="0.35">
      <c r="A23" s="529"/>
      <c r="B23" s="742"/>
      <c r="C23" s="746"/>
      <c r="D23" s="746"/>
      <c r="E23" s="745"/>
      <c r="F23" s="743"/>
      <c r="G23" s="744"/>
      <c r="H23" s="745"/>
      <c r="I23" s="746"/>
      <c r="J23" s="785"/>
      <c r="K23" s="743"/>
      <c r="L23" s="743"/>
      <c r="M23" s="774"/>
      <c r="N23" s="745"/>
      <c r="O23" s="786"/>
      <c r="P23" s="787"/>
      <c r="Q23" s="745"/>
      <c r="R23" s="743"/>
      <c r="S23" s="762"/>
    </row>
    <row r="24" spans="1:19" ht="23.25" customHeight="1" x14ac:dyDescent="0.35">
      <c r="A24" s="528" t="s">
        <v>42</v>
      </c>
      <c r="B24" s="763"/>
      <c r="C24" s="756"/>
      <c r="D24" s="757"/>
      <c r="E24" s="764"/>
      <c r="F24" s="765"/>
      <c r="G24" s="766"/>
      <c r="H24" s="764"/>
      <c r="I24" s="765"/>
      <c r="J24" s="766"/>
      <c r="K24" s="765"/>
      <c r="L24" s="765"/>
      <c r="M24" s="765"/>
      <c r="N24" s="755"/>
      <c r="O24" s="756"/>
      <c r="P24" s="757"/>
      <c r="Q24" s="764"/>
      <c r="R24" s="765"/>
      <c r="S24" s="808"/>
    </row>
    <row r="25" spans="1:19" ht="23.25" customHeight="1" x14ac:dyDescent="0.35">
      <c r="A25" s="529"/>
      <c r="B25" s="731"/>
      <c r="C25" s="732"/>
      <c r="D25" s="733"/>
      <c r="E25" s="734"/>
      <c r="F25" s="732"/>
      <c r="G25" s="735"/>
      <c r="H25" s="734"/>
      <c r="I25" s="732"/>
      <c r="J25" s="735"/>
      <c r="K25" s="732"/>
      <c r="L25" s="732"/>
      <c r="M25" s="732"/>
      <c r="N25" s="736"/>
      <c r="O25" s="732"/>
      <c r="P25" s="737"/>
      <c r="Q25" s="734"/>
      <c r="R25" s="732"/>
      <c r="S25" s="741"/>
    </row>
    <row r="26" spans="1:19" ht="23.25" customHeight="1" x14ac:dyDescent="0.35">
      <c r="A26" s="529"/>
      <c r="B26" s="742"/>
      <c r="C26" s="743"/>
      <c r="D26" s="744"/>
      <c r="E26" s="745"/>
      <c r="F26" s="746"/>
      <c r="G26" s="747"/>
      <c r="H26" s="745"/>
      <c r="I26" s="746"/>
      <c r="J26" s="785"/>
      <c r="K26" s="743"/>
      <c r="L26" s="746"/>
      <c r="M26" s="809"/>
      <c r="N26" s="745"/>
      <c r="O26" s="810"/>
      <c r="P26" s="811"/>
      <c r="Q26" s="745"/>
      <c r="R26" s="746"/>
      <c r="S26" s="752"/>
    </row>
    <row r="27" spans="1:19" ht="23.25" customHeight="1" x14ac:dyDescent="0.35">
      <c r="A27" s="528" t="s">
        <v>43</v>
      </c>
      <c r="B27" s="798"/>
      <c r="C27" s="801"/>
      <c r="D27" s="804"/>
      <c r="E27" s="800"/>
      <c r="F27" s="799"/>
      <c r="G27" s="812"/>
      <c r="H27" s="800"/>
      <c r="I27" s="799"/>
      <c r="J27" s="803"/>
      <c r="K27" s="801"/>
      <c r="L27" s="799"/>
      <c r="M27" s="813"/>
      <c r="N27" s="800"/>
      <c r="O27" s="732"/>
      <c r="P27" s="814"/>
      <c r="Q27" s="800"/>
      <c r="R27" s="799"/>
      <c r="S27" s="815"/>
    </row>
    <row r="28" spans="1:19" ht="23.25" customHeight="1" x14ac:dyDescent="0.35">
      <c r="A28" s="529"/>
      <c r="B28" s="798"/>
      <c r="C28" s="801"/>
      <c r="D28" s="804"/>
      <c r="E28" s="800"/>
      <c r="F28" s="799"/>
      <c r="G28" s="812"/>
      <c r="H28" s="800"/>
      <c r="I28" s="799"/>
      <c r="J28" s="803"/>
      <c r="K28" s="801"/>
      <c r="L28" s="799"/>
      <c r="M28" s="813"/>
      <c r="N28" s="800"/>
      <c r="O28" s="732"/>
      <c r="P28" s="814"/>
      <c r="Q28" s="800"/>
      <c r="R28" s="799"/>
      <c r="S28" s="815"/>
    </row>
    <row r="29" spans="1:19" ht="23.25" customHeight="1" x14ac:dyDescent="0.35">
      <c r="A29" s="529"/>
      <c r="B29" s="798"/>
      <c r="C29" s="801"/>
      <c r="D29" s="804"/>
      <c r="E29" s="800"/>
      <c r="F29" s="799"/>
      <c r="G29" s="812"/>
      <c r="H29" s="800"/>
      <c r="I29" s="799"/>
      <c r="J29" s="803"/>
      <c r="K29" s="801"/>
      <c r="L29" s="799"/>
      <c r="M29" s="813"/>
      <c r="N29" s="745"/>
      <c r="O29" s="810"/>
      <c r="P29" s="811"/>
      <c r="Q29" s="800"/>
      <c r="R29" s="799"/>
      <c r="S29" s="815"/>
    </row>
    <row r="30" spans="1:19" ht="23.25" customHeight="1" x14ac:dyDescent="0.35">
      <c r="A30" s="528" t="s">
        <v>44</v>
      </c>
      <c r="B30" s="753"/>
      <c r="C30" s="765"/>
      <c r="D30" s="765"/>
      <c r="E30" s="764"/>
      <c r="F30" s="765"/>
      <c r="G30" s="766"/>
      <c r="H30" s="764"/>
      <c r="I30" s="765"/>
      <c r="J30" s="766"/>
      <c r="K30" s="765"/>
      <c r="L30" s="765"/>
      <c r="M30" s="766"/>
      <c r="N30" s="765"/>
      <c r="O30" s="765"/>
      <c r="P30" s="766"/>
      <c r="Q30" s="764"/>
      <c r="R30" s="765"/>
      <c r="S30" s="808"/>
    </row>
    <row r="31" spans="1:19" ht="23.25" customHeight="1" x14ac:dyDescent="0.35">
      <c r="A31" s="529"/>
      <c r="B31" s="760"/>
      <c r="C31" s="732"/>
      <c r="D31" s="732"/>
      <c r="E31" s="734"/>
      <c r="F31" s="732"/>
      <c r="G31" s="735"/>
      <c r="H31" s="734"/>
      <c r="I31" s="732"/>
      <c r="J31" s="735"/>
      <c r="K31" s="732"/>
      <c r="L31" s="732"/>
      <c r="M31" s="735"/>
      <c r="N31" s="732"/>
      <c r="O31" s="732"/>
      <c r="P31" s="735"/>
      <c r="Q31" s="734"/>
      <c r="R31" s="732"/>
      <c r="S31" s="741"/>
    </row>
    <row r="32" spans="1:19" ht="23.25" customHeight="1" thickBot="1" x14ac:dyDescent="0.4">
      <c r="A32" s="529"/>
      <c r="B32" s="816"/>
      <c r="C32" s="817"/>
      <c r="D32" s="817"/>
      <c r="E32" s="818"/>
      <c r="F32" s="817"/>
      <c r="G32" s="819"/>
      <c r="H32" s="818"/>
      <c r="I32" s="817"/>
      <c r="J32" s="819"/>
      <c r="K32" s="820"/>
      <c r="L32" s="817"/>
      <c r="M32" s="819"/>
      <c r="N32" s="820"/>
      <c r="O32" s="821"/>
      <c r="P32" s="822"/>
      <c r="Q32" s="818"/>
      <c r="R32" s="817"/>
      <c r="S32" s="823"/>
    </row>
    <row r="33" spans="1:20" ht="5.25" customHeight="1" thickBot="1" x14ac:dyDescent="0.4">
      <c r="A33" s="46"/>
      <c r="B33" s="801"/>
      <c r="C33" s="799"/>
      <c r="D33" s="799"/>
      <c r="E33" s="801"/>
      <c r="F33" s="799"/>
      <c r="G33" s="799"/>
      <c r="H33" s="801"/>
      <c r="I33" s="799"/>
      <c r="J33" s="799"/>
      <c r="K33" s="801"/>
      <c r="L33" s="799"/>
      <c r="M33" s="799"/>
      <c r="N33" s="732"/>
      <c r="O33" s="732"/>
      <c r="P33" s="732"/>
      <c r="Q33" s="801"/>
      <c r="R33" s="799"/>
      <c r="S33" s="815"/>
    </row>
    <row r="34" spans="1:20" ht="23.25" customHeight="1" x14ac:dyDescent="0.35">
      <c r="A34" s="515" t="s">
        <v>27</v>
      </c>
      <c r="B34" s="11"/>
      <c r="C34" s="11"/>
      <c r="D34" s="12"/>
      <c r="E34" s="11"/>
      <c r="F34" s="11"/>
      <c r="G34" s="11"/>
      <c r="H34" s="532"/>
      <c r="I34" s="533"/>
      <c r="J34" s="534"/>
      <c r="K34" s="532"/>
      <c r="L34" s="533"/>
      <c r="M34" s="534"/>
      <c r="N34" s="532"/>
      <c r="O34" s="533"/>
      <c r="P34" s="534"/>
      <c r="Q34" s="50"/>
      <c r="R34" s="51"/>
      <c r="S34" s="52"/>
    </row>
    <row r="35" spans="1:20" ht="22.5" customHeight="1" x14ac:dyDescent="0.35">
      <c r="A35" s="516"/>
      <c r="B35" s="732"/>
      <c r="C35" s="732"/>
      <c r="D35" s="735"/>
      <c r="E35" s="732"/>
      <c r="F35" s="732"/>
      <c r="G35" s="732"/>
      <c r="H35" s="772"/>
      <c r="I35" s="773"/>
      <c r="J35" s="733"/>
      <c r="K35" s="772"/>
      <c r="L35" s="773"/>
      <c r="M35" s="733"/>
      <c r="N35" s="772"/>
      <c r="O35" s="773"/>
      <c r="P35" s="733"/>
      <c r="Q35" s="734"/>
      <c r="R35" s="732"/>
      <c r="S35" s="741"/>
    </row>
    <row r="36" spans="1:20" ht="23.25" customHeight="1" thickBot="1" x14ac:dyDescent="0.4">
      <c r="A36" s="517"/>
      <c r="B36" s="743"/>
      <c r="C36" s="786"/>
      <c r="D36" s="787"/>
      <c r="E36" s="743"/>
      <c r="F36" s="746"/>
      <c r="G36" s="746"/>
      <c r="H36" s="775"/>
      <c r="I36" s="776"/>
      <c r="J36" s="748"/>
      <c r="K36" s="775"/>
      <c r="L36" s="776"/>
      <c r="M36" s="748"/>
      <c r="N36" s="775"/>
      <c r="O36" s="776"/>
      <c r="P36" s="748"/>
      <c r="Q36" s="745"/>
      <c r="R36" s="746"/>
      <c r="S36" s="752"/>
    </row>
    <row r="37" spans="1:20" ht="23.25" customHeight="1" x14ac:dyDescent="0.5">
      <c r="A37" s="515" t="s">
        <v>27</v>
      </c>
      <c r="B37" s="801"/>
      <c r="C37" s="799"/>
      <c r="D37" s="812"/>
      <c r="E37" s="801"/>
      <c r="F37" s="799"/>
      <c r="G37" s="812"/>
      <c r="H37" s="801"/>
      <c r="I37" s="799"/>
      <c r="J37" s="812"/>
      <c r="K37" s="758"/>
      <c r="L37" s="754"/>
      <c r="M37" s="782"/>
      <c r="N37" s="758"/>
      <c r="O37" s="754"/>
      <c r="P37" s="782"/>
      <c r="Q37" s="800"/>
      <c r="R37" s="799"/>
      <c r="S37" s="815"/>
      <c r="T37" s="55"/>
    </row>
    <row r="38" spans="1:20" ht="23.25" customHeight="1" x14ac:dyDescent="0.5">
      <c r="A38" s="516"/>
      <c r="B38" s="801"/>
      <c r="C38" s="799"/>
      <c r="D38" s="812"/>
      <c r="E38" s="801"/>
      <c r="F38" s="799"/>
      <c r="G38" s="812"/>
      <c r="H38" s="801"/>
      <c r="I38" s="799"/>
      <c r="J38" s="812"/>
      <c r="K38" s="734"/>
      <c r="L38" s="732"/>
      <c r="M38" s="735"/>
      <c r="N38" s="734"/>
      <c r="O38" s="732"/>
      <c r="P38" s="735"/>
      <c r="Q38" s="800"/>
      <c r="R38" s="799"/>
      <c r="S38" s="815"/>
      <c r="T38" s="55"/>
    </row>
    <row r="39" spans="1:20" ht="23.25" customHeight="1" thickBot="1" x14ac:dyDescent="0.55000000000000004">
      <c r="A39" s="517"/>
      <c r="B39" s="47"/>
      <c r="C39" s="48"/>
      <c r="D39" s="53"/>
      <c r="E39" s="47"/>
      <c r="F39" s="48"/>
      <c r="G39" s="53"/>
      <c r="H39" s="47"/>
      <c r="I39" s="48"/>
      <c r="J39" s="53"/>
      <c r="K39" s="23"/>
      <c r="L39" s="25"/>
      <c r="M39" s="26"/>
      <c r="N39" s="23"/>
      <c r="O39" s="25"/>
      <c r="P39" s="26"/>
      <c r="Q39" s="54"/>
      <c r="R39" s="48"/>
      <c r="S39" s="49"/>
      <c r="T39" s="55"/>
    </row>
    <row r="40" spans="1:20" ht="23.25" customHeight="1" x14ac:dyDescent="0.5">
      <c r="A40" s="515" t="s">
        <v>27</v>
      </c>
      <c r="B40" s="29"/>
      <c r="C40" s="29"/>
      <c r="D40" s="37"/>
      <c r="E40" s="30"/>
      <c r="F40" s="29"/>
      <c r="G40" s="37"/>
      <c r="H40" s="30"/>
      <c r="I40" s="29"/>
      <c r="J40" s="37"/>
      <c r="K40" s="30"/>
      <c r="L40" s="29"/>
      <c r="M40" s="37"/>
      <c r="N40" s="30"/>
      <c r="O40" s="29"/>
      <c r="P40" s="37"/>
      <c r="Q40" s="30"/>
      <c r="R40" s="29"/>
      <c r="S40" s="32"/>
      <c r="T40" s="55"/>
    </row>
    <row r="41" spans="1:20" ht="22.5" customHeight="1" x14ac:dyDescent="0.5">
      <c r="A41" s="516"/>
      <c r="B41" s="16"/>
      <c r="C41" s="16"/>
      <c r="D41" s="19"/>
      <c r="E41" s="18"/>
      <c r="F41" s="16"/>
      <c r="G41" s="19"/>
      <c r="H41" s="18"/>
      <c r="I41" s="16"/>
      <c r="J41" s="19"/>
      <c r="K41" s="18"/>
      <c r="L41" s="16"/>
      <c r="M41" s="19"/>
      <c r="N41" s="18"/>
      <c r="O41" s="16"/>
      <c r="P41" s="19"/>
      <c r="Q41" s="18"/>
      <c r="R41" s="16"/>
      <c r="S41" s="21"/>
      <c r="T41" s="55"/>
    </row>
    <row r="42" spans="1:20" ht="23.25" customHeight="1" thickBot="1" x14ac:dyDescent="0.55000000000000004">
      <c r="A42" s="517"/>
      <c r="B42" s="44"/>
      <c r="C42" s="41"/>
      <c r="D42" s="43"/>
      <c r="E42" s="42"/>
      <c r="F42" s="41"/>
      <c r="G42" s="43"/>
      <c r="H42" s="44"/>
      <c r="I42" s="41"/>
      <c r="J42" s="43"/>
      <c r="K42" s="42"/>
      <c r="L42" s="41"/>
      <c r="M42" s="43"/>
      <c r="N42" s="44"/>
      <c r="O42" s="41"/>
      <c r="P42" s="43"/>
      <c r="Q42" s="42"/>
      <c r="R42" s="41"/>
      <c r="S42" s="45"/>
      <c r="T42" s="55"/>
    </row>
    <row r="43" spans="1:20" s="62" customFormat="1" ht="31" customHeight="1" thickBot="1" x14ac:dyDescent="0.4">
      <c r="A43" s="190" t="s">
        <v>28</v>
      </c>
      <c r="B43" s="56" t="s">
        <v>29</v>
      </c>
      <c r="C43" s="57" t="s">
        <v>30</v>
      </c>
      <c r="D43" s="58"/>
      <c r="E43" s="56"/>
      <c r="F43" s="57" t="s">
        <v>30</v>
      </c>
      <c r="G43" s="58"/>
      <c r="H43" s="56"/>
      <c r="I43" s="57" t="s">
        <v>30</v>
      </c>
      <c r="J43" s="58"/>
      <c r="K43" s="56"/>
      <c r="L43" s="57" t="s">
        <v>30</v>
      </c>
      <c r="M43" s="58"/>
      <c r="N43" s="56"/>
      <c r="O43" s="57" t="s">
        <v>30</v>
      </c>
      <c r="P43" s="58"/>
      <c r="Q43" s="59"/>
      <c r="R43" s="57" t="s">
        <v>30</v>
      </c>
      <c r="S43" s="60"/>
      <c r="T43" s="61"/>
    </row>
    <row r="44" spans="1:20" ht="25" customHeight="1" x14ac:dyDescent="0.35">
      <c r="A44" s="518" t="s">
        <v>45</v>
      </c>
      <c r="B44" s="63"/>
      <c r="C44" s="64"/>
      <c r="D44" s="65"/>
      <c r="E44" s="66"/>
      <c r="F44" s="67"/>
      <c r="G44" s="68"/>
      <c r="H44" s="66"/>
      <c r="I44" s="67"/>
      <c r="J44" s="69"/>
      <c r="K44" s="63"/>
      <c r="L44" s="64"/>
      <c r="M44" s="70"/>
      <c r="N44" s="71"/>
      <c r="O44" s="72"/>
      <c r="P44" s="206"/>
      <c r="Q44" s="66"/>
      <c r="R44" s="67"/>
      <c r="S44" s="73"/>
    </row>
    <row r="45" spans="1:20" ht="25" customHeight="1" thickBot="1" x14ac:dyDescent="0.4">
      <c r="A45" s="519"/>
      <c r="B45" s="74"/>
      <c r="C45" s="75"/>
      <c r="D45" s="75"/>
      <c r="E45" s="76"/>
      <c r="F45" s="77"/>
      <c r="G45" s="78"/>
      <c r="H45" s="76"/>
      <c r="I45" s="77"/>
      <c r="J45" s="77"/>
      <c r="K45" s="74"/>
      <c r="L45" s="79"/>
      <c r="M45" s="80"/>
      <c r="N45" s="81"/>
      <c r="O45" s="82"/>
      <c r="P45" s="87"/>
      <c r="Q45" s="76"/>
      <c r="R45" s="77"/>
      <c r="S45" s="78"/>
    </row>
    <row r="46" spans="1:20" ht="25" customHeight="1" x14ac:dyDescent="0.35">
      <c r="A46" s="518" t="s">
        <v>45</v>
      </c>
      <c r="B46" s="200"/>
      <c r="C46" s="201"/>
      <c r="D46" s="201"/>
      <c r="E46" s="191"/>
      <c r="F46" s="192"/>
      <c r="G46" s="193"/>
      <c r="H46" s="191"/>
      <c r="I46" s="192"/>
      <c r="J46" s="192"/>
      <c r="K46" s="200"/>
      <c r="L46" s="202"/>
      <c r="M46" s="204"/>
      <c r="N46" s="207"/>
      <c r="O46" s="203"/>
      <c r="P46" s="208"/>
      <c r="Q46" s="191"/>
      <c r="R46" s="192"/>
      <c r="S46" s="193"/>
    </row>
    <row r="47" spans="1:20" ht="25" customHeight="1" thickBot="1" x14ac:dyDescent="0.4">
      <c r="A47" s="519"/>
      <c r="B47" s="74"/>
      <c r="C47" s="75"/>
      <c r="D47" s="75"/>
      <c r="E47" s="76"/>
      <c r="F47" s="77"/>
      <c r="G47" s="78"/>
      <c r="H47" s="76"/>
      <c r="I47" s="77"/>
      <c r="J47" s="77"/>
      <c r="K47" s="74"/>
      <c r="L47" s="79"/>
      <c r="M47" s="80"/>
      <c r="N47" s="81"/>
      <c r="O47" s="82"/>
      <c r="P47" s="87"/>
      <c r="Q47" s="76"/>
      <c r="R47" s="77"/>
      <c r="S47" s="78"/>
    </row>
    <row r="48" spans="1:20" ht="25" customHeight="1" x14ac:dyDescent="0.35">
      <c r="A48" s="520" t="s">
        <v>45</v>
      </c>
      <c r="B48" s="194"/>
      <c r="C48" s="195"/>
      <c r="D48" s="196"/>
      <c r="E48" s="197"/>
      <c r="F48" s="198"/>
      <c r="G48" s="199"/>
      <c r="H48" s="83"/>
      <c r="I48" s="84"/>
      <c r="J48" s="84"/>
      <c r="K48" s="205"/>
      <c r="L48" s="84"/>
      <c r="M48" s="85"/>
      <c r="N48" s="205"/>
      <c r="O48" s="84"/>
      <c r="P48" s="85"/>
      <c r="Q48" s="205"/>
      <c r="R48" s="84"/>
      <c r="S48" s="85"/>
    </row>
    <row r="49" spans="1:19" ht="25" customHeight="1" thickBot="1" x14ac:dyDescent="0.4">
      <c r="A49" s="521"/>
      <c r="B49" s="74"/>
      <c r="C49" s="79"/>
      <c r="D49" s="79"/>
      <c r="E49" s="76"/>
      <c r="F49" s="77"/>
      <c r="G49" s="78"/>
      <c r="H49" s="86"/>
      <c r="I49" s="82"/>
      <c r="J49" s="82"/>
      <c r="K49" s="81"/>
      <c r="L49" s="82"/>
      <c r="M49" s="87"/>
      <c r="N49" s="81"/>
      <c r="O49" s="82"/>
      <c r="P49" s="87"/>
      <c r="Q49" s="81"/>
      <c r="R49" s="82"/>
      <c r="S49" s="87"/>
    </row>
    <row r="50" spans="1:19" ht="60" customHeight="1" thickBot="1" x14ac:dyDescent="0.55000000000000004">
      <c r="A50" s="522" t="s">
        <v>46</v>
      </c>
      <c r="B50" s="523"/>
      <c r="C50" s="523"/>
      <c r="D50" s="523"/>
      <c r="E50" s="523"/>
      <c r="F50" s="523"/>
      <c r="G50" s="523"/>
      <c r="H50" s="523"/>
      <c r="I50" s="523"/>
      <c r="J50" s="523"/>
      <c r="K50" s="523"/>
      <c r="L50" s="523"/>
      <c r="M50" s="523"/>
      <c r="N50" s="523"/>
      <c r="O50" s="523"/>
      <c r="P50" s="523"/>
      <c r="Q50" s="523"/>
      <c r="R50" s="523"/>
      <c r="S50" s="524"/>
    </row>
  </sheetData>
  <customSheetViews>
    <customSheetView guid="{AF731A35-9978-4A72-829F-F3E8771EE2D4}" scale="55" showPageBreaks="1" printArea="1" view="pageLayout">
      <selection activeCell="E18" sqref="E18"/>
      <pageMargins left="0" right="0" top="0" bottom="0" header="0" footer="0"/>
      <printOptions horizontalCentered="1" verticalCentered="1"/>
      <pageSetup paperSize="9" scale="33" fitToWidth="0" fitToHeight="0" orientation="landscape" r:id="rId1"/>
      <headerFooter alignWithMargins="0">
        <oddFooter xml:space="preserve">&amp;Lerstellt/freigegeben: M. Mayrhofer&amp;CTourenplan vom :&amp;D&amp;RAusgabedatum: 27.06.06
</oddFooter>
      </headerFooter>
    </customSheetView>
  </customSheetViews>
  <mergeCells count="44">
    <mergeCell ref="B1:D1"/>
    <mergeCell ref="E1:M1"/>
    <mergeCell ref="N1:P1"/>
    <mergeCell ref="Q1:S1"/>
    <mergeCell ref="A3:A5"/>
    <mergeCell ref="B3:D3"/>
    <mergeCell ref="H3:J3"/>
    <mergeCell ref="N3:P3"/>
    <mergeCell ref="E3:G3"/>
    <mergeCell ref="K3:M3"/>
    <mergeCell ref="A6:A8"/>
    <mergeCell ref="E6:G6"/>
    <mergeCell ref="K6:M6"/>
    <mergeCell ref="Q6:S6"/>
    <mergeCell ref="A9:A11"/>
    <mergeCell ref="B9:D9"/>
    <mergeCell ref="H9:J9"/>
    <mergeCell ref="K9:M9"/>
    <mergeCell ref="N9:P9"/>
    <mergeCell ref="A34:A36"/>
    <mergeCell ref="H34:J34"/>
    <mergeCell ref="K34:M34"/>
    <mergeCell ref="N34:P34"/>
    <mergeCell ref="A12:A14"/>
    <mergeCell ref="B12:D12"/>
    <mergeCell ref="H12:J12"/>
    <mergeCell ref="N12:P12"/>
    <mergeCell ref="A15:A17"/>
    <mergeCell ref="E15:G15"/>
    <mergeCell ref="K15:M15"/>
    <mergeCell ref="A18:A20"/>
    <mergeCell ref="A21:A23"/>
    <mergeCell ref="A27:A29"/>
    <mergeCell ref="Q15:S15"/>
    <mergeCell ref="A24:A26"/>
    <mergeCell ref="B24:D24"/>
    <mergeCell ref="N24:P24"/>
    <mergeCell ref="A30:A32"/>
    <mergeCell ref="A37:A39"/>
    <mergeCell ref="A40:A42"/>
    <mergeCell ref="A44:A45"/>
    <mergeCell ref="A48:A49"/>
    <mergeCell ref="A50:S50"/>
    <mergeCell ref="A46:A47"/>
  </mergeCells>
  <printOptions horizontalCentered="1" verticalCentered="1"/>
  <pageMargins left="0" right="0" top="0.31496062992125984" bottom="0" header="0.19685039370078741" footer="0.19685039370078741"/>
  <pageSetup paperSize="9" scale="33" fitToWidth="0" fitToHeight="0" orientation="landscape" r:id="rId2"/>
  <headerFooter alignWithMargins="0">
    <oddFooter xml:space="preserve">&amp;Lerstellt/freigegeben: M. Mayrhofer&amp;CTourenplan vom :&amp;D&amp;RAusgabedatum: 27.06.06
</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E305B-44DD-4FB0-AA67-0DF46BF674FF}">
  <sheetPr codeName="Tabelle10"/>
  <dimension ref="A1:U41"/>
  <sheetViews>
    <sheetView view="pageLayout" zoomScale="55" zoomScaleNormal="55" zoomScaleSheetLayoutView="25" zoomScalePageLayoutView="55" workbookViewId="0">
      <selection activeCell="H59" sqref="H59"/>
    </sheetView>
  </sheetViews>
  <sheetFormatPr baseColWidth="10" defaultColWidth="14.81640625" defaultRowHeight="15.5" x14ac:dyDescent="0.35"/>
  <cols>
    <col min="1" max="1" width="45.1796875" style="6" bestFit="1" customWidth="1"/>
    <col min="2" max="2" width="31.81640625" style="6" customWidth="1"/>
    <col min="3" max="4" width="16.453125" style="6" customWidth="1"/>
    <col min="5" max="5" width="31.81640625" style="6" customWidth="1"/>
    <col min="6" max="7" width="16.453125" style="6" customWidth="1"/>
    <col min="8" max="8" width="30.54296875" style="6" customWidth="1"/>
    <col min="9" max="10" width="16.453125" style="6" customWidth="1"/>
    <col min="11" max="11" width="31.81640625" style="6" customWidth="1"/>
    <col min="12" max="13" width="16.453125" style="6" customWidth="1"/>
    <col min="14" max="14" width="31.81640625" style="6" customWidth="1"/>
    <col min="15" max="16" width="16.453125" style="6" customWidth="1"/>
    <col min="17" max="17" width="30.54296875" style="6" customWidth="1"/>
    <col min="18" max="19" width="16.453125" style="6" customWidth="1"/>
    <col min="20" max="20" width="11.26953125" style="6" customWidth="1"/>
    <col min="21" max="16384" width="14.81640625" style="6"/>
  </cols>
  <sheetData>
    <row r="1" spans="1:21" ht="56.25" customHeight="1" thickBot="1" x14ac:dyDescent="0.4">
      <c r="A1" s="209" t="s">
        <v>32</v>
      </c>
      <c r="B1" s="542" t="s">
        <v>14</v>
      </c>
      <c r="C1" s="543"/>
      <c r="D1" s="544"/>
      <c r="E1" s="545" t="s">
        <v>47</v>
      </c>
      <c r="F1" s="546"/>
      <c r="G1" s="546"/>
      <c r="H1" s="546"/>
      <c r="I1" s="546"/>
      <c r="J1" s="546"/>
      <c r="K1" s="546"/>
      <c r="L1" s="546"/>
      <c r="M1" s="547"/>
      <c r="N1" s="548">
        <f>_xlfn.ISOWEEKNUM(B2)</f>
        <v>15</v>
      </c>
      <c r="O1" s="549"/>
      <c r="P1" s="550"/>
      <c r="Q1" s="542" t="s">
        <v>48</v>
      </c>
      <c r="R1" s="543"/>
      <c r="S1" s="544"/>
    </row>
    <row r="2" spans="1:21" ht="30.5" thickBot="1" x14ac:dyDescent="0.65">
      <c r="A2" s="7"/>
      <c r="B2" s="172">
        <v>45754</v>
      </c>
      <c r="C2" s="173"/>
      <c r="D2" s="174"/>
      <c r="E2" s="172">
        <f>B2+1</f>
        <v>45755</v>
      </c>
      <c r="F2" s="183"/>
      <c r="G2" s="184"/>
      <c r="H2" s="172">
        <f t="shared" ref="H2" si="0">E2+1</f>
        <v>45756</v>
      </c>
      <c r="I2" s="183"/>
      <c r="J2" s="184"/>
      <c r="K2" s="172">
        <f t="shared" ref="K2" si="1">H2+1</f>
        <v>45757</v>
      </c>
      <c r="L2" s="183"/>
      <c r="M2" s="184"/>
      <c r="N2" s="172">
        <f t="shared" ref="N2" si="2">K2+1</f>
        <v>45758</v>
      </c>
      <c r="O2" s="183"/>
      <c r="P2" s="184"/>
      <c r="Q2" s="172">
        <f t="shared" ref="Q2" si="3">N2+1</f>
        <v>45759</v>
      </c>
      <c r="R2" s="183"/>
      <c r="S2" s="184"/>
    </row>
    <row r="3" spans="1:21" ht="23.25" customHeight="1" x14ac:dyDescent="0.5">
      <c r="A3" s="555" t="s">
        <v>49</v>
      </c>
      <c r="B3" s="719"/>
      <c r="C3" s="720"/>
      <c r="D3" s="721"/>
      <c r="E3" s="722"/>
      <c r="F3" s="723"/>
      <c r="G3" s="724"/>
      <c r="H3" s="722"/>
      <c r="I3" s="720"/>
      <c r="J3" s="721"/>
      <c r="K3" s="725"/>
      <c r="L3" s="726"/>
      <c r="M3" s="727"/>
      <c r="N3" s="722"/>
      <c r="O3" s="720"/>
      <c r="P3" s="721"/>
      <c r="Q3" s="728"/>
      <c r="R3" s="729"/>
      <c r="S3" s="730"/>
      <c r="T3" s="13"/>
      <c r="U3" s="14"/>
    </row>
    <row r="4" spans="1:21" ht="23.25" customHeight="1" x14ac:dyDescent="0.5">
      <c r="A4" s="556"/>
      <c r="B4" s="731"/>
      <c r="C4" s="732"/>
      <c r="D4" s="733"/>
      <c r="E4" s="734"/>
      <c r="F4" s="732"/>
      <c r="G4" s="735"/>
      <c r="H4" s="736"/>
      <c r="I4" s="732"/>
      <c r="J4" s="737"/>
      <c r="K4" s="738"/>
      <c r="L4" s="739"/>
      <c r="M4" s="740"/>
      <c r="N4" s="736"/>
      <c r="O4" s="732"/>
      <c r="P4" s="733"/>
      <c r="Q4" s="734"/>
      <c r="R4" s="732"/>
      <c r="S4" s="741"/>
      <c r="T4" s="14"/>
      <c r="U4" s="14"/>
    </row>
    <row r="5" spans="1:21" ht="23.25" customHeight="1" x14ac:dyDescent="0.5">
      <c r="A5" s="557"/>
      <c r="B5" s="742"/>
      <c r="C5" s="743"/>
      <c r="D5" s="744"/>
      <c r="E5" s="745"/>
      <c r="F5" s="746"/>
      <c r="G5" s="747"/>
      <c r="H5" s="745"/>
      <c r="I5" s="743"/>
      <c r="J5" s="748"/>
      <c r="K5" s="749"/>
      <c r="L5" s="750"/>
      <c r="M5" s="751"/>
      <c r="N5" s="743"/>
      <c r="O5" s="743"/>
      <c r="P5" s="744"/>
      <c r="Q5" s="745"/>
      <c r="R5" s="746"/>
      <c r="S5" s="752"/>
      <c r="T5" s="14"/>
      <c r="U5" s="14"/>
    </row>
    <row r="6" spans="1:21" ht="23.25" customHeight="1" x14ac:dyDescent="0.5">
      <c r="A6" s="558" t="s">
        <v>50</v>
      </c>
      <c r="B6" s="753"/>
      <c r="C6" s="754"/>
      <c r="D6" s="782"/>
      <c r="E6" s="755"/>
      <c r="F6" s="756"/>
      <c r="G6" s="757"/>
      <c r="H6" s="758"/>
      <c r="I6" s="754"/>
      <c r="J6" s="754"/>
      <c r="K6" s="755"/>
      <c r="L6" s="756"/>
      <c r="M6" s="757"/>
      <c r="N6" s="758"/>
      <c r="O6" s="754"/>
      <c r="P6" s="754"/>
      <c r="Q6" s="755"/>
      <c r="R6" s="756"/>
      <c r="S6" s="759"/>
      <c r="T6" s="14"/>
      <c r="U6" s="14"/>
    </row>
    <row r="7" spans="1:21" ht="23.25" customHeight="1" x14ac:dyDescent="0.35">
      <c r="A7" s="556"/>
      <c r="B7" s="760"/>
      <c r="C7" s="732"/>
      <c r="D7" s="735"/>
      <c r="E7" s="736"/>
      <c r="F7" s="732"/>
      <c r="G7" s="737"/>
      <c r="H7" s="734"/>
      <c r="I7" s="732"/>
      <c r="J7" s="732"/>
      <c r="K7" s="736"/>
      <c r="L7" s="732"/>
      <c r="M7" s="733"/>
      <c r="N7" s="734"/>
      <c r="O7" s="732"/>
      <c r="P7" s="732"/>
      <c r="Q7" s="736"/>
      <c r="R7" s="732"/>
      <c r="S7" s="761"/>
    </row>
    <row r="8" spans="1:21" ht="23.25" customHeight="1" x14ac:dyDescent="0.35">
      <c r="A8" s="557"/>
      <c r="B8" s="742"/>
      <c r="C8" s="746"/>
      <c r="D8" s="747"/>
      <c r="E8" s="745"/>
      <c r="F8" s="743"/>
      <c r="G8" s="744"/>
      <c r="H8" s="745"/>
      <c r="I8" s="746"/>
      <c r="J8" s="746"/>
      <c r="K8" s="745"/>
      <c r="L8" s="743"/>
      <c r="M8" s="744"/>
      <c r="N8" s="743"/>
      <c r="O8" s="746"/>
      <c r="P8" s="746"/>
      <c r="Q8" s="745"/>
      <c r="R8" s="743"/>
      <c r="S8" s="762"/>
    </row>
    <row r="9" spans="1:21" ht="23.25" customHeight="1" x14ac:dyDescent="0.35">
      <c r="A9" s="528" t="s">
        <v>51</v>
      </c>
      <c r="B9" s="763"/>
      <c r="C9" s="756"/>
      <c r="D9" s="757"/>
      <c r="E9" s="764"/>
      <c r="F9" s="765"/>
      <c r="G9" s="766"/>
      <c r="H9" s="767"/>
      <c r="I9" s="768"/>
      <c r="J9" s="769"/>
      <c r="K9" s="767"/>
      <c r="L9" s="768"/>
      <c r="M9" s="769"/>
      <c r="N9" s="755"/>
      <c r="O9" s="756"/>
      <c r="P9" s="757"/>
      <c r="Q9" s="758"/>
      <c r="R9" s="754"/>
      <c r="S9" s="770"/>
    </row>
    <row r="10" spans="1:21" ht="23.25" customHeight="1" x14ac:dyDescent="0.35">
      <c r="A10" s="529"/>
      <c r="B10" s="731"/>
      <c r="C10" s="771"/>
      <c r="D10" s="737"/>
      <c r="E10" s="734"/>
      <c r="F10" s="732"/>
      <c r="G10" s="735"/>
      <c r="H10" s="772"/>
      <c r="I10" s="773"/>
      <c r="J10" s="733"/>
      <c r="K10" s="772"/>
      <c r="L10" s="773"/>
      <c r="M10" s="733"/>
      <c r="N10" s="736"/>
      <c r="O10" s="732"/>
      <c r="P10" s="733"/>
      <c r="Q10" s="734"/>
      <c r="R10" s="732"/>
      <c r="S10" s="741"/>
    </row>
    <row r="11" spans="1:21" ht="23.25" customHeight="1" x14ac:dyDescent="0.35">
      <c r="A11" s="529"/>
      <c r="B11" s="742"/>
      <c r="C11" s="743"/>
      <c r="D11" s="744"/>
      <c r="E11" s="745"/>
      <c r="F11" s="746"/>
      <c r="G11" s="747"/>
      <c r="H11" s="775"/>
      <c r="I11" s="776"/>
      <c r="J11" s="748"/>
      <c r="K11" s="775"/>
      <c r="L11" s="776"/>
      <c r="M11" s="748"/>
      <c r="N11" s="745"/>
      <c r="O11" s="743"/>
      <c r="P11" s="744"/>
      <c r="Q11" s="745"/>
      <c r="R11" s="746"/>
      <c r="S11" s="752"/>
    </row>
    <row r="12" spans="1:21" ht="23.25" customHeight="1" x14ac:dyDescent="0.35">
      <c r="A12" s="528" t="s">
        <v>52</v>
      </c>
      <c r="B12" s="763"/>
      <c r="C12" s="756"/>
      <c r="D12" s="757"/>
      <c r="E12" s="764"/>
      <c r="F12" s="765"/>
      <c r="G12" s="765"/>
      <c r="H12" s="755"/>
      <c r="I12" s="756"/>
      <c r="J12" s="757"/>
      <c r="K12" s="754"/>
      <c r="L12" s="754"/>
      <c r="M12" s="782"/>
      <c r="N12" s="767"/>
      <c r="O12" s="768"/>
      <c r="P12" s="769"/>
      <c r="Q12" s="777"/>
      <c r="R12" s="778"/>
      <c r="S12" s="779"/>
    </row>
    <row r="13" spans="1:21" ht="23.25" customHeight="1" x14ac:dyDescent="0.35">
      <c r="A13" s="529"/>
      <c r="B13" s="731"/>
      <c r="C13" s="732"/>
      <c r="D13" s="733"/>
      <c r="E13" s="734"/>
      <c r="F13" s="732"/>
      <c r="G13" s="732"/>
      <c r="H13" s="736"/>
      <c r="I13" s="732"/>
      <c r="J13" s="737"/>
      <c r="K13" s="732"/>
      <c r="L13" s="732"/>
      <c r="M13" s="735"/>
      <c r="N13" s="772"/>
      <c r="O13" s="773"/>
      <c r="P13" s="733"/>
      <c r="Q13" s="734"/>
      <c r="R13" s="732"/>
      <c r="S13" s="741"/>
    </row>
    <row r="14" spans="1:21" ht="23.25" customHeight="1" x14ac:dyDescent="0.35">
      <c r="A14" s="529"/>
      <c r="B14" s="742"/>
      <c r="C14" s="743"/>
      <c r="D14" s="748"/>
      <c r="E14" s="745"/>
      <c r="F14" s="746"/>
      <c r="G14" s="746"/>
      <c r="H14" s="745"/>
      <c r="I14" s="743"/>
      <c r="J14" s="744"/>
      <c r="K14" s="743"/>
      <c r="L14" s="746"/>
      <c r="M14" s="747"/>
      <c r="N14" s="775"/>
      <c r="O14" s="776"/>
      <c r="P14" s="748"/>
      <c r="Q14" s="745"/>
      <c r="R14" s="746"/>
      <c r="S14" s="752"/>
    </row>
    <row r="15" spans="1:21" ht="23.25" customHeight="1" x14ac:dyDescent="0.35">
      <c r="A15" s="528" t="s">
        <v>53</v>
      </c>
      <c r="B15" s="760"/>
      <c r="C15" s="732"/>
      <c r="D15" s="735"/>
      <c r="E15" s="755"/>
      <c r="F15" s="756"/>
      <c r="G15" s="757"/>
      <c r="H15" s="777"/>
      <c r="I15" s="778"/>
      <c r="J15" s="778"/>
      <c r="K15" s="755"/>
      <c r="L15" s="756"/>
      <c r="M15" s="757"/>
      <c r="N15" s="758"/>
      <c r="O15" s="754"/>
      <c r="P15" s="782"/>
      <c r="Q15" s="755"/>
      <c r="R15" s="756"/>
      <c r="S15" s="759"/>
    </row>
    <row r="16" spans="1:21" ht="23.25" customHeight="1" x14ac:dyDescent="0.35">
      <c r="A16" s="529"/>
      <c r="B16" s="760"/>
      <c r="C16" s="732"/>
      <c r="D16" s="735"/>
      <c r="E16" s="736"/>
      <c r="F16" s="732"/>
      <c r="G16" s="737"/>
      <c r="H16" s="734"/>
      <c r="I16" s="732"/>
      <c r="J16" s="732"/>
      <c r="K16" s="736"/>
      <c r="L16" s="732"/>
      <c r="M16" s="737"/>
      <c r="N16" s="732"/>
      <c r="O16" s="732"/>
      <c r="P16" s="735"/>
      <c r="Q16" s="736"/>
      <c r="R16" s="732"/>
      <c r="S16" s="761"/>
    </row>
    <row r="17" spans="1:20" ht="23.25" customHeight="1" x14ac:dyDescent="0.35">
      <c r="A17" s="529"/>
      <c r="B17" s="742"/>
      <c r="C17" s="746"/>
      <c r="D17" s="747"/>
      <c r="E17" s="745"/>
      <c r="F17" s="743"/>
      <c r="G17" s="744"/>
      <c r="H17" s="745"/>
      <c r="I17" s="746"/>
      <c r="J17" s="809"/>
      <c r="K17" s="745"/>
      <c r="L17" s="743"/>
      <c r="M17" s="744"/>
      <c r="N17" s="745"/>
      <c r="O17" s="786"/>
      <c r="P17" s="787"/>
      <c r="Q17" s="745"/>
      <c r="R17" s="743"/>
      <c r="S17" s="762"/>
    </row>
    <row r="18" spans="1:20" ht="23.25" customHeight="1" x14ac:dyDescent="0.35">
      <c r="A18" s="528" t="s">
        <v>54</v>
      </c>
      <c r="B18" s="763"/>
      <c r="C18" s="756"/>
      <c r="D18" s="757"/>
      <c r="E18" s="764"/>
      <c r="F18" s="765"/>
      <c r="G18" s="766"/>
      <c r="H18" s="777"/>
      <c r="I18" s="778"/>
      <c r="J18" s="781"/>
      <c r="K18" s="778"/>
      <c r="L18" s="778"/>
      <c r="M18" s="778"/>
      <c r="N18" s="755"/>
      <c r="O18" s="756"/>
      <c r="P18" s="757"/>
      <c r="Q18" s="764"/>
      <c r="R18" s="765"/>
      <c r="S18" s="808"/>
    </row>
    <row r="19" spans="1:20" ht="23.25" customHeight="1" x14ac:dyDescent="0.35">
      <c r="A19" s="529"/>
      <c r="B19" s="731"/>
      <c r="C19" s="732"/>
      <c r="D19" s="733"/>
      <c r="E19" s="734"/>
      <c r="F19" s="732"/>
      <c r="G19" s="735"/>
      <c r="H19" s="734"/>
      <c r="I19" s="732"/>
      <c r="J19" s="735"/>
      <c r="K19" s="732"/>
      <c r="L19" s="732"/>
      <c r="M19" s="732"/>
      <c r="N19" s="736"/>
      <c r="O19" s="732"/>
      <c r="P19" s="737"/>
      <c r="Q19" s="734"/>
      <c r="R19" s="732"/>
      <c r="S19" s="741"/>
    </row>
    <row r="20" spans="1:20" ht="23.25" customHeight="1" x14ac:dyDescent="0.35">
      <c r="A20" s="529"/>
      <c r="B20" s="742"/>
      <c r="C20" s="743"/>
      <c r="D20" s="744"/>
      <c r="E20" s="745"/>
      <c r="F20" s="746"/>
      <c r="G20" s="747"/>
      <c r="H20" s="745"/>
      <c r="I20" s="746"/>
      <c r="J20" s="785"/>
      <c r="K20" s="743"/>
      <c r="L20" s="746"/>
      <c r="M20" s="809"/>
      <c r="N20" s="745"/>
      <c r="O20" s="810"/>
      <c r="P20" s="811"/>
      <c r="Q20" s="745"/>
      <c r="R20" s="746"/>
      <c r="S20" s="752"/>
    </row>
    <row r="21" spans="1:20" ht="23.25" customHeight="1" x14ac:dyDescent="0.35">
      <c r="A21" s="528" t="s">
        <v>55</v>
      </c>
      <c r="B21" s="753"/>
      <c r="C21" s="765"/>
      <c r="D21" s="766"/>
      <c r="E21" s="764"/>
      <c r="F21" s="765"/>
      <c r="G21" s="766"/>
      <c r="H21" s="764"/>
      <c r="I21" s="765"/>
      <c r="J21" s="766"/>
      <c r="K21" s="765"/>
      <c r="L21" s="765"/>
      <c r="M21" s="766"/>
      <c r="N21" s="765"/>
      <c r="O21" s="765"/>
      <c r="P21" s="766"/>
      <c r="Q21" s="764"/>
      <c r="R21" s="765"/>
      <c r="S21" s="808"/>
    </row>
    <row r="22" spans="1:20" ht="23.25" customHeight="1" x14ac:dyDescent="0.35">
      <c r="A22" s="529"/>
      <c r="B22" s="760"/>
      <c r="C22" s="732"/>
      <c r="D22" s="735"/>
      <c r="E22" s="734"/>
      <c r="F22" s="732"/>
      <c r="G22" s="735"/>
      <c r="H22" s="734"/>
      <c r="I22" s="732"/>
      <c r="J22" s="735"/>
      <c r="K22" s="732"/>
      <c r="L22" s="732"/>
      <c r="M22" s="735"/>
      <c r="N22" s="732"/>
      <c r="O22" s="732"/>
      <c r="P22" s="735"/>
      <c r="Q22" s="734"/>
      <c r="R22" s="732"/>
      <c r="S22" s="741"/>
    </row>
    <row r="23" spans="1:20" ht="23.25" customHeight="1" thickBot="1" x14ac:dyDescent="0.4">
      <c r="A23" s="529"/>
      <c r="B23" s="816"/>
      <c r="C23" s="817"/>
      <c r="D23" s="819"/>
      <c r="E23" s="818"/>
      <c r="F23" s="817"/>
      <c r="G23" s="819"/>
      <c r="H23" s="818"/>
      <c r="I23" s="817"/>
      <c r="J23" s="819"/>
      <c r="K23" s="820"/>
      <c r="L23" s="817"/>
      <c r="M23" s="819"/>
      <c r="N23" s="820"/>
      <c r="O23" s="821"/>
      <c r="P23" s="822"/>
      <c r="Q23" s="818"/>
      <c r="R23" s="817"/>
      <c r="S23" s="823"/>
    </row>
    <row r="24" spans="1:20" ht="5.25" customHeight="1" thickBot="1" x14ac:dyDescent="0.4">
      <c r="A24" s="46"/>
      <c r="B24" s="801"/>
      <c r="C24" s="799"/>
      <c r="D24" s="799"/>
      <c r="E24" s="801"/>
      <c r="F24" s="799"/>
      <c r="G24" s="799"/>
      <c r="H24" s="801"/>
      <c r="I24" s="799"/>
      <c r="J24" s="799"/>
      <c r="K24" s="801"/>
      <c r="L24" s="799"/>
      <c r="M24" s="799"/>
      <c r="N24" s="732"/>
      <c r="O24" s="732"/>
      <c r="P24" s="732"/>
      <c r="Q24" s="801"/>
      <c r="R24" s="799"/>
      <c r="S24" s="815"/>
    </row>
    <row r="25" spans="1:20" ht="23.25" customHeight="1" x14ac:dyDescent="0.35">
      <c r="A25" s="515" t="s">
        <v>27</v>
      </c>
      <c r="B25" s="729"/>
      <c r="C25" s="729"/>
      <c r="D25" s="824"/>
      <c r="E25" s="729"/>
      <c r="F25" s="729"/>
      <c r="G25" s="729"/>
      <c r="H25" s="825"/>
      <c r="I25" s="826"/>
      <c r="J25" s="827"/>
      <c r="K25" s="825"/>
      <c r="L25" s="826"/>
      <c r="M25" s="827"/>
      <c r="N25" s="825"/>
      <c r="O25" s="826"/>
      <c r="P25" s="827"/>
      <c r="Q25" s="828"/>
      <c r="R25" s="829"/>
      <c r="S25" s="830"/>
    </row>
    <row r="26" spans="1:20" ht="22.5" customHeight="1" x14ac:dyDescent="0.35">
      <c r="A26" s="516"/>
      <c r="B26" s="732"/>
      <c r="C26" s="732"/>
      <c r="D26" s="735"/>
      <c r="E26" s="732"/>
      <c r="F26" s="732"/>
      <c r="G26" s="732"/>
      <c r="H26" s="772"/>
      <c r="I26" s="773"/>
      <c r="J26" s="733"/>
      <c r="K26" s="772"/>
      <c r="L26" s="773"/>
      <c r="M26" s="733"/>
      <c r="N26" s="772"/>
      <c r="O26" s="773"/>
      <c r="P26" s="733"/>
      <c r="Q26" s="734"/>
      <c r="R26" s="732"/>
      <c r="S26" s="741"/>
    </row>
    <row r="27" spans="1:20" ht="23.25" customHeight="1" thickBot="1" x14ac:dyDescent="0.4">
      <c r="A27" s="517"/>
      <c r="B27" s="743"/>
      <c r="C27" s="786"/>
      <c r="D27" s="787"/>
      <c r="E27" s="743"/>
      <c r="F27" s="746"/>
      <c r="G27" s="746"/>
      <c r="H27" s="775"/>
      <c r="I27" s="776"/>
      <c r="J27" s="748"/>
      <c r="K27" s="775"/>
      <c r="L27" s="776"/>
      <c r="M27" s="748"/>
      <c r="N27" s="775"/>
      <c r="O27" s="776"/>
      <c r="P27" s="748"/>
      <c r="Q27" s="745"/>
      <c r="R27" s="746"/>
      <c r="S27" s="752"/>
    </row>
    <row r="28" spans="1:20" ht="23.25" customHeight="1" x14ac:dyDescent="0.5">
      <c r="A28" s="515" t="s">
        <v>27</v>
      </c>
      <c r="B28" s="801"/>
      <c r="C28" s="799"/>
      <c r="D28" s="812"/>
      <c r="E28" s="801"/>
      <c r="F28" s="799"/>
      <c r="G28" s="812"/>
      <c r="H28" s="801"/>
      <c r="I28" s="799"/>
      <c r="J28" s="812"/>
      <c r="K28" s="758"/>
      <c r="L28" s="754"/>
      <c r="M28" s="782"/>
      <c r="N28" s="758"/>
      <c r="O28" s="754"/>
      <c r="P28" s="782"/>
      <c r="Q28" s="800"/>
      <c r="R28" s="799"/>
      <c r="S28" s="815"/>
      <c r="T28" s="55"/>
    </row>
    <row r="29" spans="1:20" ht="23.25" customHeight="1" x14ac:dyDescent="0.5">
      <c r="A29" s="516"/>
      <c r="B29" s="801"/>
      <c r="C29" s="799"/>
      <c r="D29" s="812"/>
      <c r="E29" s="801"/>
      <c r="F29" s="799"/>
      <c r="G29" s="812"/>
      <c r="H29" s="801"/>
      <c r="I29" s="799"/>
      <c r="J29" s="812"/>
      <c r="K29" s="734"/>
      <c r="L29" s="732"/>
      <c r="M29" s="735"/>
      <c r="N29" s="734"/>
      <c r="O29" s="732"/>
      <c r="P29" s="735"/>
      <c r="Q29" s="800"/>
      <c r="R29" s="799"/>
      <c r="S29" s="815"/>
      <c r="T29" s="55"/>
    </row>
    <row r="30" spans="1:20" ht="23.25" customHeight="1" thickBot="1" x14ac:dyDescent="0.55000000000000004">
      <c r="A30" s="517"/>
      <c r="B30" s="801"/>
      <c r="C30" s="799"/>
      <c r="D30" s="812"/>
      <c r="E30" s="801"/>
      <c r="F30" s="799"/>
      <c r="G30" s="812"/>
      <c r="H30" s="801"/>
      <c r="I30" s="799"/>
      <c r="J30" s="812"/>
      <c r="K30" s="743"/>
      <c r="L30" s="746"/>
      <c r="M30" s="747"/>
      <c r="N30" s="743"/>
      <c r="O30" s="746"/>
      <c r="P30" s="747"/>
      <c r="Q30" s="800"/>
      <c r="R30" s="799"/>
      <c r="S30" s="815"/>
      <c r="T30" s="55"/>
    </row>
    <row r="31" spans="1:20" ht="23.25" customHeight="1" x14ac:dyDescent="0.5">
      <c r="A31" s="515" t="s">
        <v>27</v>
      </c>
      <c r="B31" s="754"/>
      <c r="C31" s="754"/>
      <c r="D31" s="782"/>
      <c r="E31" s="758"/>
      <c r="F31" s="754"/>
      <c r="G31" s="782"/>
      <c r="H31" s="758"/>
      <c r="I31" s="754"/>
      <c r="J31" s="782"/>
      <c r="K31" s="758"/>
      <c r="L31" s="754"/>
      <c r="M31" s="782"/>
      <c r="N31" s="758"/>
      <c r="O31" s="754"/>
      <c r="P31" s="782"/>
      <c r="Q31" s="758"/>
      <c r="R31" s="754"/>
      <c r="S31" s="770"/>
      <c r="T31" s="55"/>
    </row>
    <row r="32" spans="1:20" ht="22.5" customHeight="1" x14ac:dyDescent="0.5">
      <c r="A32" s="516"/>
      <c r="B32" s="732"/>
      <c r="C32" s="732"/>
      <c r="D32" s="735"/>
      <c r="E32" s="734"/>
      <c r="F32" s="732"/>
      <c r="G32" s="735"/>
      <c r="H32" s="734"/>
      <c r="I32" s="732"/>
      <c r="J32" s="735"/>
      <c r="K32" s="734"/>
      <c r="L32" s="732"/>
      <c r="M32" s="735"/>
      <c r="N32" s="734"/>
      <c r="O32" s="732"/>
      <c r="P32" s="735"/>
      <c r="Q32" s="734"/>
      <c r="R32" s="732"/>
      <c r="S32" s="741"/>
      <c r="T32" s="55"/>
    </row>
    <row r="33" spans="1:20" ht="23.25" customHeight="1" thickBot="1" x14ac:dyDescent="0.55000000000000004">
      <c r="A33" s="517"/>
      <c r="B33" s="820"/>
      <c r="C33" s="817"/>
      <c r="D33" s="819"/>
      <c r="E33" s="818"/>
      <c r="F33" s="817"/>
      <c r="G33" s="819"/>
      <c r="H33" s="820"/>
      <c r="I33" s="817"/>
      <c r="J33" s="819"/>
      <c r="K33" s="818"/>
      <c r="L33" s="817"/>
      <c r="M33" s="819"/>
      <c r="N33" s="820"/>
      <c r="O33" s="817"/>
      <c r="P33" s="819"/>
      <c r="Q33" s="818"/>
      <c r="R33" s="817"/>
      <c r="S33" s="823"/>
      <c r="T33" s="55"/>
    </row>
    <row r="34" spans="1:20" s="62" customFormat="1" ht="31" customHeight="1" thickBot="1" x14ac:dyDescent="0.4">
      <c r="A34" s="190" t="s">
        <v>28</v>
      </c>
      <c r="B34" s="56" t="s">
        <v>29</v>
      </c>
      <c r="C34" s="57" t="s">
        <v>30</v>
      </c>
      <c r="D34" s="58"/>
      <c r="E34" s="56"/>
      <c r="F34" s="57" t="s">
        <v>30</v>
      </c>
      <c r="G34" s="58"/>
      <c r="H34" s="56"/>
      <c r="I34" s="57" t="s">
        <v>30</v>
      </c>
      <c r="J34" s="58"/>
      <c r="K34" s="56"/>
      <c r="L34" s="57" t="s">
        <v>30</v>
      </c>
      <c r="M34" s="58"/>
      <c r="N34" s="56"/>
      <c r="O34" s="57" t="s">
        <v>30</v>
      </c>
      <c r="P34" s="58"/>
      <c r="Q34" s="59"/>
      <c r="R34" s="57" t="s">
        <v>30</v>
      </c>
      <c r="S34" s="60"/>
      <c r="T34" s="61"/>
    </row>
    <row r="35" spans="1:20" ht="25" customHeight="1" x14ac:dyDescent="0.35">
      <c r="A35" s="518" t="s">
        <v>45</v>
      </c>
      <c r="B35" s="831"/>
      <c r="C35" s="832"/>
      <c r="D35" s="833"/>
      <c r="E35" s="834"/>
      <c r="F35" s="835"/>
      <c r="G35" s="836"/>
      <c r="H35" s="834"/>
      <c r="I35" s="835"/>
      <c r="J35" s="837"/>
      <c r="K35" s="831"/>
      <c r="L35" s="832"/>
      <c r="M35" s="838"/>
      <c r="N35" s="839"/>
      <c r="O35" s="840"/>
      <c r="P35" s="841"/>
      <c r="Q35" s="834"/>
      <c r="R35" s="835"/>
      <c r="S35" s="842"/>
    </row>
    <row r="36" spans="1:20" ht="25" customHeight="1" thickBot="1" x14ac:dyDescent="0.4">
      <c r="A36" s="519"/>
      <c r="B36" s="843"/>
      <c r="C36" s="844"/>
      <c r="D36" s="844"/>
      <c r="E36" s="845"/>
      <c r="F36" s="846"/>
      <c r="G36" s="847"/>
      <c r="H36" s="845"/>
      <c r="I36" s="846"/>
      <c r="J36" s="846"/>
      <c r="K36" s="843"/>
      <c r="L36" s="848"/>
      <c r="M36" s="849"/>
      <c r="N36" s="850"/>
      <c r="O36" s="851"/>
      <c r="P36" s="852"/>
      <c r="Q36" s="845"/>
      <c r="R36" s="846"/>
      <c r="S36" s="847"/>
    </row>
    <row r="37" spans="1:20" ht="25" customHeight="1" x14ac:dyDescent="0.35">
      <c r="A37" s="518" t="s">
        <v>45</v>
      </c>
      <c r="B37" s="853"/>
      <c r="C37" s="854"/>
      <c r="D37" s="854"/>
      <c r="E37" s="855"/>
      <c r="F37" s="856"/>
      <c r="G37" s="857"/>
      <c r="H37" s="855"/>
      <c r="I37" s="856"/>
      <c r="J37" s="856"/>
      <c r="K37" s="853"/>
      <c r="L37" s="858"/>
      <c r="M37" s="859"/>
      <c r="N37" s="860"/>
      <c r="O37" s="861"/>
      <c r="P37" s="862"/>
      <c r="Q37" s="855"/>
      <c r="R37" s="856"/>
      <c r="S37" s="857"/>
    </row>
    <row r="38" spans="1:20" ht="25" customHeight="1" thickBot="1" x14ac:dyDescent="0.4">
      <c r="A38" s="519"/>
      <c r="B38" s="843"/>
      <c r="C38" s="844"/>
      <c r="D38" s="844"/>
      <c r="E38" s="845"/>
      <c r="F38" s="846"/>
      <c r="G38" s="847"/>
      <c r="H38" s="845"/>
      <c r="I38" s="846"/>
      <c r="J38" s="846"/>
      <c r="K38" s="843"/>
      <c r="L38" s="848"/>
      <c r="M38" s="849"/>
      <c r="N38" s="850"/>
      <c r="O38" s="851"/>
      <c r="P38" s="852"/>
      <c r="Q38" s="845"/>
      <c r="R38" s="846"/>
      <c r="S38" s="847"/>
    </row>
    <row r="39" spans="1:20" ht="24.75" customHeight="1" x14ac:dyDescent="0.35">
      <c r="A39" s="520" t="s">
        <v>45</v>
      </c>
      <c r="B39" s="194"/>
      <c r="C39" s="195"/>
      <c r="D39" s="196"/>
      <c r="E39" s="197"/>
      <c r="F39" s="198"/>
      <c r="G39" s="199"/>
      <c r="H39" s="83"/>
      <c r="I39" s="84"/>
      <c r="J39" s="84"/>
      <c r="K39" s="205"/>
      <c r="L39" s="84"/>
      <c r="M39" s="85"/>
      <c r="N39" s="205"/>
      <c r="O39" s="84"/>
      <c r="P39" s="85"/>
      <c r="Q39" s="205"/>
      <c r="R39" s="84"/>
      <c r="S39" s="85"/>
    </row>
    <row r="40" spans="1:20" ht="24.75" customHeight="1" thickBot="1" x14ac:dyDescent="0.4">
      <c r="A40" s="521"/>
      <c r="B40" s="74"/>
      <c r="C40" s="79"/>
      <c r="D40" s="79"/>
      <c r="E40" s="76"/>
      <c r="F40" s="77"/>
      <c r="G40" s="78"/>
      <c r="H40" s="86"/>
      <c r="I40" s="82"/>
      <c r="J40" s="82"/>
      <c r="K40" s="81"/>
      <c r="L40" s="82"/>
      <c r="M40" s="87"/>
      <c r="N40" s="81"/>
      <c r="O40" s="82"/>
      <c r="P40" s="87"/>
      <c r="Q40" s="81"/>
      <c r="R40" s="82"/>
      <c r="S40" s="87"/>
    </row>
    <row r="41" spans="1:20" ht="23.5" thickBot="1" x14ac:dyDescent="0.55000000000000004">
      <c r="A41" s="522" t="s">
        <v>46</v>
      </c>
      <c r="B41" s="523"/>
      <c r="C41" s="523"/>
      <c r="D41" s="523"/>
      <c r="E41" s="523"/>
      <c r="F41" s="523"/>
      <c r="G41" s="523"/>
      <c r="H41" s="523"/>
      <c r="I41" s="523"/>
      <c r="J41" s="523"/>
      <c r="K41" s="523"/>
      <c r="L41" s="523"/>
      <c r="M41" s="523"/>
      <c r="N41" s="523"/>
      <c r="O41" s="523"/>
      <c r="P41" s="523"/>
      <c r="Q41" s="523"/>
      <c r="R41" s="523"/>
      <c r="S41" s="524"/>
    </row>
  </sheetData>
  <customSheetViews>
    <customSheetView guid="{AF731A35-9978-4A72-829F-F3E8771EE2D4}" scale="55" showPageBreaks="1" printArea="1" view="pageLayout">
      <pageMargins left="0" right="0" top="0" bottom="0" header="0" footer="0"/>
      <printOptions horizontalCentered="1" verticalCentered="1"/>
      <pageSetup paperSize="9" scale="33" fitToWidth="0" fitToHeight="0" orientation="landscape" r:id="rId1"/>
      <headerFooter alignWithMargins="0">
        <oddFooter xml:space="preserve">&amp;Lerstellt/freigegeben: M. Mayrhofer&amp;CTourenplan vom :&amp;D&amp;RAusgabedatum: 27.06.06
</oddFooter>
      </headerFooter>
    </customSheetView>
  </customSheetViews>
  <mergeCells count="41">
    <mergeCell ref="A41:S41"/>
    <mergeCell ref="B1:D1"/>
    <mergeCell ref="E1:M1"/>
    <mergeCell ref="N1:P1"/>
    <mergeCell ref="Q1:S1"/>
    <mergeCell ref="A3:A5"/>
    <mergeCell ref="B3:D3"/>
    <mergeCell ref="E3:G3"/>
    <mergeCell ref="H3:J3"/>
    <mergeCell ref="K3:M3"/>
    <mergeCell ref="N3:P3"/>
    <mergeCell ref="A6:A8"/>
    <mergeCell ref="E6:G6"/>
    <mergeCell ref="K6:M6"/>
    <mergeCell ref="Q6:S6"/>
    <mergeCell ref="A9:A11"/>
    <mergeCell ref="B9:D9"/>
    <mergeCell ref="H9:J9"/>
    <mergeCell ref="K9:M9"/>
    <mergeCell ref="N9:P9"/>
    <mergeCell ref="A25:A27"/>
    <mergeCell ref="H25:J25"/>
    <mergeCell ref="K25:M25"/>
    <mergeCell ref="N25:P25"/>
    <mergeCell ref="A12:A14"/>
    <mergeCell ref="B12:D12"/>
    <mergeCell ref="H12:J12"/>
    <mergeCell ref="N12:P12"/>
    <mergeCell ref="A15:A17"/>
    <mergeCell ref="E15:G15"/>
    <mergeCell ref="K15:M15"/>
    <mergeCell ref="Q15:S15"/>
    <mergeCell ref="A18:A20"/>
    <mergeCell ref="B18:D18"/>
    <mergeCell ref="N18:P18"/>
    <mergeCell ref="A21:A23"/>
    <mergeCell ref="A28:A30"/>
    <mergeCell ref="A31:A33"/>
    <mergeCell ref="A35:A36"/>
    <mergeCell ref="A37:A38"/>
    <mergeCell ref="A39:A40"/>
  </mergeCells>
  <printOptions horizontalCentered="1" verticalCentered="1"/>
  <pageMargins left="0" right="0" top="0.31496062992125984" bottom="0" header="0.19685039370078741" footer="0.19685039370078741"/>
  <pageSetup paperSize="9" scale="33" fitToWidth="0" fitToHeight="0" orientation="landscape" r:id="rId2"/>
  <headerFooter alignWithMargins="0">
    <oddFooter xml:space="preserve">&amp;Lerstellt/freigegeben: M. Mayrhofer&amp;CTourenplan vom :&amp;D&amp;RAusgabedatum: 27.06.06
</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5F2E7-5447-4EFA-A793-2329C1D481F1}">
  <sheetPr codeName="Tabelle4">
    <pageSetUpPr fitToPage="1"/>
  </sheetPr>
  <dimension ref="A1:U72"/>
  <sheetViews>
    <sheetView view="pageLayout" zoomScale="55" zoomScaleNormal="55" zoomScaleSheetLayoutView="25" zoomScalePageLayoutView="55" workbookViewId="0">
      <selection activeCell="E12" sqref="E12"/>
    </sheetView>
  </sheetViews>
  <sheetFormatPr baseColWidth="10" defaultColWidth="14.81640625" defaultRowHeight="15.5" x14ac:dyDescent="0.35"/>
  <cols>
    <col min="1" max="1" width="45.1796875" style="6" bestFit="1" customWidth="1"/>
    <col min="2" max="2" width="31.81640625" style="6" customWidth="1"/>
    <col min="3" max="4" width="16.453125" style="6" customWidth="1"/>
    <col min="5" max="5" width="31.81640625" style="6" customWidth="1"/>
    <col min="6" max="7" width="16.453125" style="6" customWidth="1"/>
    <col min="8" max="8" width="30.54296875" style="6" customWidth="1"/>
    <col min="9" max="10" width="16.453125" style="6" customWidth="1"/>
    <col min="11" max="11" width="31.81640625" style="6" customWidth="1"/>
    <col min="12" max="13" width="16.453125" style="6" customWidth="1"/>
    <col min="14" max="14" width="31.81640625" style="6" customWidth="1"/>
    <col min="15" max="16" width="16.453125" style="6" customWidth="1"/>
    <col min="17" max="17" width="30.54296875" style="6" customWidth="1"/>
    <col min="18" max="19" width="16.453125" style="6" customWidth="1"/>
    <col min="20" max="20" width="11.26953125" style="6" customWidth="1"/>
    <col min="21" max="16384" width="14.81640625" style="6"/>
  </cols>
  <sheetData>
    <row r="1" spans="1:21" ht="56.25" customHeight="1" thickBot="1" x14ac:dyDescent="0.4">
      <c r="A1" s="209" t="s">
        <v>56</v>
      </c>
      <c r="B1" s="542" t="s">
        <v>14</v>
      </c>
      <c r="C1" s="543"/>
      <c r="D1" s="544"/>
      <c r="E1" s="545" t="s">
        <v>57</v>
      </c>
      <c r="F1" s="546"/>
      <c r="G1" s="546"/>
      <c r="H1" s="546"/>
      <c r="I1" s="546"/>
      <c r="J1" s="546"/>
      <c r="K1" s="546"/>
      <c r="L1" s="546"/>
      <c r="M1" s="547"/>
      <c r="N1" s="548">
        <f>_xlfn.ISOWEEKNUM(B2)</f>
        <v>15</v>
      </c>
      <c r="O1" s="549"/>
      <c r="P1" s="550"/>
      <c r="Q1" s="542" t="s">
        <v>58</v>
      </c>
      <c r="R1" s="543"/>
      <c r="S1" s="544"/>
    </row>
    <row r="2" spans="1:21" ht="30.5" thickBot="1" x14ac:dyDescent="0.65">
      <c r="A2" s="7"/>
      <c r="B2" s="172">
        <v>45754</v>
      </c>
      <c r="C2" s="173"/>
      <c r="D2" s="174"/>
      <c r="E2" s="172">
        <f>B2+1</f>
        <v>45755</v>
      </c>
      <c r="F2" s="183"/>
      <c r="G2" s="184"/>
      <c r="H2" s="172">
        <f t="shared" ref="H2" si="0">E2+1</f>
        <v>45756</v>
      </c>
      <c r="I2" s="183"/>
      <c r="J2" s="184"/>
      <c r="K2" s="172">
        <f t="shared" ref="K2" si="1">H2+1</f>
        <v>45757</v>
      </c>
      <c r="L2" s="183"/>
      <c r="M2" s="184"/>
      <c r="N2" s="172">
        <f t="shared" ref="N2" si="2">K2+1</f>
        <v>45758</v>
      </c>
      <c r="O2" s="183"/>
      <c r="P2" s="184"/>
      <c r="Q2" s="172">
        <f t="shared" ref="Q2" si="3">N2+1</f>
        <v>45759</v>
      </c>
      <c r="R2" s="183"/>
      <c r="S2" s="184"/>
    </row>
    <row r="3" spans="1:21" ht="23.25" customHeight="1" x14ac:dyDescent="0.5">
      <c r="A3" s="555" t="s">
        <v>59</v>
      </c>
      <c r="B3" s="900"/>
      <c r="C3" s="398"/>
      <c r="D3" s="399"/>
      <c r="E3" s="554" t="s">
        <v>201</v>
      </c>
      <c r="F3" s="552"/>
      <c r="G3" s="553"/>
      <c r="H3" s="554" t="s">
        <v>202</v>
      </c>
      <c r="I3" s="552"/>
      <c r="J3" s="553"/>
      <c r="K3" s="554"/>
      <c r="L3" s="552"/>
      <c r="M3" s="553"/>
      <c r="N3" s="554"/>
      <c r="O3" s="552"/>
      <c r="P3" s="553"/>
      <c r="Q3" s="407"/>
      <c r="R3" s="405"/>
      <c r="S3" s="883"/>
      <c r="T3" s="13"/>
      <c r="U3" s="14"/>
    </row>
    <row r="4" spans="1:21" ht="23.25" customHeight="1" x14ac:dyDescent="0.5">
      <c r="A4" s="556"/>
      <c r="B4" s="403"/>
      <c r="C4" s="901"/>
      <c r="D4" s="404"/>
      <c r="E4" s="424">
        <v>29844</v>
      </c>
      <c r="F4" s="902"/>
      <c r="G4" s="903" t="s">
        <v>203</v>
      </c>
      <c r="H4" s="424">
        <v>29748</v>
      </c>
      <c r="I4" s="902"/>
      <c r="J4" s="904" t="s">
        <v>204</v>
      </c>
      <c r="K4" s="424"/>
      <c r="L4" s="902"/>
      <c r="M4" s="425"/>
      <c r="N4" s="905"/>
      <c r="O4" s="902"/>
      <c r="P4" s="17"/>
      <c r="Q4" s="18"/>
      <c r="R4" s="902"/>
      <c r="S4" s="21"/>
      <c r="T4" s="14"/>
      <c r="U4" s="14"/>
    </row>
    <row r="5" spans="1:21" ht="23.25" customHeight="1" x14ac:dyDescent="0.5">
      <c r="A5" s="557"/>
      <c r="B5" s="402"/>
      <c r="C5" s="400"/>
      <c r="D5" s="401"/>
      <c r="E5" s="24" t="s">
        <v>170</v>
      </c>
      <c r="F5" s="23" t="s">
        <v>46</v>
      </c>
      <c r="G5" s="426">
        <v>0.33333333333333331</v>
      </c>
      <c r="H5" s="24" t="s">
        <v>170</v>
      </c>
      <c r="I5" s="23" t="s">
        <v>46</v>
      </c>
      <c r="J5" s="426">
        <v>0.33333333333333331</v>
      </c>
      <c r="K5" s="24"/>
      <c r="L5" s="23"/>
      <c r="M5" s="427"/>
      <c r="N5" s="23"/>
      <c r="O5" s="23"/>
      <c r="P5" s="408"/>
      <c r="Q5" s="24"/>
      <c r="R5" s="25"/>
      <c r="S5" s="28"/>
      <c r="T5" s="14"/>
      <c r="U5" s="14"/>
    </row>
    <row r="6" spans="1:21" ht="23.25" customHeight="1" x14ac:dyDescent="0.5">
      <c r="A6" s="560" t="s">
        <v>60</v>
      </c>
      <c r="B6" s="415"/>
      <c r="C6" s="29"/>
      <c r="D6" s="29"/>
      <c r="E6" s="525" t="s">
        <v>205</v>
      </c>
      <c r="F6" s="526"/>
      <c r="G6" s="531"/>
      <c r="H6" s="525"/>
      <c r="I6" s="526"/>
      <c r="J6" s="531"/>
      <c r="K6" s="525" t="s">
        <v>206</v>
      </c>
      <c r="L6" s="526"/>
      <c r="M6" s="531"/>
      <c r="N6" s="525" t="s">
        <v>207</v>
      </c>
      <c r="O6" s="526"/>
      <c r="P6" s="531"/>
      <c r="Q6" s="525"/>
      <c r="R6" s="526"/>
      <c r="S6" s="527"/>
      <c r="T6" s="14"/>
      <c r="U6" s="14"/>
    </row>
    <row r="7" spans="1:21" ht="23.25" customHeight="1" x14ac:dyDescent="0.35">
      <c r="A7" s="561"/>
      <c r="B7" s="31"/>
      <c r="C7" s="902"/>
      <c r="D7" s="902"/>
      <c r="E7" s="424">
        <v>29790</v>
      </c>
      <c r="F7" s="902"/>
      <c r="G7" s="884" t="s">
        <v>203</v>
      </c>
      <c r="H7" s="424"/>
      <c r="I7" s="902"/>
      <c r="J7" s="906"/>
      <c r="K7" s="424">
        <v>29767</v>
      </c>
      <c r="L7" s="902"/>
      <c r="M7" s="885" t="s">
        <v>208</v>
      </c>
      <c r="N7" s="424">
        <v>29784</v>
      </c>
      <c r="O7" s="902"/>
      <c r="P7" s="885" t="s">
        <v>208</v>
      </c>
      <c r="Q7" s="15"/>
      <c r="R7" s="902"/>
      <c r="S7" s="413"/>
    </row>
    <row r="8" spans="1:21" ht="23.25" customHeight="1" x14ac:dyDescent="0.35">
      <c r="A8" s="562"/>
      <c r="B8" s="22"/>
      <c r="C8" s="25"/>
      <c r="D8" s="25"/>
      <c r="E8" s="24" t="s">
        <v>170</v>
      </c>
      <c r="F8" s="23" t="s">
        <v>46</v>
      </c>
      <c r="G8" s="427">
        <v>0.375</v>
      </c>
      <c r="H8" s="24"/>
      <c r="I8" s="23"/>
      <c r="J8" s="426"/>
      <c r="K8" s="24" t="s">
        <v>170</v>
      </c>
      <c r="L8" s="23" t="s">
        <v>46</v>
      </c>
      <c r="M8" s="427">
        <v>0.35416666666666669</v>
      </c>
      <c r="N8" s="24" t="s">
        <v>170</v>
      </c>
      <c r="O8" s="23" t="s">
        <v>46</v>
      </c>
      <c r="P8" s="427">
        <v>0.375</v>
      </c>
      <c r="Q8" s="24"/>
      <c r="R8" s="23"/>
      <c r="S8" s="414"/>
    </row>
    <row r="9" spans="1:21" ht="23.25" customHeight="1" x14ac:dyDescent="0.35">
      <c r="A9" s="563" t="s">
        <v>61</v>
      </c>
      <c r="B9" s="530"/>
      <c r="C9" s="526"/>
      <c r="D9" s="531"/>
      <c r="E9" s="525"/>
      <c r="F9" s="526"/>
      <c r="G9" s="531"/>
      <c r="H9" s="537"/>
      <c r="I9" s="538"/>
      <c r="J9" s="539"/>
      <c r="K9" s="537"/>
      <c r="L9" s="538"/>
      <c r="M9" s="539"/>
      <c r="N9" s="525"/>
      <c r="O9" s="526"/>
      <c r="P9" s="531"/>
      <c r="Q9" s="30"/>
      <c r="R9" s="29"/>
      <c r="S9" s="32"/>
    </row>
    <row r="10" spans="1:21" ht="23.25" customHeight="1" x14ac:dyDescent="0.35">
      <c r="A10" s="564"/>
      <c r="B10" s="185"/>
      <c r="C10" s="907"/>
      <c r="D10" s="908"/>
      <c r="E10" s="424"/>
      <c r="F10" s="902"/>
      <c r="G10" s="425"/>
      <c r="H10" s="167"/>
      <c r="I10" s="909"/>
      <c r="J10" s="17"/>
      <c r="K10" s="910"/>
      <c r="L10" s="909"/>
      <c r="M10" s="17"/>
      <c r="N10" s="15"/>
      <c r="O10" s="902"/>
      <c r="P10" s="17"/>
      <c r="Q10" s="18"/>
      <c r="R10" s="902"/>
      <c r="S10" s="21"/>
    </row>
    <row r="11" spans="1:21" ht="23.25" customHeight="1" x14ac:dyDescent="0.35">
      <c r="A11" s="565"/>
      <c r="B11" s="22"/>
      <c r="C11" s="23"/>
      <c r="D11" s="416"/>
      <c r="E11" s="24"/>
      <c r="F11" s="23"/>
      <c r="G11" s="427"/>
      <c r="H11" s="397"/>
      <c r="I11" s="36"/>
      <c r="J11" s="27"/>
      <c r="K11" s="36"/>
      <c r="L11" s="36"/>
      <c r="M11" s="27"/>
      <c r="N11" s="24"/>
      <c r="O11" s="23"/>
      <c r="P11" s="408"/>
      <c r="Q11" s="24"/>
      <c r="R11" s="25"/>
      <c r="S11" s="28"/>
    </row>
    <row r="12" spans="1:21" ht="23.25" customHeight="1" x14ac:dyDescent="0.35">
      <c r="A12" s="558" t="s">
        <v>62</v>
      </c>
      <c r="B12" s="530"/>
      <c r="C12" s="526"/>
      <c r="D12" s="531"/>
      <c r="E12" s="409"/>
      <c r="F12" s="410"/>
      <c r="G12" s="410"/>
      <c r="H12" s="525"/>
      <c r="I12" s="526"/>
      <c r="J12" s="531"/>
      <c r="K12" s="29"/>
      <c r="L12" s="29"/>
      <c r="M12" s="37"/>
      <c r="N12" s="537"/>
      <c r="O12" s="538"/>
      <c r="P12" s="539"/>
      <c r="Q12" s="428"/>
      <c r="R12" s="906"/>
      <c r="S12" s="886"/>
    </row>
    <row r="13" spans="1:21" ht="23.25" customHeight="1" x14ac:dyDescent="0.35">
      <c r="A13" s="556"/>
      <c r="B13" s="185"/>
      <c r="C13" s="902"/>
      <c r="D13" s="17"/>
      <c r="E13" s="18"/>
      <c r="F13" s="902"/>
      <c r="G13" s="902"/>
      <c r="H13" s="15"/>
      <c r="I13" s="902"/>
      <c r="J13" s="20"/>
      <c r="K13" s="902"/>
      <c r="L13" s="902"/>
      <c r="M13" s="19"/>
      <c r="N13" s="33"/>
      <c r="O13" s="909"/>
      <c r="P13" s="17"/>
      <c r="Q13" s="18"/>
      <c r="R13" s="902"/>
      <c r="S13" s="21"/>
    </row>
    <row r="14" spans="1:21" ht="23.25" customHeight="1" x14ac:dyDescent="0.35">
      <c r="A14" s="557"/>
      <c r="B14" s="22"/>
      <c r="C14" s="23"/>
      <c r="D14" s="417"/>
      <c r="E14" s="24"/>
      <c r="F14" s="25"/>
      <c r="G14" s="25"/>
      <c r="H14" s="24"/>
      <c r="I14" s="23"/>
      <c r="J14" s="408"/>
      <c r="K14" s="23"/>
      <c r="L14" s="25"/>
      <c r="M14" s="26"/>
      <c r="N14" s="35"/>
      <c r="O14" s="36"/>
      <c r="P14" s="27"/>
      <c r="Q14" s="24"/>
      <c r="R14" s="25"/>
      <c r="S14" s="28"/>
    </row>
    <row r="15" spans="1:21" ht="23.25" customHeight="1" x14ac:dyDescent="0.35">
      <c r="A15" s="558" t="s">
        <v>62</v>
      </c>
      <c r="B15" s="31"/>
      <c r="C15" s="902"/>
      <c r="D15" s="902"/>
      <c r="E15" s="525"/>
      <c r="F15" s="526"/>
      <c r="G15" s="531"/>
      <c r="H15" s="428"/>
      <c r="I15" s="906"/>
      <c r="J15" s="906"/>
      <c r="K15" s="525"/>
      <c r="L15" s="526"/>
      <c r="M15" s="531"/>
      <c r="N15" s="30"/>
      <c r="O15" s="29"/>
      <c r="P15" s="37"/>
      <c r="Q15" s="525"/>
      <c r="R15" s="526"/>
      <c r="S15" s="527"/>
    </row>
    <row r="16" spans="1:21" ht="23.25" customHeight="1" x14ac:dyDescent="0.35">
      <c r="A16" s="556"/>
      <c r="B16" s="31"/>
      <c r="C16" s="902"/>
      <c r="D16" s="902"/>
      <c r="E16" s="15"/>
      <c r="F16" s="902"/>
      <c r="G16" s="20"/>
      <c r="H16" s="18"/>
      <c r="I16" s="902"/>
      <c r="J16" s="902"/>
      <c r="K16" s="15"/>
      <c r="L16" s="902"/>
      <c r="M16" s="20"/>
      <c r="N16" s="902"/>
      <c r="O16" s="902"/>
      <c r="P16" s="19"/>
      <c r="Q16" s="15"/>
      <c r="R16" s="902"/>
      <c r="S16" s="413"/>
    </row>
    <row r="17" spans="1:20" ht="23.25" customHeight="1" x14ac:dyDescent="0.35">
      <c r="A17" s="557"/>
      <c r="B17" s="22"/>
      <c r="C17" s="25"/>
      <c r="D17" s="25"/>
      <c r="E17" s="24"/>
      <c r="F17" s="23"/>
      <c r="G17" s="408"/>
      <c r="H17" s="24"/>
      <c r="I17" s="25"/>
      <c r="J17" s="419"/>
      <c r="K17" s="24"/>
      <c r="L17" s="23"/>
      <c r="M17" s="408"/>
      <c r="N17" s="24"/>
      <c r="O17" s="38"/>
      <c r="P17" s="39"/>
      <c r="Q17" s="24"/>
      <c r="R17" s="23"/>
      <c r="S17" s="414"/>
    </row>
    <row r="18" spans="1:20" ht="23.25" customHeight="1" x14ac:dyDescent="0.35">
      <c r="A18" s="558" t="s">
        <v>62</v>
      </c>
      <c r="B18" s="530"/>
      <c r="C18" s="526"/>
      <c r="D18" s="531"/>
      <c r="E18" s="409"/>
      <c r="F18" s="410"/>
      <c r="G18" s="411"/>
      <c r="H18" s="428"/>
      <c r="I18" s="906"/>
      <c r="J18" s="425"/>
      <c r="K18" s="906"/>
      <c r="L18" s="906"/>
      <c r="M18" s="906"/>
      <c r="N18" s="525"/>
      <c r="O18" s="526"/>
      <c r="P18" s="531"/>
      <c r="Q18" s="409"/>
      <c r="R18" s="410"/>
      <c r="S18" s="412"/>
    </row>
    <row r="19" spans="1:20" ht="23.25" customHeight="1" x14ac:dyDescent="0.35">
      <c r="A19" s="556"/>
      <c r="B19" s="185"/>
      <c r="C19" s="902"/>
      <c r="D19" s="17"/>
      <c r="E19" s="18"/>
      <c r="F19" s="902"/>
      <c r="G19" s="19"/>
      <c r="H19" s="18"/>
      <c r="I19" s="902"/>
      <c r="J19" s="19"/>
      <c r="K19" s="902"/>
      <c r="L19" s="902"/>
      <c r="M19" s="902"/>
      <c r="N19" s="15"/>
      <c r="O19" s="902"/>
      <c r="P19" s="20"/>
      <c r="Q19" s="18"/>
      <c r="R19" s="902"/>
      <c r="S19" s="21"/>
    </row>
    <row r="20" spans="1:20" ht="23.25" customHeight="1" x14ac:dyDescent="0.35">
      <c r="A20" s="557"/>
      <c r="B20" s="22"/>
      <c r="C20" s="23"/>
      <c r="D20" s="408"/>
      <c r="E20" s="24"/>
      <c r="F20" s="25"/>
      <c r="G20" s="26"/>
      <c r="H20" s="24"/>
      <c r="I20" s="25"/>
      <c r="J20" s="418"/>
      <c r="K20" s="23"/>
      <c r="L20" s="25"/>
      <c r="M20" s="419"/>
      <c r="N20" s="24"/>
      <c r="O20" s="420"/>
      <c r="P20" s="421"/>
      <c r="Q20" s="24"/>
      <c r="R20" s="25"/>
      <c r="S20" s="28"/>
    </row>
    <row r="21" spans="1:20" ht="23.25" customHeight="1" x14ac:dyDescent="0.35">
      <c r="A21" s="558" t="s">
        <v>62</v>
      </c>
      <c r="B21" s="415"/>
      <c r="C21" s="410"/>
      <c r="D21" s="410"/>
      <c r="E21" s="409"/>
      <c r="F21" s="410"/>
      <c r="G21" s="411"/>
      <c r="H21" s="409"/>
      <c r="I21" s="410"/>
      <c r="J21" s="411"/>
      <c r="K21" s="410"/>
      <c r="L21" s="410"/>
      <c r="M21" s="411"/>
      <c r="N21" s="410"/>
      <c r="O21" s="410"/>
      <c r="P21" s="411"/>
      <c r="Q21" s="409"/>
      <c r="R21" s="410"/>
      <c r="S21" s="412"/>
    </row>
    <row r="22" spans="1:20" ht="23.25" customHeight="1" x14ac:dyDescent="0.35">
      <c r="A22" s="556"/>
      <c r="B22" s="31"/>
      <c r="C22" s="902"/>
      <c r="D22" s="902"/>
      <c r="E22" s="18"/>
      <c r="F22" s="902"/>
      <c r="G22" s="19"/>
      <c r="H22" s="18"/>
      <c r="I22" s="902"/>
      <c r="J22" s="19"/>
      <c r="K22" s="902"/>
      <c r="L22" s="902"/>
      <c r="M22" s="19"/>
      <c r="N22" s="902"/>
      <c r="O22" s="902"/>
      <c r="P22" s="19"/>
      <c r="Q22" s="18"/>
      <c r="R22" s="902"/>
      <c r="S22" s="21"/>
    </row>
    <row r="23" spans="1:20" ht="23.25" customHeight="1" thickBot="1" x14ac:dyDescent="0.4">
      <c r="A23" s="559"/>
      <c r="B23" s="40"/>
      <c r="C23" s="41"/>
      <c r="D23" s="41"/>
      <c r="E23" s="42"/>
      <c r="F23" s="41"/>
      <c r="G23" s="43"/>
      <c r="H23" s="42"/>
      <c r="I23" s="41"/>
      <c r="J23" s="43"/>
      <c r="K23" s="44"/>
      <c r="L23" s="41"/>
      <c r="M23" s="43"/>
      <c r="N23" s="44"/>
      <c r="O23" s="422"/>
      <c r="P23" s="423"/>
      <c r="Q23" s="42"/>
      <c r="R23" s="41"/>
      <c r="S23" s="45"/>
    </row>
    <row r="24" spans="1:20" ht="5.25" customHeight="1" thickBot="1" x14ac:dyDescent="0.4">
      <c r="A24" s="46"/>
      <c r="B24" s="47"/>
      <c r="C24" s="48"/>
      <c r="D24" s="48"/>
      <c r="E24" s="47"/>
      <c r="F24" s="48"/>
      <c r="G24" s="48"/>
      <c r="H24" s="47"/>
      <c r="I24" s="48"/>
      <c r="J24" s="48"/>
      <c r="K24" s="47"/>
      <c r="L24" s="48"/>
      <c r="M24" s="48"/>
      <c r="N24" s="16"/>
      <c r="O24" s="16"/>
      <c r="P24" s="16"/>
      <c r="Q24" s="47"/>
      <c r="R24" s="48"/>
      <c r="S24" s="49"/>
    </row>
    <row r="25" spans="1:20" ht="23.25" customHeight="1" x14ac:dyDescent="0.35">
      <c r="A25" s="515" t="s">
        <v>27</v>
      </c>
      <c r="B25" s="405"/>
      <c r="C25" s="405"/>
      <c r="D25" s="406"/>
      <c r="E25" s="405"/>
      <c r="F25" s="405"/>
      <c r="G25" s="405"/>
      <c r="H25" s="532"/>
      <c r="I25" s="533"/>
      <c r="J25" s="534"/>
      <c r="K25" s="532"/>
      <c r="L25" s="533"/>
      <c r="M25" s="534"/>
      <c r="N25" s="532"/>
      <c r="O25" s="533"/>
      <c r="P25" s="534"/>
      <c r="Q25" s="50"/>
      <c r="R25" s="51"/>
      <c r="S25" s="52"/>
    </row>
    <row r="26" spans="1:20" ht="22.5" customHeight="1" x14ac:dyDescent="0.35">
      <c r="A26" s="516"/>
      <c r="B26" s="16"/>
      <c r="C26" s="16"/>
      <c r="D26" s="19"/>
      <c r="E26" s="16"/>
      <c r="F26" s="16"/>
      <c r="G26" s="16"/>
      <c r="H26" s="33"/>
      <c r="I26" s="34"/>
      <c r="J26" s="17"/>
      <c r="K26" s="33"/>
      <c r="L26" s="34"/>
      <c r="M26" s="17"/>
      <c r="N26" s="33"/>
      <c r="O26" s="34"/>
      <c r="P26" s="17"/>
      <c r="Q26" s="18"/>
      <c r="R26" s="16"/>
      <c r="S26" s="21"/>
    </row>
    <row r="27" spans="1:20" ht="23.25" customHeight="1" thickBot="1" x14ac:dyDescent="0.4">
      <c r="A27" s="517"/>
      <c r="B27" s="23"/>
      <c r="C27" s="38"/>
      <c r="D27" s="39"/>
      <c r="E27" s="23"/>
      <c r="F27" s="25"/>
      <c r="G27" s="25"/>
      <c r="H27" s="35"/>
      <c r="I27" s="36"/>
      <c r="J27" s="27"/>
      <c r="K27" s="35"/>
      <c r="L27" s="36"/>
      <c r="M27" s="27"/>
      <c r="N27" s="35"/>
      <c r="O27" s="36"/>
      <c r="P27" s="27"/>
      <c r="Q27" s="24"/>
      <c r="R27" s="25"/>
      <c r="S27" s="28"/>
    </row>
    <row r="28" spans="1:20" ht="23.25" customHeight="1" x14ac:dyDescent="0.5">
      <c r="A28" s="515" t="s">
        <v>27</v>
      </c>
      <c r="B28" s="47"/>
      <c r="C28" s="48"/>
      <c r="D28" s="53"/>
      <c r="E28" s="47"/>
      <c r="F28" s="48"/>
      <c r="G28" s="53"/>
      <c r="H28" s="47"/>
      <c r="I28" s="48"/>
      <c r="J28" s="53"/>
      <c r="K28" s="30"/>
      <c r="L28" s="29"/>
      <c r="M28" s="37"/>
      <c r="N28" s="30"/>
      <c r="O28" s="29"/>
      <c r="P28" s="37"/>
      <c r="Q28" s="54"/>
      <c r="R28" s="48"/>
      <c r="S28" s="49"/>
      <c r="T28" s="55"/>
    </row>
    <row r="29" spans="1:20" ht="23.25" customHeight="1" x14ac:dyDescent="0.5">
      <c r="A29" s="516"/>
      <c r="B29" s="47"/>
      <c r="C29" s="48"/>
      <c r="D29" s="53"/>
      <c r="E29" s="47"/>
      <c r="F29" s="48"/>
      <c r="G29" s="53"/>
      <c r="H29" s="47"/>
      <c r="I29" s="48"/>
      <c r="J29" s="53"/>
      <c r="K29" s="18"/>
      <c r="L29" s="16"/>
      <c r="M29" s="19"/>
      <c r="N29" s="18"/>
      <c r="O29" s="16"/>
      <c r="P29" s="19"/>
      <c r="Q29" s="54"/>
      <c r="R29" s="48"/>
      <c r="S29" s="49"/>
      <c r="T29" s="55"/>
    </row>
    <row r="30" spans="1:20" ht="23.25" customHeight="1" thickBot="1" x14ac:dyDescent="0.55000000000000004">
      <c r="A30" s="517"/>
      <c r="B30" s="47"/>
      <c r="C30" s="48"/>
      <c r="D30" s="53"/>
      <c r="E30" s="47"/>
      <c r="F30" s="48"/>
      <c r="G30" s="53"/>
      <c r="H30" s="47"/>
      <c r="I30" s="48"/>
      <c r="J30" s="53"/>
      <c r="K30" s="23"/>
      <c r="L30" s="25"/>
      <c r="M30" s="26"/>
      <c r="N30" s="23"/>
      <c r="O30" s="25"/>
      <c r="P30" s="26"/>
      <c r="Q30" s="54"/>
      <c r="R30" s="48"/>
      <c r="S30" s="49"/>
      <c r="T30" s="55"/>
    </row>
    <row r="31" spans="1:20" ht="23.25" customHeight="1" x14ac:dyDescent="0.5">
      <c r="A31" s="515" t="s">
        <v>27</v>
      </c>
      <c r="B31" s="29"/>
      <c r="C31" s="29"/>
      <c r="D31" s="37"/>
      <c r="E31" s="30"/>
      <c r="F31" s="29"/>
      <c r="G31" s="37"/>
      <c r="H31" s="30"/>
      <c r="I31" s="29"/>
      <c r="J31" s="37"/>
      <c r="K31" s="30"/>
      <c r="L31" s="29"/>
      <c r="M31" s="37"/>
      <c r="N31" s="30"/>
      <c r="O31" s="29"/>
      <c r="P31" s="37"/>
      <c r="Q31" s="30"/>
      <c r="R31" s="29"/>
      <c r="S31" s="32"/>
      <c r="T31" s="55"/>
    </row>
    <row r="32" spans="1:20" ht="22.5" customHeight="1" x14ac:dyDescent="0.5">
      <c r="A32" s="516"/>
      <c r="B32" s="16"/>
      <c r="C32" s="16"/>
      <c r="D32" s="19"/>
      <c r="E32" s="18"/>
      <c r="F32" s="16"/>
      <c r="G32" s="19"/>
      <c r="H32" s="18"/>
      <c r="I32" s="16"/>
      <c r="J32" s="19"/>
      <c r="K32" s="18"/>
      <c r="L32" s="16"/>
      <c r="M32" s="19"/>
      <c r="N32" s="18"/>
      <c r="O32" s="16"/>
      <c r="P32" s="19"/>
      <c r="Q32" s="18"/>
      <c r="R32" s="16"/>
      <c r="S32" s="21"/>
      <c r="T32" s="55"/>
    </row>
    <row r="33" spans="1:20" ht="23.25" customHeight="1" thickBot="1" x14ac:dyDescent="0.55000000000000004">
      <c r="A33" s="517"/>
      <c r="B33" s="44"/>
      <c r="C33" s="41"/>
      <c r="D33" s="43"/>
      <c r="E33" s="42"/>
      <c r="F33" s="41"/>
      <c r="G33" s="43"/>
      <c r="H33" s="44"/>
      <c r="I33" s="41"/>
      <c r="J33" s="43"/>
      <c r="K33" s="42"/>
      <c r="L33" s="41"/>
      <c r="M33" s="43"/>
      <c r="N33" s="44"/>
      <c r="O33" s="41"/>
      <c r="P33" s="43"/>
      <c r="Q33" s="42"/>
      <c r="R33" s="41"/>
      <c r="S33" s="45"/>
      <c r="T33" s="55"/>
    </row>
    <row r="34" spans="1:20" s="299" customFormat="1" ht="31" customHeight="1" thickBot="1" x14ac:dyDescent="0.4">
      <c r="A34" s="297" t="s">
        <v>28</v>
      </c>
      <c r="B34" s="59" t="s">
        <v>29</v>
      </c>
      <c r="C34" s="887" t="s">
        <v>30</v>
      </c>
      <c r="D34" s="60" t="s">
        <v>137</v>
      </c>
      <c r="E34" s="56" t="s">
        <v>29</v>
      </c>
      <c r="F34" s="57" t="s">
        <v>30</v>
      </c>
      <c r="G34" s="58" t="s">
        <v>138</v>
      </c>
      <c r="H34" s="56" t="s">
        <v>29</v>
      </c>
      <c r="I34" s="57" t="s">
        <v>30</v>
      </c>
      <c r="J34" s="58" t="s">
        <v>139</v>
      </c>
      <c r="K34" s="56" t="s">
        <v>29</v>
      </c>
      <c r="L34" s="57" t="s">
        <v>30</v>
      </c>
      <c r="M34" s="58" t="s">
        <v>139</v>
      </c>
      <c r="N34" s="56" t="s">
        <v>29</v>
      </c>
      <c r="O34" s="57" t="s">
        <v>30</v>
      </c>
      <c r="P34" s="58" t="s">
        <v>139</v>
      </c>
      <c r="Q34" s="56" t="s">
        <v>29</v>
      </c>
      <c r="R34" s="57" t="s">
        <v>30</v>
      </c>
      <c r="S34" s="60"/>
      <c r="T34" s="298"/>
    </row>
    <row r="35" spans="1:20" ht="25" customHeight="1" x14ac:dyDescent="0.35">
      <c r="A35" s="518" t="s">
        <v>45</v>
      </c>
      <c r="B35" s="888" t="s">
        <v>203</v>
      </c>
      <c r="C35" s="430">
        <v>17.989999999999998</v>
      </c>
      <c r="D35" s="889"/>
      <c r="E35" s="890" t="s">
        <v>204</v>
      </c>
      <c r="F35" s="430">
        <v>17.72</v>
      </c>
      <c r="G35" s="889"/>
      <c r="H35" s="429"/>
      <c r="I35" s="431"/>
      <c r="J35" s="891"/>
      <c r="K35" s="892"/>
      <c r="L35" s="72"/>
      <c r="M35" s="206"/>
      <c r="N35" s="893"/>
      <c r="O35" s="894"/>
      <c r="P35" s="895"/>
      <c r="Q35" s="893"/>
      <c r="R35" s="894"/>
      <c r="S35" s="895"/>
    </row>
    <row r="36" spans="1:20" ht="25" customHeight="1" thickBot="1" x14ac:dyDescent="0.4">
      <c r="A36" s="519"/>
      <c r="B36" s="81" t="s">
        <v>46</v>
      </c>
      <c r="C36" s="432">
        <v>2948</v>
      </c>
      <c r="D36" s="433"/>
      <c r="E36" s="81" t="s">
        <v>46</v>
      </c>
      <c r="F36" s="432">
        <v>2479.9299999999998</v>
      </c>
      <c r="G36" s="433"/>
      <c r="H36" s="81"/>
      <c r="I36" s="434"/>
      <c r="J36" s="435"/>
      <c r="K36" s="81" t="s">
        <v>46</v>
      </c>
      <c r="L36" s="436"/>
      <c r="M36" s="437"/>
      <c r="N36" s="896" t="s">
        <v>46</v>
      </c>
      <c r="O36" s="897"/>
      <c r="P36" s="898"/>
      <c r="Q36" s="896" t="s">
        <v>46</v>
      </c>
      <c r="R36" s="897"/>
      <c r="S36" s="898"/>
    </row>
    <row r="37" spans="1:20" ht="25" customHeight="1" x14ac:dyDescent="0.35">
      <c r="A37" s="520" t="s">
        <v>45</v>
      </c>
      <c r="B37" s="892"/>
      <c r="C37" s="72"/>
      <c r="D37" s="206"/>
      <c r="E37" s="899" t="s">
        <v>208</v>
      </c>
      <c r="F37" s="430">
        <v>12.64</v>
      </c>
      <c r="G37" s="889"/>
      <c r="H37" s="429"/>
      <c r="I37" s="431"/>
      <c r="J37" s="891"/>
      <c r="K37" s="892"/>
      <c r="L37" s="72"/>
      <c r="M37" s="206"/>
      <c r="N37" s="893"/>
      <c r="O37" s="894"/>
      <c r="P37" s="895"/>
      <c r="Q37" s="893"/>
      <c r="R37" s="894"/>
      <c r="S37" s="895"/>
    </row>
    <row r="38" spans="1:20" ht="25" customHeight="1" thickBot="1" x14ac:dyDescent="0.4">
      <c r="A38" s="521"/>
      <c r="B38" s="81" t="s">
        <v>46</v>
      </c>
      <c r="C38" s="436"/>
      <c r="D38" s="437"/>
      <c r="E38" s="81" t="s">
        <v>46</v>
      </c>
      <c r="F38" s="432">
        <v>1990</v>
      </c>
      <c r="G38" s="433"/>
      <c r="H38" s="81"/>
      <c r="I38" s="434"/>
      <c r="J38" s="435"/>
      <c r="K38" s="81" t="s">
        <v>46</v>
      </c>
      <c r="L38" s="436"/>
      <c r="M38" s="437"/>
      <c r="N38" s="896" t="s">
        <v>46</v>
      </c>
      <c r="O38" s="897"/>
      <c r="P38" s="898"/>
      <c r="Q38" s="896" t="s">
        <v>46</v>
      </c>
      <c r="R38" s="897"/>
      <c r="S38" s="898"/>
    </row>
    <row r="39" spans="1:20" ht="60" customHeight="1" thickBot="1" x14ac:dyDescent="0.55000000000000004">
      <c r="A39" s="522" t="s">
        <v>46</v>
      </c>
      <c r="B39" s="523"/>
      <c r="C39" s="523"/>
      <c r="D39" s="523"/>
      <c r="E39" s="523"/>
      <c r="F39" s="523"/>
      <c r="G39" s="523"/>
      <c r="H39" s="523"/>
      <c r="I39" s="523"/>
      <c r="J39" s="523"/>
      <c r="K39" s="523"/>
      <c r="L39" s="523"/>
      <c r="M39" s="523"/>
      <c r="N39" s="523"/>
      <c r="O39" s="523"/>
      <c r="P39" s="523"/>
      <c r="Q39" s="523"/>
      <c r="R39" s="523"/>
      <c r="S39" s="524"/>
    </row>
    <row r="56" spans="2:16" x14ac:dyDescent="0.35">
      <c r="B56" s="353"/>
      <c r="D56" s="354"/>
      <c r="E56" s="353"/>
      <c r="G56" s="354"/>
      <c r="H56" s="353"/>
      <c r="J56" s="354"/>
      <c r="K56" s="353"/>
      <c r="M56" s="354"/>
      <c r="N56" s="353"/>
      <c r="P56" s="354"/>
    </row>
    <row r="57" spans="2:16" x14ac:dyDescent="0.35">
      <c r="D57" s="301"/>
      <c r="G57" s="301"/>
      <c r="J57" s="301"/>
      <c r="M57" s="301"/>
      <c r="P57" s="355"/>
    </row>
    <row r="59" spans="2:16" x14ac:dyDescent="0.35">
      <c r="B59" s="353"/>
      <c r="D59" s="354"/>
      <c r="E59" s="353"/>
      <c r="G59" s="354"/>
      <c r="H59" s="353"/>
      <c r="J59" s="354"/>
      <c r="K59" s="353"/>
      <c r="M59" s="354"/>
    </row>
    <row r="60" spans="2:16" x14ac:dyDescent="0.35">
      <c r="D60" s="301"/>
      <c r="G60" s="301"/>
      <c r="J60" s="301"/>
      <c r="M60" s="301"/>
    </row>
    <row r="62" spans="2:16" x14ac:dyDescent="0.35">
      <c r="B62" s="353"/>
      <c r="D62" s="354"/>
      <c r="E62" s="353"/>
      <c r="G62" s="354"/>
      <c r="H62" s="353"/>
      <c r="J62" s="354"/>
      <c r="K62" s="353"/>
      <c r="M62" s="354"/>
    </row>
    <row r="63" spans="2:16" x14ac:dyDescent="0.35">
      <c r="D63" s="301"/>
      <c r="G63" s="355"/>
      <c r="J63" s="301"/>
      <c r="M63" s="301"/>
    </row>
    <row r="65" spans="2:13" x14ac:dyDescent="0.35">
      <c r="B65" s="353"/>
      <c r="D65" s="354"/>
      <c r="E65" s="353"/>
      <c r="G65" s="354"/>
      <c r="H65" s="353"/>
      <c r="J65" s="354"/>
      <c r="K65" s="353"/>
      <c r="M65" s="354"/>
    </row>
    <row r="66" spans="2:13" x14ac:dyDescent="0.35">
      <c r="D66" s="301"/>
      <c r="G66" s="301"/>
      <c r="J66" s="301"/>
      <c r="M66" s="301"/>
    </row>
    <row r="68" spans="2:13" x14ac:dyDescent="0.35">
      <c r="B68" s="353"/>
      <c r="D68" s="354"/>
      <c r="E68" s="353"/>
      <c r="G68" s="354"/>
      <c r="H68" s="353"/>
      <c r="J68" s="354"/>
    </row>
    <row r="69" spans="2:13" x14ac:dyDescent="0.35">
      <c r="D69" s="301"/>
      <c r="G69" s="301"/>
      <c r="J69" s="301"/>
    </row>
    <row r="71" spans="2:13" x14ac:dyDescent="0.35">
      <c r="E71" s="353"/>
      <c r="G71" s="354"/>
      <c r="H71" s="353"/>
      <c r="J71" s="354"/>
    </row>
    <row r="72" spans="2:13" x14ac:dyDescent="0.35">
      <c r="G72" s="301"/>
      <c r="J72" s="301"/>
    </row>
  </sheetData>
  <customSheetViews>
    <customSheetView guid="{AF731A35-9978-4A72-829F-F3E8771EE2D4}" scale="55" showPageBreaks="1" fitToPage="1" printArea="1" view="pageLayout">
      <selection activeCell="E22" sqref="E22"/>
      <pageMargins left="0" right="0" top="0" bottom="0" header="0" footer="0"/>
      <printOptions horizontalCentered="1" verticalCentered="1"/>
      <pageSetup paperSize="9" scale="33" fitToHeight="2" orientation="landscape" r:id="rId1"/>
      <headerFooter alignWithMargins="0">
        <oddFooter xml:space="preserve">&amp;Lerstellt/freigegeben: M. Mayrhofer&amp;CTourenplan vom :&amp;D&amp;RAusgabedatum: 27.06.06
</oddFooter>
      </headerFooter>
    </customSheetView>
  </customSheetViews>
  <mergeCells count="42">
    <mergeCell ref="B1:D1"/>
    <mergeCell ref="E1:M1"/>
    <mergeCell ref="N1:P1"/>
    <mergeCell ref="Q1:S1"/>
    <mergeCell ref="A3:A5"/>
    <mergeCell ref="E3:G3"/>
    <mergeCell ref="H3:J3"/>
    <mergeCell ref="K3:M3"/>
    <mergeCell ref="N3:P3"/>
    <mergeCell ref="A6:A8"/>
    <mergeCell ref="E6:G6"/>
    <mergeCell ref="K6:M6"/>
    <mergeCell ref="Q6:S6"/>
    <mergeCell ref="A9:A11"/>
    <mergeCell ref="B9:D9"/>
    <mergeCell ref="H9:J9"/>
    <mergeCell ref="K9:M9"/>
    <mergeCell ref="N9:P9"/>
    <mergeCell ref="H6:J6"/>
    <mergeCell ref="N6:P6"/>
    <mergeCell ref="E9:G9"/>
    <mergeCell ref="A12:A14"/>
    <mergeCell ref="B12:D12"/>
    <mergeCell ref="H12:J12"/>
    <mergeCell ref="N12:P12"/>
    <mergeCell ref="A15:A17"/>
    <mergeCell ref="E15:G15"/>
    <mergeCell ref="K15:M15"/>
    <mergeCell ref="A28:A30"/>
    <mergeCell ref="A31:A33"/>
    <mergeCell ref="A35:A36"/>
    <mergeCell ref="A37:A38"/>
    <mergeCell ref="A39:S39"/>
    <mergeCell ref="K25:M25"/>
    <mergeCell ref="Q15:S15"/>
    <mergeCell ref="A18:A20"/>
    <mergeCell ref="B18:D18"/>
    <mergeCell ref="N18:P18"/>
    <mergeCell ref="A21:A23"/>
    <mergeCell ref="N25:P25"/>
    <mergeCell ref="A25:A27"/>
    <mergeCell ref="H25:J25"/>
  </mergeCells>
  <printOptions horizontalCentered="1" verticalCentered="1"/>
  <pageMargins left="0" right="0" top="0.31496062992125984" bottom="0" header="0.19685039370078741" footer="0.19685039370078741"/>
  <pageSetup paperSize="9" scale="33" fitToHeight="2" orientation="landscape" r:id="rId2"/>
  <headerFooter alignWithMargins="0">
    <oddFooter xml:space="preserve">&amp;Lerstellt/freigegeben: M. Mayrhofer&amp;CTourenplan vom :&amp;D&amp;RAusgabedatum: 27.06.06
</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731F9-6BDE-41D8-B9CA-DC3BCBD1410B}">
  <sheetPr codeName="Tabelle11"/>
  <dimension ref="A1:U39"/>
  <sheetViews>
    <sheetView view="pageLayout" zoomScale="55" zoomScaleNormal="55" zoomScaleSheetLayoutView="25" zoomScalePageLayoutView="55" workbookViewId="0">
      <selection activeCell="C8" sqref="C8"/>
    </sheetView>
  </sheetViews>
  <sheetFormatPr baseColWidth="10" defaultColWidth="14.81640625" defaultRowHeight="15.5" x14ac:dyDescent="0.35"/>
  <cols>
    <col min="1" max="1" width="45.1796875" style="6" bestFit="1" customWidth="1"/>
    <col min="2" max="2" width="31.81640625" style="6" customWidth="1"/>
    <col min="3" max="4" width="16.453125" style="6" customWidth="1"/>
    <col min="5" max="5" width="31.81640625" style="6" customWidth="1"/>
    <col min="6" max="7" width="16.453125" style="6" customWidth="1"/>
    <col min="8" max="8" width="30.54296875" style="6" customWidth="1"/>
    <col min="9" max="10" width="16.453125" style="6" customWidth="1"/>
    <col min="11" max="11" width="31.81640625" style="6" customWidth="1"/>
    <col min="12" max="13" width="16.453125" style="6" customWidth="1"/>
    <col min="14" max="14" width="31.81640625" style="6" customWidth="1"/>
    <col min="15" max="16" width="16.453125" style="6" customWidth="1"/>
    <col min="17" max="17" width="30.54296875" style="6" customWidth="1"/>
    <col min="18" max="19" width="16.453125" style="6" customWidth="1"/>
    <col min="20" max="20" width="11.26953125" style="6" customWidth="1"/>
    <col min="21" max="16384" width="14.81640625" style="6"/>
  </cols>
  <sheetData>
    <row r="1" spans="1:21" ht="56.25" customHeight="1" thickBot="1" x14ac:dyDescent="0.4">
      <c r="A1" s="209" t="s">
        <v>63</v>
      </c>
      <c r="B1" s="542" t="s">
        <v>14</v>
      </c>
      <c r="C1" s="543"/>
      <c r="D1" s="544"/>
      <c r="E1" s="545" t="s">
        <v>64</v>
      </c>
      <c r="F1" s="546"/>
      <c r="G1" s="546"/>
      <c r="H1" s="546"/>
      <c r="I1" s="546"/>
      <c r="J1" s="546"/>
      <c r="K1" s="546"/>
      <c r="L1" s="546"/>
      <c r="M1" s="547"/>
      <c r="N1" s="548">
        <f>_xlfn.ISOWEEKNUM(B2)</f>
        <v>15</v>
      </c>
      <c r="O1" s="549"/>
      <c r="P1" s="550"/>
      <c r="Q1" s="542" t="s">
        <v>65</v>
      </c>
      <c r="R1" s="543"/>
      <c r="S1" s="544"/>
    </row>
    <row r="2" spans="1:21" ht="30.5" thickBot="1" x14ac:dyDescent="0.65">
      <c r="A2" s="165"/>
      <c r="B2" s="162">
        <v>45754</v>
      </c>
      <c r="C2" s="163"/>
      <c r="D2" s="164"/>
      <c r="E2" s="162">
        <f>B2+1</f>
        <v>45755</v>
      </c>
      <c r="F2" s="8"/>
      <c r="G2" s="9"/>
      <c r="H2" s="162">
        <f t="shared" ref="H2" si="0">E2+1</f>
        <v>45756</v>
      </c>
      <c r="I2" s="8"/>
      <c r="J2" s="9"/>
      <c r="K2" s="162">
        <f t="shared" ref="K2" si="1">H2+1</f>
        <v>45757</v>
      </c>
      <c r="L2" s="8"/>
      <c r="M2" s="9"/>
      <c r="N2" s="162">
        <f t="shared" ref="N2" si="2">K2+1</f>
        <v>45758</v>
      </c>
      <c r="O2" s="8"/>
      <c r="P2" s="9"/>
      <c r="Q2" s="162">
        <f t="shared" ref="Q2" si="3">N2+1</f>
        <v>45759</v>
      </c>
      <c r="R2" s="8"/>
      <c r="S2" s="9"/>
    </row>
    <row r="3" spans="1:21" ht="23.25" customHeight="1" x14ac:dyDescent="0.5">
      <c r="A3" s="566" t="s">
        <v>66</v>
      </c>
      <c r="B3" s="720"/>
      <c r="C3" s="720"/>
      <c r="D3" s="721"/>
      <c r="E3" s="722"/>
      <c r="F3" s="723"/>
      <c r="G3" s="724"/>
      <c r="H3" s="722"/>
      <c r="I3" s="720"/>
      <c r="J3" s="721"/>
      <c r="K3" s="725"/>
      <c r="L3" s="726"/>
      <c r="M3" s="727"/>
      <c r="N3" s="722"/>
      <c r="O3" s="720"/>
      <c r="P3" s="721"/>
      <c r="Q3" s="728"/>
      <c r="R3" s="729"/>
      <c r="S3" s="730"/>
      <c r="T3" s="13"/>
      <c r="U3" s="14"/>
    </row>
    <row r="4" spans="1:21" ht="23.25" customHeight="1" x14ac:dyDescent="0.5">
      <c r="A4" s="567"/>
      <c r="B4" s="783"/>
      <c r="C4" s="732"/>
      <c r="D4" s="733"/>
      <c r="E4" s="734"/>
      <c r="F4" s="732"/>
      <c r="G4" s="735"/>
      <c r="H4" s="736"/>
      <c r="I4" s="732"/>
      <c r="J4" s="737"/>
      <c r="K4" s="738"/>
      <c r="L4" s="739"/>
      <c r="M4" s="740"/>
      <c r="N4" s="736"/>
      <c r="O4" s="732"/>
      <c r="P4" s="733"/>
      <c r="Q4" s="734"/>
      <c r="R4" s="732"/>
      <c r="S4" s="741"/>
      <c r="T4" s="14"/>
      <c r="U4" s="14"/>
    </row>
    <row r="5" spans="1:21" ht="23.25" customHeight="1" x14ac:dyDescent="0.5">
      <c r="A5" s="568"/>
      <c r="B5" s="743"/>
      <c r="C5" s="743"/>
      <c r="D5" s="744"/>
      <c r="E5" s="745"/>
      <c r="F5" s="746"/>
      <c r="G5" s="747"/>
      <c r="H5" s="745"/>
      <c r="I5" s="743"/>
      <c r="J5" s="748"/>
      <c r="K5" s="749"/>
      <c r="L5" s="750"/>
      <c r="M5" s="751"/>
      <c r="N5" s="743"/>
      <c r="O5" s="743"/>
      <c r="P5" s="744"/>
      <c r="Q5" s="745"/>
      <c r="R5" s="746"/>
      <c r="S5" s="752"/>
      <c r="T5" s="14"/>
      <c r="U5" s="14"/>
    </row>
    <row r="6" spans="1:21" ht="23.25" customHeight="1" x14ac:dyDescent="0.5">
      <c r="A6" s="569" t="s">
        <v>67</v>
      </c>
      <c r="B6" s="765"/>
      <c r="C6" s="754"/>
      <c r="D6" s="754"/>
      <c r="E6" s="755"/>
      <c r="F6" s="756"/>
      <c r="G6" s="757"/>
      <c r="H6" s="758"/>
      <c r="I6" s="754"/>
      <c r="J6" s="754"/>
      <c r="K6" s="755"/>
      <c r="L6" s="756"/>
      <c r="M6" s="757"/>
      <c r="N6" s="758"/>
      <c r="O6" s="754"/>
      <c r="P6" s="754"/>
      <c r="Q6" s="755"/>
      <c r="R6" s="756"/>
      <c r="S6" s="759"/>
      <c r="T6" s="14"/>
      <c r="U6" s="14"/>
    </row>
    <row r="7" spans="1:21" ht="23.25" customHeight="1" x14ac:dyDescent="0.35">
      <c r="A7" s="567"/>
      <c r="B7" s="732"/>
      <c r="C7" s="732"/>
      <c r="D7" s="732"/>
      <c r="E7" s="736"/>
      <c r="F7" s="732"/>
      <c r="G7" s="737"/>
      <c r="H7" s="734"/>
      <c r="I7" s="732"/>
      <c r="J7" s="732"/>
      <c r="K7" s="736"/>
      <c r="L7" s="732"/>
      <c r="M7" s="733"/>
      <c r="N7" s="734"/>
      <c r="O7" s="732"/>
      <c r="P7" s="732"/>
      <c r="Q7" s="736"/>
      <c r="R7" s="732"/>
      <c r="S7" s="761"/>
    </row>
    <row r="8" spans="1:21" ht="23.25" customHeight="1" x14ac:dyDescent="0.35">
      <c r="A8" s="568"/>
      <c r="B8" s="743"/>
      <c r="C8" s="746"/>
      <c r="D8" s="746"/>
      <c r="E8" s="745"/>
      <c r="F8" s="743"/>
      <c r="G8" s="744"/>
      <c r="H8" s="745"/>
      <c r="I8" s="746"/>
      <c r="J8" s="746"/>
      <c r="K8" s="745"/>
      <c r="L8" s="743"/>
      <c r="M8" s="744"/>
      <c r="N8" s="743"/>
      <c r="O8" s="746"/>
      <c r="P8" s="746"/>
      <c r="Q8" s="745"/>
      <c r="R8" s="743"/>
      <c r="S8" s="762"/>
    </row>
    <row r="9" spans="1:21" ht="23.25" customHeight="1" x14ac:dyDescent="0.35">
      <c r="A9" s="569" t="s">
        <v>68</v>
      </c>
      <c r="B9" s="756"/>
      <c r="C9" s="756"/>
      <c r="D9" s="757"/>
      <c r="E9" s="764"/>
      <c r="F9" s="765"/>
      <c r="G9" s="766"/>
      <c r="H9" s="767"/>
      <c r="I9" s="768"/>
      <c r="J9" s="769"/>
      <c r="K9" s="767"/>
      <c r="L9" s="768"/>
      <c r="M9" s="769"/>
      <c r="N9" s="755"/>
      <c r="O9" s="756"/>
      <c r="P9" s="757"/>
      <c r="Q9" s="758"/>
      <c r="R9" s="754"/>
      <c r="S9" s="770"/>
    </row>
    <row r="10" spans="1:21" ht="23.25" customHeight="1" x14ac:dyDescent="0.35">
      <c r="A10" s="567"/>
      <c r="B10" s="783"/>
      <c r="C10" s="771"/>
      <c r="D10" s="737"/>
      <c r="E10" s="734"/>
      <c r="F10" s="732"/>
      <c r="G10" s="735"/>
      <c r="H10" s="772"/>
      <c r="I10" s="773"/>
      <c r="J10" s="733"/>
      <c r="K10" s="772"/>
      <c r="L10" s="773"/>
      <c r="M10" s="733"/>
      <c r="N10" s="736"/>
      <c r="O10" s="732"/>
      <c r="P10" s="733"/>
      <c r="Q10" s="734"/>
      <c r="R10" s="732"/>
      <c r="S10" s="741"/>
    </row>
    <row r="11" spans="1:21" ht="23.25" customHeight="1" x14ac:dyDescent="0.35">
      <c r="A11" s="568"/>
      <c r="B11" s="743"/>
      <c r="C11" s="743"/>
      <c r="D11" s="774"/>
      <c r="E11" s="745"/>
      <c r="F11" s="746"/>
      <c r="G11" s="747"/>
      <c r="H11" s="775"/>
      <c r="I11" s="776"/>
      <c r="J11" s="748"/>
      <c r="K11" s="775"/>
      <c r="L11" s="776"/>
      <c r="M11" s="748"/>
      <c r="N11" s="745"/>
      <c r="O11" s="743"/>
      <c r="P11" s="744"/>
      <c r="Q11" s="745"/>
      <c r="R11" s="746"/>
      <c r="S11" s="752"/>
    </row>
    <row r="12" spans="1:21" ht="23.25" customHeight="1" x14ac:dyDescent="0.35">
      <c r="A12" s="570" t="s">
        <v>62</v>
      </c>
      <c r="B12" s="756"/>
      <c r="C12" s="756"/>
      <c r="D12" s="757"/>
      <c r="E12" s="764"/>
      <c r="F12" s="765"/>
      <c r="G12" s="765"/>
      <c r="H12" s="755"/>
      <c r="I12" s="756"/>
      <c r="J12" s="757"/>
      <c r="K12" s="754"/>
      <c r="L12" s="754"/>
      <c r="M12" s="782"/>
      <c r="N12" s="767"/>
      <c r="O12" s="768"/>
      <c r="P12" s="769"/>
      <c r="Q12" s="777"/>
      <c r="R12" s="778"/>
      <c r="S12" s="779"/>
    </row>
    <row r="13" spans="1:21" ht="23.25" customHeight="1" x14ac:dyDescent="0.35">
      <c r="A13" s="571"/>
      <c r="B13" s="783"/>
      <c r="C13" s="732"/>
      <c r="D13" s="733"/>
      <c r="E13" s="734"/>
      <c r="F13" s="732"/>
      <c r="G13" s="732"/>
      <c r="H13" s="736"/>
      <c r="I13" s="732"/>
      <c r="J13" s="737"/>
      <c r="K13" s="732"/>
      <c r="L13" s="732"/>
      <c r="M13" s="735"/>
      <c r="N13" s="772"/>
      <c r="O13" s="773"/>
      <c r="P13" s="733"/>
      <c r="Q13" s="734"/>
      <c r="R13" s="732"/>
      <c r="S13" s="741"/>
    </row>
    <row r="14" spans="1:21" ht="23.25" customHeight="1" x14ac:dyDescent="0.35">
      <c r="A14" s="572"/>
      <c r="B14" s="743"/>
      <c r="C14" s="743"/>
      <c r="D14" s="780"/>
      <c r="E14" s="745"/>
      <c r="F14" s="746"/>
      <c r="G14" s="746"/>
      <c r="H14" s="745"/>
      <c r="I14" s="743"/>
      <c r="J14" s="744"/>
      <c r="K14" s="743"/>
      <c r="L14" s="746"/>
      <c r="M14" s="747"/>
      <c r="N14" s="775"/>
      <c r="O14" s="776"/>
      <c r="P14" s="748"/>
      <c r="Q14" s="745"/>
      <c r="R14" s="746"/>
      <c r="S14" s="752"/>
    </row>
    <row r="15" spans="1:21" ht="23.25" customHeight="1" x14ac:dyDescent="0.35">
      <c r="A15" s="570" t="s">
        <v>62</v>
      </c>
      <c r="B15" s="732"/>
      <c r="C15" s="732"/>
      <c r="D15" s="732"/>
      <c r="E15" s="755"/>
      <c r="F15" s="756"/>
      <c r="G15" s="757"/>
      <c r="H15" s="777"/>
      <c r="I15" s="778"/>
      <c r="J15" s="778"/>
      <c r="K15" s="755"/>
      <c r="L15" s="756"/>
      <c r="M15" s="757"/>
      <c r="N15" s="758"/>
      <c r="O15" s="754"/>
      <c r="P15" s="782"/>
      <c r="Q15" s="755"/>
      <c r="R15" s="756"/>
      <c r="S15" s="759"/>
    </row>
    <row r="16" spans="1:21" ht="23.25" customHeight="1" x14ac:dyDescent="0.35">
      <c r="A16" s="571"/>
      <c r="B16" s="732"/>
      <c r="C16" s="732"/>
      <c r="D16" s="732"/>
      <c r="E16" s="736"/>
      <c r="F16" s="732"/>
      <c r="G16" s="737"/>
      <c r="H16" s="734"/>
      <c r="I16" s="732"/>
      <c r="J16" s="732"/>
      <c r="K16" s="736"/>
      <c r="L16" s="732"/>
      <c r="M16" s="737"/>
      <c r="N16" s="732"/>
      <c r="O16" s="732"/>
      <c r="P16" s="735"/>
      <c r="Q16" s="736"/>
      <c r="R16" s="732"/>
      <c r="S16" s="761"/>
    </row>
    <row r="17" spans="1:20" ht="23.25" customHeight="1" x14ac:dyDescent="0.35">
      <c r="A17" s="572"/>
      <c r="B17" s="743"/>
      <c r="C17" s="746"/>
      <c r="D17" s="746"/>
      <c r="E17" s="745"/>
      <c r="F17" s="743"/>
      <c r="G17" s="744"/>
      <c r="H17" s="745"/>
      <c r="I17" s="746"/>
      <c r="J17" s="809"/>
      <c r="K17" s="745"/>
      <c r="L17" s="743"/>
      <c r="M17" s="744"/>
      <c r="N17" s="745"/>
      <c r="O17" s="786"/>
      <c r="P17" s="787"/>
      <c r="Q17" s="745"/>
      <c r="R17" s="743"/>
      <c r="S17" s="762"/>
    </row>
    <row r="18" spans="1:20" ht="23.25" customHeight="1" x14ac:dyDescent="0.35">
      <c r="A18" s="570" t="s">
        <v>62</v>
      </c>
      <c r="B18" s="756"/>
      <c r="C18" s="756"/>
      <c r="D18" s="757"/>
      <c r="E18" s="764"/>
      <c r="F18" s="765"/>
      <c r="G18" s="766"/>
      <c r="H18" s="777"/>
      <c r="I18" s="778"/>
      <c r="J18" s="781"/>
      <c r="K18" s="778"/>
      <c r="L18" s="778"/>
      <c r="M18" s="778"/>
      <c r="N18" s="755"/>
      <c r="O18" s="756"/>
      <c r="P18" s="757"/>
      <c r="Q18" s="764"/>
      <c r="R18" s="765"/>
      <c r="S18" s="808"/>
    </row>
    <row r="19" spans="1:20" ht="23.25" customHeight="1" x14ac:dyDescent="0.35">
      <c r="A19" s="571"/>
      <c r="B19" s="783"/>
      <c r="C19" s="732"/>
      <c r="D19" s="733"/>
      <c r="E19" s="734"/>
      <c r="F19" s="732"/>
      <c r="G19" s="735"/>
      <c r="H19" s="734"/>
      <c r="I19" s="732"/>
      <c r="J19" s="735"/>
      <c r="K19" s="732"/>
      <c r="L19" s="732"/>
      <c r="M19" s="732"/>
      <c r="N19" s="736"/>
      <c r="O19" s="732"/>
      <c r="P19" s="737"/>
      <c r="Q19" s="734"/>
      <c r="R19" s="732"/>
      <c r="S19" s="741"/>
    </row>
    <row r="20" spans="1:20" ht="23.25" customHeight="1" x14ac:dyDescent="0.35">
      <c r="A20" s="572"/>
      <c r="B20" s="743"/>
      <c r="C20" s="743"/>
      <c r="D20" s="744"/>
      <c r="E20" s="745"/>
      <c r="F20" s="746"/>
      <c r="G20" s="747"/>
      <c r="H20" s="745"/>
      <c r="I20" s="746"/>
      <c r="J20" s="785"/>
      <c r="K20" s="743"/>
      <c r="L20" s="746"/>
      <c r="M20" s="809"/>
      <c r="N20" s="745"/>
      <c r="O20" s="810"/>
      <c r="P20" s="811"/>
      <c r="Q20" s="745"/>
      <c r="R20" s="746"/>
      <c r="S20" s="752"/>
    </row>
    <row r="21" spans="1:20" ht="23.25" customHeight="1" x14ac:dyDescent="0.35">
      <c r="A21" s="570" t="s">
        <v>62</v>
      </c>
      <c r="B21" s="765"/>
      <c r="C21" s="765"/>
      <c r="D21" s="765"/>
      <c r="E21" s="764"/>
      <c r="F21" s="765"/>
      <c r="G21" s="766"/>
      <c r="H21" s="764"/>
      <c r="I21" s="765"/>
      <c r="J21" s="766"/>
      <c r="K21" s="765"/>
      <c r="L21" s="765"/>
      <c r="M21" s="766"/>
      <c r="N21" s="765"/>
      <c r="O21" s="765"/>
      <c r="P21" s="766"/>
      <c r="Q21" s="764"/>
      <c r="R21" s="765"/>
      <c r="S21" s="808"/>
    </row>
    <row r="22" spans="1:20" ht="23.25" customHeight="1" x14ac:dyDescent="0.35">
      <c r="A22" s="571"/>
      <c r="B22" s="732"/>
      <c r="C22" s="732"/>
      <c r="D22" s="732"/>
      <c r="E22" s="734"/>
      <c r="F22" s="732"/>
      <c r="G22" s="735"/>
      <c r="H22" s="734"/>
      <c r="I22" s="732"/>
      <c r="J22" s="735"/>
      <c r="K22" s="732"/>
      <c r="L22" s="732"/>
      <c r="M22" s="735"/>
      <c r="N22" s="732"/>
      <c r="O22" s="732"/>
      <c r="P22" s="735"/>
      <c r="Q22" s="734"/>
      <c r="R22" s="732"/>
      <c r="S22" s="741"/>
    </row>
    <row r="23" spans="1:20" ht="23.25" customHeight="1" thickBot="1" x14ac:dyDescent="0.4">
      <c r="A23" s="572"/>
      <c r="B23" s="820"/>
      <c r="C23" s="817"/>
      <c r="D23" s="817"/>
      <c r="E23" s="818"/>
      <c r="F23" s="817"/>
      <c r="G23" s="819"/>
      <c r="H23" s="818"/>
      <c r="I23" s="817"/>
      <c r="J23" s="819"/>
      <c r="K23" s="820"/>
      <c r="L23" s="817"/>
      <c r="M23" s="819"/>
      <c r="N23" s="820"/>
      <c r="O23" s="821"/>
      <c r="P23" s="822"/>
      <c r="Q23" s="818"/>
      <c r="R23" s="817"/>
      <c r="S23" s="823"/>
    </row>
    <row r="24" spans="1:20" ht="5.25" customHeight="1" thickBot="1" x14ac:dyDescent="0.4">
      <c r="A24" s="46"/>
      <c r="B24" s="801"/>
      <c r="C24" s="799"/>
      <c r="D24" s="799"/>
      <c r="E24" s="801"/>
      <c r="F24" s="799"/>
      <c r="G24" s="799"/>
      <c r="H24" s="801"/>
      <c r="I24" s="799"/>
      <c r="J24" s="799"/>
      <c r="K24" s="801"/>
      <c r="L24" s="799"/>
      <c r="M24" s="799"/>
      <c r="N24" s="732"/>
      <c r="O24" s="732"/>
      <c r="P24" s="732"/>
      <c r="Q24" s="801"/>
      <c r="R24" s="799"/>
      <c r="S24" s="815"/>
    </row>
    <row r="25" spans="1:20" ht="23.25" customHeight="1" x14ac:dyDescent="0.35">
      <c r="A25" s="515" t="s">
        <v>27</v>
      </c>
      <c r="B25" s="729"/>
      <c r="C25" s="729"/>
      <c r="D25" s="824"/>
      <c r="E25" s="729"/>
      <c r="F25" s="729"/>
      <c r="G25" s="729"/>
      <c r="H25" s="825"/>
      <c r="I25" s="826"/>
      <c r="J25" s="827"/>
      <c r="K25" s="825"/>
      <c r="L25" s="826"/>
      <c r="M25" s="827"/>
      <c r="N25" s="825"/>
      <c r="O25" s="826"/>
      <c r="P25" s="827"/>
      <c r="Q25" s="828"/>
      <c r="R25" s="829"/>
      <c r="S25" s="830"/>
    </row>
    <row r="26" spans="1:20" ht="22.5" customHeight="1" x14ac:dyDescent="0.35">
      <c r="A26" s="516"/>
      <c r="B26" s="732"/>
      <c r="C26" s="732"/>
      <c r="D26" s="735"/>
      <c r="E26" s="732"/>
      <c r="F26" s="732"/>
      <c r="G26" s="732"/>
      <c r="H26" s="772"/>
      <c r="I26" s="773"/>
      <c r="J26" s="733"/>
      <c r="K26" s="772"/>
      <c r="L26" s="773"/>
      <c r="M26" s="733"/>
      <c r="N26" s="772"/>
      <c r="O26" s="773"/>
      <c r="P26" s="733"/>
      <c r="Q26" s="734"/>
      <c r="R26" s="732"/>
      <c r="S26" s="741"/>
    </row>
    <row r="27" spans="1:20" ht="23.25" customHeight="1" thickBot="1" x14ac:dyDescent="0.4">
      <c r="A27" s="517"/>
      <c r="B27" s="743"/>
      <c r="C27" s="786"/>
      <c r="D27" s="787"/>
      <c r="E27" s="743"/>
      <c r="F27" s="746"/>
      <c r="G27" s="746"/>
      <c r="H27" s="775"/>
      <c r="I27" s="776"/>
      <c r="J27" s="748"/>
      <c r="K27" s="775"/>
      <c r="L27" s="776"/>
      <c r="M27" s="748"/>
      <c r="N27" s="775"/>
      <c r="O27" s="776"/>
      <c r="P27" s="748"/>
      <c r="Q27" s="745"/>
      <c r="R27" s="746"/>
      <c r="S27" s="752"/>
    </row>
    <row r="28" spans="1:20" ht="23.25" customHeight="1" x14ac:dyDescent="0.5">
      <c r="A28" s="515" t="s">
        <v>27</v>
      </c>
      <c r="B28" s="801"/>
      <c r="C28" s="799"/>
      <c r="D28" s="812"/>
      <c r="E28" s="801"/>
      <c r="F28" s="799"/>
      <c r="G28" s="812"/>
      <c r="H28" s="801"/>
      <c r="I28" s="799"/>
      <c r="J28" s="812"/>
      <c r="K28" s="758"/>
      <c r="L28" s="754"/>
      <c r="M28" s="782"/>
      <c r="N28" s="758"/>
      <c r="O28" s="754"/>
      <c r="P28" s="782"/>
      <c r="Q28" s="800"/>
      <c r="R28" s="799"/>
      <c r="S28" s="815"/>
      <c r="T28" s="55"/>
    </row>
    <row r="29" spans="1:20" ht="23.25" customHeight="1" x14ac:dyDescent="0.5">
      <c r="A29" s="516"/>
      <c r="B29" s="801"/>
      <c r="C29" s="799"/>
      <c r="D29" s="812"/>
      <c r="E29" s="801"/>
      <c r="F29" s="799"/>
      <c r="G29" s="812"/>
      <c r="H29" s="801"/>
      <c r="I29" s="799"/>
      <c r="J29" s="812"/>
      <c r="K29" s="734"/>
      <c r="L29" s="732"/>
      <c r="M29" s="735"/>
      <c r="N29" s="734"/>
      <c r="O29" s="732"/>
      <c r="P29" s="735"/>
      <c r="Q29" s="800"/>
      <c r="R29" s="799"/>
      <c r="S29" s="815"/>
      <c r="T29" s="55"/>
    </row>
    <row r="30" spans="1:20" ht="23.25" customHeight="1" thickBot="1" x14ac:dyDescent="0.55000000000000004">
      <c r="A30" s="517"/>
      <c r="B30" s="801"/>
      <c r="C30" s="799"/>
      <c r="D30" s="812"/>
      <c r="E30" s="801"/>
      <c r="F30" s="799"/>
      <c r="G30" s="812"/>
      <c r="H30" s="801"/>
      <c r="I30" s="799"/>
      <c r="J30" s="812"/>
      <c r="K30" s="743"/>
      <c r="L30" s="746"/>
      <c r="M30" s="747"/>
      <c r="N30" s="743"/>
      <c r="O30" s="746"/>
      <c r="P30" s="747"/>
      <c r="Q30" s="800"/>
      <c r="R30" s="799"/>
      <c r="S30" s="815"/>
      <c r="T30" s="55"/>
    </row>
    <row r="31" spans="1:20" ht="23.25" customHeight="1" x14ac:dyDescent="0.5">
      <c r="A31" s="515" t="s">
        <v>27</v>
      </c>
      <c r="B31" s="754"/>
      <c r="C31" s="754"/>
      <c r="D31" s="782"/>
      <c r="E31" s="758"/>
      <c r="F31" s="754"/>
      <c r="G31" s="782"/>
      <c r="H31" s="758"/>
      <c r="I31" s="754"/>
      <c r="J31" s="782"/>
      <c r="K31" s="758"/>
      <c r="L31" s="754"/>
      <c r="M31" s="782"/>
      <c r="N31" s="758"/>
      <c r="O31" s="754"/>
      <c r="P31" s="782"/>
      <c r="Q31" s="758"/>
      <c r="R31" s="754"/>
      <c r="S31" s="770"/>
      <c r="T31" s="55"/>
    </row>
    <row r="32" spans="1:20" ht="22.5" customHeight="1" x14ac:dyDescent="0.5">
      <c r="A32" s="516"/>
      <c r="B32" s="732"/>
      <c r="C32" s="732"/>
      <c r="D32" s="735"/>
      <c r="E32" s="734"/>
      <c r="F32" s="732"/>
      <c r="G32" s="735"/>
      <c r="H32" s="734"/>
      <c r="I32" s="732"/>
      <c r="J32" s="735"/>
      <c r="K32" s="734"/>
      <c r="L32" s="732"/>
      <c r="M32" s="735"/>
      <c r="N32" s="734"/>
      <c r="O32" s="732"/>
      <c r="P32" s="735"/>
      <c r="Q32" s="734"/>
      <c r="R32" s="732"/>
      <c r="S32" s="741"/>
      <c r="T32" s="55"/>
    </row>
    <row r="33" spans="1:20" ht="23.25" customHeight="1" thickBot="1" x14ac:dyDescent="0.55000000000000004">
      <c r="A33" s="517"/>
      <c r="B33" s="820"/>
      <c r="C33" s="817"/>
      <c r="D33" s="819"/>
      <c r="E33" s="818"/>
      <c r="F33" s="817"/>
      <c r="G33" s="819"/>
      <c r="H33" s="820"/>
      <c r="I33" s="817"/>
      <c r="J33" s="819"/>
      <c r="K33" s="818"/>
      <c r="L33" s="817"/>
      <c r="M33" s="819"/>
      <c r="N33" s="820"/>
      <c r="O33" s="817"/>
      <c r="P33" s="819"/>
      <c r="Q33" s="818"/>
      <c r="R33" s="817"/>
      <c r="S33" s="823"/>
      <c r="T33" s="55"/>
    </row>
    <row r="34" spans="1:20" s="62" customFormat="1" ht="31" customHeight="1" thickBot="1" x14ac:dyDescent="0.4">
      <c r="A34" s="190" t="s">
        <v>28</v>
      </c>
      <c r="B34" s="56" t="s">
        <v>29</v>
      </c>
      <c r="C34" s="57" t="s">
        <v>30</v>
      </c>
      <c r="D34" s="58"/>
      <c r="E34" s="56" t="s">
        <v>29</v>
      </c>
      <c r="F34" s="57" t="s">
        <v>30</v>
      </c>
      <c r="G34" s="58"/>
      <c r="H34" s="56" t="s">
        <v>29</v>
      </c>
      <c r="I34" s="57" t="s">
        <v>30</v>
      </c>
      <c r="J34" s="58"/>
      <c r="K34" s="56" t="s">
        <v>29</v>
      </c>
      <c r="L34" s="57" t="s">
        <v>30</v>
      </c>
      <c r="M34" s="58"/>
      <c r="N34" s="56" t="s">
        <v>29</v>
      </c>
      <c r="O34" s="57" t="s">
        <v>30</v>
      </c>
      <c r="P34" s="58"/>
      <c r="Q34" s="56" t="s">
        <v>29</v>
      </c>
      <c r="R34" s="57" t="s">
        <v>30</v>
      </c>
      <c r="S34" s="60"/>
      <c r="T34" s="61"/>
    </row>
    <row r="35" spans="1:20" ht="25" customHeight="1" x14ac:dyDescent="0.35">
      <c r="A35" s="518" t="s">
        <v>45</v>
      </c>
      <c r="B35" s="831"/>
      <c r="C35" s="832"/>
      <c r="D35" s="833"/>
      <c r="E35" s="834"/>
      <c r="F35" s="835"/>
      <c r="G35" s="836"/>
      <c r="H35" s="834"/>
      <c r="I35" s="835"/>
      <c r="J35" s="837"/>
      <c r="K35" s="831"/>
      <c r="L35" s="832"/>
      <c r="M35" s="838"/>
      <c r="N35" s="839"/>
      <c r="O35" s="840"/>
      <c r="P35" s="866"/>
      <c r="Q35" s="834"/>
      <c r="R35" s="835"/>
      <c r="S35" s="842"/>
    </row>
    <row r="36" spans="1:20" ht="25" customHeight="1" thickBot="1" x14ac:dyDescent="0.4">
      <c r="A36" s="519"/>
      <c r="B36" s="843"/>
      <c r="C36" s="844"/>
      <c r="D36" s="844"/>
      <c r="E36" s="845"/>
      <c r="F36" s="846"/>
      <c r="G36" s="847"/>
      <c r="H36" s="845"/>
      <c r="I36" s="846"/>
      <c r="J36" s="846"/>
      <c r="K36" s="843"/>
      <c r="L36" s="848"/>
      <c r="M36" s="849"/>
      <c r="N36" s="850"/>
      <c r="O36" s="851"/>
      <c r="P36" s="851"/>
      <c r="Q36" s="845"/>
      <c r="R36" s="846"/>
      <c r="S36" s="847"/>
    </row>
    <row r="37" spans="1:20" ht="25" customHeight="1" x14ac:dyDescent="0.35">
      <c r="A37" s="520" t="s">
        <v>45</v>
      </c>
      <c r="B37" s="831"/>
      <c r="C37" s="832"/>
      <c r="D37" s="833"/>
      <c r="E37" s="834"/>
      <c r="F37" s="835"/>
      <c r="G37" s="842"/>
      <c r="H37" s="867"/>
      <c r="I37" s="868"/>
      <c r="J37" s="869"/>
      <c r="K37" s="867"/>
      <c r="L37" s="868"/>
      <c r="M37" s="869"/>
      <c r="N37" s="867"/>
      <c r="O37" s="868"/>
      <c r="P37" s="869"/>
      <c r="Q37" s="867"/>
      <c r="R37" s="868"/>
      <c r="S37" s="870"/>
    </row>
    <row r="38" spans="1:20" ht="25" customHeight="1" thickBot="1" x14ac:dyDescent="0.4">
      <c r="A38" s="521"/>
      <c r="B38" s="843"/>
      <c r="C38" s="848"/>
      <c r="D38" s="848"/>
      <c r="E38" s="845"/>
      <c r="F38" s="846"/>
      <c r="G38" s="847"/>
      <c r="H38" s="871"/>
      <c r="I38" s="851"/>
      <c r="J38" s="872"/>
      <c r="K38" s="871"/>
      <c r="L38" s="851"/>
      <c r="M38" s="872"/>
      <c r="N38" s="871"/>
      <c r="O38" s="851"/>
      <c r="P38" s="872"/>
      <c r="Q38" s="871"/>
      <c r="R38" s="851"/>
      <c r="S38" s="852"/>
    </row>
    <row r="39" spans="1:20" ht="60" customHeight="1" thickBot="1" x14ac:dyDescent="0.55000000000000004">
      <c r="A39" s="522" t="s">
        <v>46</v>
      </c>
      <c r="B39" s="523"/>
      <c r="C39" s="523"/>
      <c r="D39" s="523"/>
      <c r="E39" s="523"/>
      <c r="F39" s="523"/>
      <c r="G39" s="523"/>
      <c r="H39" s="523"/>
      <c r="I39" s="523"/>
      <c r="J39" s="523"/>
      <c r="K39" s="523"/>
      <c r="L39" s="523"/>
      <c r="M39" s="523"/>
      <c r="N39" s="523"/>
      <c r="O39" s="523"/>
      <c r="P39" s="523"/>
      <c r="Q39" s="523"/>
      <c r="R39" s="523"/>
      <c r="S39" s="524"/>
    </row>
  </sheetData>
  <customSheetViews>
    <customSheetView guid="{AF731A35-9978-4A72-829F-F3E8771EE2D4}" scale="55" showPageBreaks="1" printArea="1" view="pageLayout">
      <selection activeCell="A12" sqref="A12:A14"/>
      <pageMargins left="0" right="0" top="0" bottom="0" header="0" footer="0"/>
      <printOptions horizontalCentered="1" verticalCentered="1"/>
      <pageSetup paperSize="9" scale="33" fitToWidth="0" fitToHeight="0" orientation="landscape" r:id="rId1"/>
      <headerFooter alignWithMargins="0">
        <oddFooter xml:space="preserve">&amp;Lerstellt/freigegeben: M. Mayrhofer&amp;CTourenplan vom :&amp;D&amp;RAusgabedatum: 27.06.06
</oddFooter>
      </headerFooter>
    </customSheetView>
  </customSheetViews>
  <mergeCells count="40">
    <mergeCell ref="A28:A30"/>
    <mergeCell ref="A31:A33"/>
    <mergeCell ref="A35:A36"/>
    <mergeCell ref="A37:A38"/>
    <mergeCell ref="A39:S39"/>
    <mergeCell ref="Q15:S15"/>
    <mergeCell ref="A18:A20"/>
    <mergeCell ref="B18:D18"/>
    <mergeCell ref="N18:P18"/>
    <mergeCell ref="A21:A23"/>
    <mergeCell ref="A25:A27"/>
    <mergeCell ref="H25:J25"/>
    <mergeCell ref="K25:M25"/>
    <mergeCell ref="N25:P25"/>
    <mergeCell ref="A12:A14"/>
    <mergeCell ref="B12:D12"/>
    <mergeCell ref="H12:J12"/>
    <mergeCell ref="N12:P12"/>
    <mergeCell ref="A15:A17"/>
    <mergeCell ref="E15:G15"/>
    <mergeCell ref="K15:M15"/>
    <mergeCell ref="A6:A8"/>
    <mergeCell ref="E6:G6"/>
    <mergeCell ref="K6:M6"/>
    <mergeCell ref="Q6:S6"/>
    <mergeCell ref="A9:A11"/>
    <mergeCell ref="B9:D9"/>
    <mergeCell ref="H9:J9"/>
    <mergeCell ref="K9:M9"/>
    <mergeCell ref="N9:P9"/>
    <mergeCell ref="B1:D1"/>
    <mergeCell ref="E1:M1"/>
    <mergeCell ref="N1:P1"/>
    <mergeCell ref="Q1:S1"/>
    <mergeCell ref="A3:A5"/>
    <mergeCell ref="B3:D3"/>
    <mergeCell ref="E3:G3"/>
    <mergeCell ref="H3:J3"/>
    <mergeCell ref="K3:M3"/>
    <mergeCell ref="N3:P3"/>
  </mergeCells>
  <printOptions horizontalCentered="1" verticalCentered="1"/>
  <pageMargins left="0" right="0" top="0.31496062992125984" bottom="0" header="0.19685039370078741" footer="0.19685039370078741"/>
  <pageSetup paperSize="9" scale="33" fitToWidth="0" fitToHeight="0" orientation="landscape" r:id="rId2"/>
  <headerFooter alignWithMargins="0">
    <oddFooter xml:space="preserve">&amp;Lerstellt/freigegeben: M. Mayrhofer&amp;CTourenplan vom :&amp;D&amp;RAusgabedatum: 27.06.06
</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FA1CF6-89FE-482A-BEA7-0FA4F3633073}">
  <sheetPr codeName="Tabelle9"/>
  <dimension ref="A1:U39"/>
  <sheetViews>
    <sheetView view="pageLayout" zoomScale="55" zoomScaleNormal="55" zoomScaleSheetLayoutView="25" zoomScalePageLayoutView="55" workbookViewId="0"/>
  </sheetViews>
  <sheetFormatPr baseColWidth="10" defaultColWidth="14.81640625" defaultRowHeight="15.5" x14ac:dyDescent="0.35"/>
  <cols>
    <col min="1" max="1" width="45.1796875" style="6" bestFit="1" customWidth="1"/>
    <col min="2" max="2" width="31.81640625" style="6" customWidth="1"/>
    <col min="3" max="4" width="16.453125" style="6" customWidth="1"/>
    <col min="5" max="5" width="31.81640625" style="6" customWidth="1"/>
    <col min="6" max="7" width="16.453125" style="6" customWidth="1"/>
    <col min="8" max="8" width="30.54296875" style="6" customWidth="1"/>
    <col min="9" max="10" width="16.453125" style="6" customWidth="1"/>
    <col min="11" max="11" width="31.81640625" style="6" customWidth="1"/>
    <col min="12" max="13" width="16.453125" style="6" customWidth="1"/>
    <col min="14" max="14" width="31.81640625" style="6" customWidth="1"/>
    <col min="15" max="16" width="16.453125" style="6" customWidth="1"/>
    <col min="17" max="17" width="30.54296875" style="6" customWidth="1"/>
    <col min="18" max="19" width="16.453125" style="6" customWidth="1"/>
    <col min="20" max="20" width="11.26953125" style="6" customWidth="1"/>
    <col min="21" max="16384" width="14.81640625" style="6"/>
  </cols>
  <sheetData>
    <row r="1" spans="1:21" ht="56.25" customHeight="1" thickBot="1" x14ac:dyDescent="0.4">
      <c r="A1" s="251" t="s">
        <v>69</v>
      </c>
      <c r="B1" s="542" t="s">
        <v>14</v>
      </c>
      <c r="C1" s="543"/>
      <c r="D1" s="544"/>
      <c r="E1" s="545" t="s">
        <v>70</v>
      </c>
      <c r="F1" s="546"/>
      <c r="G1" s="546"/>
      <c r="H1" s="546"/>
      <c r="I1" s="546"/>
      <c r="J1" s="546"/>
      <c r="K1" s="546"/>
      <c r="L1" s="546"/>
      <c r="M1" s="547"/>
      <c r="N1" s="548">
        <f>_xlfn.ISOWEEKNUM(B2)</f>
        <v>15</v>
      </c>
      <c r="O1" s="549"/>
      <c r="P1" s="550"/>
      <c r="Q1" s="542" t="s">
        <v>71</v>
      </c>
      <c r="R1" s="543"/>
      <c r="S1" s="544"/>
    </row>
    <row r="2" spans="1:21" ht="30.5" thickBot="1" x14ac:dyDescent="0.65">
      <c r="A2" s="165"/>
      <c r="B2" s="162">
        <v>45754</v>
      </c>
      <c r="C2" s="163"/>
      <c r="D2" s="164"/>
      <c r="E2" s="162">
        <f>B2+1</f>
        <v>45755</v>
      </c>
      <c r="F2" s="8"/>
      <c r="G2" s="9"/>
      <c r="H2" s="162">
        <f t="shared" ref="H2" si="0">E2+1</f>
        <v>45756</v>
      </c>
      <c r="I2" s="8"/>
      <c r="J2" s="9"/>
      <c r="K2" s="162">
        <f t="shared" ref="K2" si="1">H2+1</f>
        <v>45757</v>
      </c>
      <c r="L2" s="8"/>
      <c r="M2" s="9"/>
      <c r="N2" s="162">
        <f t="shared" ref="N2" si="2">K2+1</f>
        <v>45758</v>
      </c>
      <c r="O2" s="8"/>
      <c r="P2" s="9"/>
      <c r="Q2" s="162">
        <f t="shared" ref="Q2" si="3">N2+1</f>
        <v>45759</v>
      </c>
      <c r="R2" s="8"/>
      <c r="S2" s="9"/>
    </row>
    <row r="3" spans="1:21" ht="23.25" customHeight="1" x14ac:dyDescent="0.5">
      <c r="A3" s="577" t="s">
        <v>72</v>
      </c>
      <c r="B3" s="720"/>
      <c r="C3" s="720"/>
      <c r="D3" s="721"/>
      <c r="E3" s="722"/>
      <c r="F3" s="723"/>
      <c r="G3" s="724"/>
      <c r="H3" s="722"/>
      <c r="I3" s="720"/>
      <c r="J3" s="721"/>
      <c r="K3" s="725"/>
      <c r="L3" s="726"/>
      <c r="M3" s="727"/>
      <c r="N3" s="722"/>
      <c r="O3" s="720"/>
      <c r="P3" s="721"/>
      <c r="Q3" s="728"/>
      <c r="R3" s="729"/>
      <c r="S3" s="730"/>
      <c r="T3" s="13"/>
      <c r="U3" s="14"/>
    </row>
    <row r="4" spans="1:21" ht="23.25" customHeight="1" x14ac:dyDescent="0.5">
      <c r="A4" s="573"/>
      <c r="B4" s="783"/>
      <c r="C4" s="732"/>
      <c r="D4" s="733"/>
      <c r="E4" s="734"/>
      <c r="F4" s="732"/>
      <c r="G4" s="735"/>
      <c r="H4" s="736"/>
      <c r="I4" s="732"/>
      <c r="J4" s="737"/>
      <c r="K4" s="738"/>
      <c r="L4" s="739"/>
      <c r="M4" s="740"/>
      <c r="N4" s="736"/>
      <c r="O4" s="732"/>
      <c r="P4" s="733"/>
      <c r="Q4" s="734"/>
      <c r="R4" s="732"/>
      <c r="S4" s="741"/>
      <c r="T4" s="14"/>
      <c r="U4" s="14"/>
    </row>
    <row r="5" spans="1:21" ht="23.25" customHeight="1" x14ac:dyDescent="0.5">
      <c r="A5" s="573"/>
      <c r="B5" s="743"/>
      <c r="C5" s="743"/>
      <c r="D5" s="744"/>
      <c r="E5" s="745"/>
      <c r="F5" s="746"/>
      <c r="G5" s="747"/>
      <c r="H5" s="745"/>
      <c r="I5" s="743"/>
      <c r="J5" s="748"/>
      <c r="K5" s="749"/>
      <c r="L5" s="750"/>
      <c r="M5" s="751"/>
      <c r="N5" s="743"/>
      <c r="O5" s="743"/>
      <c r="P5" s="744"/>
      <c r="Q5" s="745"/>
      <c r="R5" s="746"/>
      <c r="S5" s="752"/>
      <c r="T5" s="14"/>
      <c r="U5" s="14"/>
    </row>
    <row r="6" spans="1:21" ht="23.25" customHeight="1" x14ac:dyDescent="0.5">
      <c r="A6" s="573" t="s">
        <v>72</v>
      </c>
      <c r="B6" s="765"/>
      <c r="C6" s="754"/>
      <c r="D6" s="754"/>
      <c r="E6" s="755"/>
      <c r="F6" s="756"/>
      <c r="G6" s="757"/>
      <c r="H6" s="758"/>
      <c r="I6" s="754"/>
      <c r="J6" s="754"/>
      <c r="K6" s="755"/>
      <c r="L6" s="756"/>
      <c r="M6" s="757"/>
      <c r="N6" s="758"/>
      <c r="O6" s="754"/>
      <c r="P6" s="754"/>
      <c r="Q6" s="755"/>
      <c r="R6" s="756"/>
      <c r="S6" s="759"/>
      <c r="T6" s="14"/>
      <c r="U6" s="14"/>
    </row>
    <row r="7" spans="1:21" ht="23.25" customHeight="1" x14ac:dyDescent="0.35">
      <c r="A7" s="516"/>
      <c r="B7" s="732"/>
      <c r="C7" s="732"/>
      <c r="D7" s="732"/>
      <c r="E7" s="736"/>
      <c r="F7" s="732"/>
      <c r="G7" s="737"/>
      <c r="H7" s="734"/>
      <c r="I7" s="732"/>
      <c r="J7" s="732"/>
      <c r="K7" s="736"/>
      <c r="L7" s="732"/>
      <c r="M7" s="733"/>
      <c r="N7" s="734"/>
      <c r="O7" s="732"/>
      <c r="P7" s="732"/>
      <c r="Q7" s="736"/>
      <c r="R7" s="732"/>
      <c r="S7" s="761"/>
    </row>
    <row r="8" spans="1:21" ht="23.25" customHeight="1" x14ac:dyDescent="0.35">
      <c r="A8" s="516"/>
      <c r="B8" s="743"/>
      <c r="C8" s="746"/>
      <c r="D8" s="746"/>
      <c r="E8" s="745"/>
      <c r="F8" s="743"/>
      <c r="G8" s="744"/>
      <c r="H8" s="745"/>
      <c r="I8" s="746"/>
      <c r="J8" s="746"/>
      <c r="K8" s="745"/>
      <c r="L8" s="743"/>
      <c r="M8" s="744"/>
      <c r="N8" s="743"/>
      <c r="O8" s="746"/>
      <c r="P8" s="746"/>
      <c r="Q8" s="745"/>
      <c r="R8" s="743"/>
      <c r="S8" s="762"/>
    </row>
    <row r="9" spans="1:21" ht="23.25" customHeight="1" x14ac:dyDescent="0.35">
      <c r="A9" s="573" t="s">
        <v>72</v>
      </c>
      <c r="B9" s="756"/>
      <c r="C9" s="756"/>
      <c r="D9" s="757"/>
      <c r="E9" s="764"/>
      <c r="F9" s="765"/>
      <c r="G9" s="766"/>
      <c r="H9" s="767"/>
      <c r="I9" s="768"/>
      <c r="J9" s="769"/>
      <c r="K9" s="767"/>
      <c r="L9" s="768"/>
      <c r="M9" s="769"/>
      <c r="N9" s="755"/>
      <c r="O9" s="756"/>
      <c r="P9" s="757"/>
      <c r="Q9" s="758"/>
      <c r="R9" s="754"/>
      <c r="S9" s="770"/>
    </row>
    <row r="10" spans="1:21" ht="23.25" customHeight="1" x14ac:dyDescent="0.35">
      <c r="A10" s="516"/>
      <c r="B10" s="783"/>
      <c r="C10" s="771"/>
      <c r="D10" s="737"/>
      <c r="E10" s="734"/>
      <c r="F10" s="732"/>
      <c r="G10" s="735"/>
      <c r="H10" s="772"/>
      <c r="I10" s="773"/>
      <c r="J10" s="733"/>
      <c r="K10" s="772"/>
      <c r="L10" s="773"/>
      <c r="M10" s="733"/>
      <c r="N10" s="736"/>
      <c r="O10" s="732"/>
      <c r="P10" s="733"/>
      <c r="Q10" s="734"/>
      <c r="R10" s="732"/>
      <c r="S10" s="741"/>
    </row>
    <row r="11" spans="1:21" ht="23.25" customHeight="1" x14ac:dyDescent="0.35">
      <c r="A11" s="516"/>
      <c r="B11" s="743"/>
      <c r="C11" s="743"/>
      <c r="D11" s="774"/>
      <c r="E11" s="745"/>
      <c r="F11" s="746"/>
      <c r="G11" s="747"/>
      <c r="H11" s="775"/>
      <c r="I11" s="776"/>
      <c r="J11" s="748"/>
      <c r="K11" s="775"/>
      <c r="L11" s="776"/>
      <c r="M11" s="748"/>
      <c r="N11" s="745"/>
      <c r="O11" s="743"/>
      <c r="P11" s="744"/>
      <c r="Q11" s="745"/>
      <c r="R11" s="746"/>
      <c r="S11" s="752"/>
    </row>
    <row r="12" spans="1:21" ht="23.25" customHeight="1" x14ac:dyDescent="0.35">
      <c r="A12" s="573" t="s">
        <v>72</v>
      </c>
      <c r="B12" s="756"/>
      <c r="C12" s="756"/>
      <c r="D12" s="757"/>
      <c r="E12" s="764"/>
      <c r="F12" s="765"/>
      <c r="G12" s="765"/>
      <c r="H12" s="755"/>
      <c r="I12" s="756"/>
      <c r="J12" s="757"/>
      <c r="K12" s="754"/>
      <c r="L12" s="754"/>
      <c r="M12" s="782"/>
      <c r="N12" s="767"/>
      <c r="O12" s="768"/>
      <c r="P12" s="769"/>
      <c r="Q12" s="777"/>
      <c r="R12" s="778"/>
      <c r="S12" s="779"/>
    </row>
    <row r="13" spans="1:21" ht="23.25" customHeight="1" x14ac:dyDescent="0.35">
      <c r="A13" s="573"/>
      <c r="B13" s="783"/>
      <c r="C13" s="732"/>
      <c r="D13" s="733"/>
      <c r="E13" s="734"/>
      <c r="F13" s="732"/>
      <c r="G13" s="732"/>
      <c r="H13" s="736"/>
      <c r="I13" s="732"/>
      <c r="J13" s="737"/>
      <c r="K13" s="732"/>
      <c r="L13" s="732"/>
      <c r="M13" s="735"/>
      <c r="N13" s="772"/>
      <c r="O13" s="773"/>
      <c r="P13" s="733"/>
      <c r="Q13" s="734"/>
      <c r="R13" s="732"/>
      <c r="S13" s="741"/>
    </row>
    <row r="14" spans="1:21" ht="23.25" customHeight="1" x14ac:dyDescent="0.35">
      <c r="A14" s="573"/>
      <c r="B14" s="743"/>
      <c r="C14" s="743"/>
      <c r="D14" s="780"/>
      <c r="E14" s="745"/>
      <c r="F14" s="746"/>
      <c r="G14" s="746"/>
      <c r="H14" s="745"/>
      <c r="I14" s="743"/>
      <c r="J14" s="744"/>
      <c r="K14" s="743"/>
      <c r="L14" s="746"/>
      <c r="M14" s="747"/>
      <c r="N14" s="775"/>
      <c r="O14" s="776"/>
      <c r="P14" s="748"/>
      <c r="Q14" s="745"/>
      <c r="R14" s="746"/>
      <c r="S14" s="752"/>
    </row>
    <row r="15" spans="1:21" ht="23.25" customHeight="1" x14ac:dyDescent="0.35">
      <c r="A15" s="573" t="s">
        <v>72</v>
      </c>
      <c r="B15" s="732"/>
      <c r="C15" s="732"/>
      <c r="D15" s="732"/>
      <c r="E15" s="755"/>
      <c r="F15" s="756"/>
      <c r="G15" s="757"/>
      <c r="H15" s="777"/>
      <c r="I15" s="778"/>
      <c r="J15" s="778"/>
      <c r="K15" s="755"/>
      <c r="L15" s="756"/>
      <c r="M15" s="757"/>
      <c r="N15" s="758"/>
      <c r="O15" s="754"/>
      <c r="P15" s="782"/>
      <c r="Q15" s="755"/>
      <c r="R15" s="756"/>
      <c r="S15" s="759"/>
    </row>
    <row r="16" spans="1:21" ht="23.25" customHeight="1" x14ac:dyDescent="0.35">
      <c r="A16" s="516"/>
      <c r="B16" s="732"/>
      <c r="C16" s="732"/>
      <c r="D16" s="732"/>
      <c r="E16" s="736"/>
      <c r="F16" s="732"/>
      <c r="G16" s="737"/>
      <c r="H16" s="734"/>
      <c r="I16" s="732"/>
      <c r="J16" s="732"/>
      <c r="K16" s="736"/>
      <c r="L16" s="732"/>
      <c r="M16" s="737"/>
      <c r="N16" s="732"/>
      <c r="O16" s="732"/>
      <c r="P16" s="735"/>
      <c r="Q16" s="736"/>
      <c r="R16" s="732"/>
      <c r="S16" s="761"/>
    </row>
    <row r="17" spans="1:20" ht="23.25" customHeight="1" x14ac:dyDescent="0.35">
      <c r="A17" s="516"/>
      <c r="B17" s="743"/>
      <c r="C17" s="746"/>
      <c r="D17" s="746"/>
      <c r="E17" s="745"/>
      <c r="F17" s="743"/>
      <c r="G17" s="744"/>
      <c r="H17" s="745"/>
      <c r="I17" s="746"/>
      <c r="J17" s="809"/>
      <c r="K17" s="745"/>
      <c r="L17" s="743"/>
      <c r="M17" s="744"/>
      <c r="N17" s="745"/>
      <c r="O17" s="786"/>
      <c r="P17" s="787"/>
      <c r="Q17" s="745"/>
      <c r="R17" s="743"/>
      <c r="S17" s="762"/>
    </row>
    <row r="18" spans="1:20" ht="23.25" customHeight="1" x14ac:dyDescent="0.35">
      <c r="A18" s="573" t="s">
        <v>72</v>
      </c>
      <c r="B18" s="756"/>
      <c r="C18" s="756"/>
      <c r="D18" s="757"/>
      <c r="E18" s="764"/>
      <c r="F18" s="765"/>
      <c r="G18" s="766"/>
      <c r="H18" s="777"/>
      <c r="I18" s="778"/>
      <c r="J18" s="781"/>
      <c r="K18" s="778"/>
      <c r="L18" s="778"/>
      <c r="M18" s="778"/>
      <c r="N18" s="755"/>
      <c r="O18" s="756"/>
      <c r="P18" s="757"/>
      <c r="Q18" s="764"/>
      <c r="R18" s="765"/>
      <c r="S18" s="808"/>
    </row>
    <row r="19" spans="1:20" ht="23.25" customHeight="1" x14ac:dyDescent="0.35">
      <c r="A19" s="516"/>
      <c r="B19" s="783"/>
      <c r="C19" s="732"/>
      <c r="D19" s="733"/>
      <c r="E19" s="734"/>
      <c r="F19" s="732"/>
      <c r="G19" s="735"/>
      <c r="H19" s="734"/>
      <c r="I19" s="732"/>
      <c r="J19" s="735"/>
      <c r="K19" s="732"/>
      <c r="L19" s="732"/>
      <c r="M19" s="732"/>
      <c r="N19" s="736"/>
      <c r="O19" s="732"/>
      <c r="P19" s="737"/>
      <c r="Q19" s="734"/>
      <c r="R19" s="732"/>
      <c r="S19" s="741"/>
    </row>
    <row r="20" spans="1:20" ht="23.25" customHeight="1" x14ac:dyDescent="0.35">
      <c r="A20" s="516"/>
      <c r="B20" s="743"/>
      <c r="C20" s="743"/>
      <c r="D20" s="744"/>
      <c r="E20" s="745"/>
      <c r="F20" s="746"/>
      <c r="G20" s="747"/>
      <c r="H20" s="745"/>
      <c r="I20" s="746"/>
      <c r="J20" s="785"/>
      <c r="K20" s="743"/>
      <c r="L20" s="746"/>
      <c r="M20" s="809"/>
      <c r="N20" s="745"/>
      <c r="O20" s="810"/>
      <c r="P20" s="811"/>
      <c r="Q20" s="745"/>
      <c r="R20" s="746"/>
      <c r="S20" s="752"/>
    </row>
    <row r="21" spans="1:20" ht="23.25" customHeight="1" x14ac:dyDescent="0.35">
      <c r="A21" s="574" t="s">
        <v>62</v>
      </c>
      <c r="B21" s="765"/>
      <c r="C21" s="765"/>
      <c r="D21" s="765"/>
      <c r="E21" s="764"/>
      <c r="F21" s="765"/>
      <c r="G21" s="766"/>
      <c r="H21" s="764"/>
      <c r="I21" s="765"/>
      <c r="J21" s="766"/>
      <c r="K21" s="765"/>
      <c r="L21" s="765"/>
      <c r="M21" s="766"/>
      <c r="N21" s="765"/>
      <c r="O21" s="765"/>
      <c r="P21" s="766"/>
      <c r="Q21" s="764"/>
      <c r="R21" s="765"/>
      <c r="S21" s="808"/>
    </row>
    <row r="22" spans="1:20" ht="23.25" customHeight="1" x14ac:dyDescent="0.35">
      <c r="A22" s="575"/>
      <c r="B22" s="732"/>
      <c r="C22" s="732"/>
      <c r="D22" s="732"/>
      <c r="E22" s="734"/>
      <c r="F22" s="732"/>
      <c r="G22" s="735"/>
      <c r="H22" s="734"/>
      <c r="I22" s="732"/>
      <c r="J22" s="735"/>
      <c r="K22" s="732"/>
      <c r="L22" s="732"/>
      <c r="M22" s="735"/>
      <c r="N22" s="732"/>
      <c r="O22" s="732"/>
      <c r="P22" s="735"/>
      <c r="Q22" s="734"/>
      <c r="R22" s="732"/>
      <c r="S22" s="741"/>
    </row>
    <row r="23" spans="1:20" ht="23.25" customHeight="1" thickBot="1" x14ac:dyDescent="0.4">
      <c r="A23" s="576"/>
      <c r="B23" s="820"/>
      <c r="C23" s="817"/>
      <c r="D23" s="817"/>
      <c r="E23" s="818"/>
      <c r="F23" s="817"/>
      <c r="G23" s="819"/>
      <c r="H23" s="818"/>
      <c r="I23" s="817"/>
      <c r="J23" s="819"/>
      <c r="K23" s="820"/>
      <c r="L23" s="817"/>
      <c r="M23" s="819"/>
      <c r="N23" s="820"/>
      <c r="O23" s="821"/>
      <c r="P23" s="822"/>
      <c r="Q23" s="818"/>
      <c r="R23" s="817"/>
      <c r="S23" s="823"/>
    </row>
    <row r="24" spans="1:20" ht="5.25" customHeight="1" thickBot="1" x14ac:dyDescent="0.4">
      <c r="A24" s="46"/>
      <c r="B24" s="801"/>
      <c r="C24" s="799"/>
      <c r="D24" s="799"/>
      <c r="E24" s="801"/>
      <c r="F24" s="799"/>
      <c r="G24" s="799"/>
      <c r="H24" s="801"/>
      <c r="I24" s="799"/>
      <c r="J24" s="799"/>
      <c r="K24" s="801"/>
      <c r="L24" s="799"/>
      <c r="M24" s="799"/>
      <c r="N24" s="732"/>
      <c r="O24" s="732"/>
      <c r="P24" s="732"/>
      <c r="Q24" s="801"/>
      <c r="R24" s="799"/>
      <c r="S24" s="815"/>
    </row>
    <row r="25" spans="1:20" ht="23.25" customHeight="1" x14ac:dyDescent="0.35">
      <c r="A25" s="515" t="s">
        <v>27</v>
      </c>
      <c r="B25" s="729"/>
      <c r="C25" s="729"/>
      <c r="D25" s="824"/>
      <c r="E25" s="729"/>
      <c r="F25" s="729"/>
      <c r="G25" s="729"/>
      <c r="H25" s="825"/>
      <c r="I25" s="826"/>
      <c r="J25" s="827"/>
      <c r="K25" s="825"/>
      <c r="L25" s="826"/>
      <c r="M25" s="827"/>
      <c r="N25" s="825"/>
      <c r="O25" s="826"/>
      <c r="P25" s="827"/>
      <c r="Q25" s="828"/>
      <c r="R25" s="829"/>
      <c r="S25" s="830"/>
    </row>
    <row r="26" spans="1:20" ht="22.5" customHeight="1" x14ac:dyDescent="0.35">
      <c r="A26" s="516"/>
      <c r="B26" s="732"/>
      <c r="C26" s="732"/>
      <c r="D26" s="735"/>
      <c r="E26" s="732"/>
      <c r="F26" s="732"/>
      <c r="G26" s="732"/>
      <c r="H26" s="772"/>
      <c r="I26" s="773"/>
      <c r="J26" s="733"/>
      <c r="K26" s="772"/>
      <c r="L26" s="773"/>
      <c r="M26" s="733"/>
      <c r="N26" s="772"/>
      <c r="O26" s="773"/>
      <c r="P26" s="733"/>
      <c r="Q26" s="734"/>
      <c r="R26" s="732"/>
      <c r="S26" s="741"/>
    </row>
    <row r="27" spans="1:20" ht="23.25" customHeight="1" thickBot="1" x14ac:dyDescent="0.4">
      <c r="A27" s="517"/>
      <c r="B27" s="743"/>
      <c r="C27" s="786"/>
      <c r="D27" s="787"/>
      <c r="E27" s="743"/>
      <c r="F27" s="746"/>
      <c r="G27" s="746"/>
      <c r="H27" s="775"/>
      <c r="I27" s="776"/>
      <c r="J27" s="748"/>
      <c r="K27" s="775"/>
      <c r="L27" s="776"/>
      <c r="M27" s="748"/>
      <c r="N27" s="775"/>
      <c r="O27" s="776"/>
      <c r="P27" s="748"/>
      <c r="Q27" s="745"/>
      <c r="R27" s="746"/>
      <c r="S27" s="752"/>
    </row>
    <row r="28" spans="1:20" ht="23.25" customHeight="1" x14ac:dyDescent="0.5">
      <c r="A28" s="515" t="s">
        <v>27</v>
      </c>
      <c r="B28" s="801"/>
      <c r="C28" s="799"/>
      <c r="D28" s="812"/>
      <c r="E28" s="801"/>
      <c r="F28" s="799"/>
      <c r="G28" s="812"/>
      <c r="H28" s="801"/>
      <c r="I28" s="799"/>
      <c r="J28" s="812"/>
      <c r="K28" s="758"/>
      <c r="L28" s="754"/>
      <c r="M28" s="782"/>
      <c r="N28" s="758"/>
      <c r="O28" s="754"/>
      <c r="P28" s="782"/>
      <c r="Q28" s="800"/>
      <c r="R28" s="799"/>
      <c r="S28" s="815"/>
      <c r="T28" s="55"/>
    </row>
    <row r="29" spans="1:20" ht="23.25" customHeight="1" x14ac:dyDescent="0.5">
      <c r="A29" s="516"/>
      <c r="B29" s="801"/>
      <c r="C29" s="799"/>
      <c r="D29" s="812"/>
      <c r="E29" s="801"/>
      <c r="F29" s="799"/>
      <c r="G29" s="812"/>
      <c r="H29" s="801"/>
      <c r="I29" s="799"/>
      <c r="J29" s="812"/>
      <c r="K29" s="734"/>
      <c r="L29" s="732"/>
      <c r="M29" s="735"/>
      <c r="N29" s="734"/>
      <c r="O29" s="732"/>
      <c r="P29" s="735"/>
      <c r="Q29" s="800"/>
      <c r="R29" s="799"/>
      <c r="S29" s="815"/>
      <c r="T29" s="55"/>
    </row>
    <row r="30" spans="1:20" ht="23.25" customHeight="1" thickBot="1" x14ac:dyDescent="0.55000000000000004">
      <c r="A30" s="517"/>
      <c r="B30" s="801"/>
      <c r="C30" s="799"/>
      <c r="D30" s="812"/>
      <c r="E30" s="801"/>
      <c r="F30" s="799"/>
      <c r="G30" s="812"/>
      <c r="H30" s="801"/>
      <c r="I30" s="799"/>
      <c r="J30" s="812"/>
      <c r="K30" s="743"/>
      <c r="L30" s="746"/>
      <c r="M30" s="747"/>
      <c r="N30" s="743"/>
      <c r="O30" s="746"/>
      <c r="P30" s="747"/>
      <c r="Q30" s="800"/>
      <c r="R30" s="799"/>
      <c r="S30" s="815"/>
      <c r="T30" s="55"/>
    </row>
    <row r="31" spans="1:20" ht="23.25" customHeight="1" x14ac:dyDescent="0.5">
      <c r="A31" s="515" t="s">
        <v>27</v>
      </c>
      <c r="B31" s="754"/>
      <c r="C31" s="754"/>
      <c r="D31" s="782"/>
      <c r="E31" s="758"/>
      <c r="F31" s="754"/>
      <c r="G31" s="782"/>
      <c r="H31" s="758"/>
      <c r="I31" s="754"/>
      <c r="J31" s="782"/>
      <c r="K31" s="758"/>
      <c r="L31" s="754"/>
      <c r="M31" s="782"/>
      <c r="N31" s="758"/>
      <c r="O31" s="754"/>
      <c r="P31" s="782"/>
      <c r="Q31" s="758"/>
      <c r="R31" s="754"/>
      <c r="S31" s="770"/>
      <c r="T31" s="55"/>
    </row>
    <row r="32" spans="1:20" ht="22.5" customHeight="1" x14ac:dyDescent="0.5">
      <c r="A32" s="516"/>
      <c r="B32" s="732"/>
      <c r="C32" s="732"/>
      <c r="D32" s="735"/>
      <c r="E32" s="734"/>
      <c r="F32" s="732"/>
      <c r="G32" s="735"/>
      <c r="H32" s="734"/>
      <c r="I32" s="732"/>
      <c r="J32" s="735"/>
      <c r="K32" s="734"/>
      <c r="L32" s="732"/>
      <c r="M32" s="735"/>
      <c r="N32" s="734"/>
      <c r="O32" s="732"/>
      <c r="P32" s="735"/>
      <c r="Q32" s="734"/>
      <c r="R32" s="732"/>
      <c r="S32" s="741"/>
      <c r="T32" s="55"/>
    </row>
    <row r="33" spans="1:20" ht="23.25" customHeight="1" thickBot="1" x14ac:dyDescent="0.55000000000000004">
      <c r="A33" s="517"/>
      <c r="B33" s="820"/>
      <c r="C33" s="817"/>
      <c r="D33" s="819"/>
      <c r="E33" s="818"/>
      <c r="F33" s="817"/>
      <c r="G33" s="819"/>
      <c r="H33" s="820"/>
      <c r="I33" s="817"/>
      <c r="J33" s="819"/>
      <c r="K33" s="818"/>
      <c r="L33" s="817"/>
      <c r="M33" s="819"/>
      <c r="N33" s="820"/>
      <c r="O33" s="817"/>
      <c r="P33" s="819"/>
      <c r="Q33" s="818"/>
      <c r="R33" s="817"/>
      <c r="S33" s="823"/>
      <c r="T33" s="55"/>
    </row>
    <row r="34" spans="1:20" s="62" customFormat="1" ht="31" customHeight="1" thickBot="1" x14ac:dyDescent="0.4">
      <c r="A34" s="190" t="s">
        <v>28</v>
      </c>
      <c r="B34" s="56" t="s">
        <v>29</v>
      </c>
      <c r="C34" s="57" t="s">
        <v>30</v>
      </c>
      <c r="D34" s="58"/>
      <c r="E34" s="56" t="s">
        <v>29</v>
      </c>
      <c r="F34" s="57" t="s">
        <v>30</v>
      </c>
      <c r="G34" s="58"/>
      <c r="H34" s="56" t="s">
        <v>29</v>
      </c>
      <c r="I34" s="57" t="s">
        <v>30</v>
      </c>
      <c r="J34" s="58"/>
      <c r="K34" s="56" t="s">
        <v>29</v>
      </c>
      <c r="L34" s="57" t="s">
        <v>30</v>
      </c>
      <c r="M34" s="58"/>
      <c r="N34" s="56" t="s">
        <v>29</v>
      </c>
      <c r="O34" s="57" t="s">
        <v>30</v>
      </c>
      <c r="P34" s="58"/>
      <c r="Q34" s="56" t="s">
        <v>29</v>
      </c>
      <c r="R34" s="57" t="s">
        <v>30</v>
      </c>
      <c r="S34" s="60"/>
      <c r="T34" s="61"/>
    </row>
    <row r="35" spans="1:20" ht="25" customHeight="1" x14ac:dyDescent="0.35">
      <c r="A35" s="518" t="s">
        <v>45</v>
      </c>
      <c r="B35" s="831"/>
      <c r="C35" s="832"/>
      <c r="D35" s="833"/>
      <c r="E35" s="834"/>
      <c r="F35" s="835"/>
      <c r="G35" s="836"/>
      <c r="H35" s="834"/>
      <c r="I35" s="835"/>
      <c r="J35" s="837"/>
      <c r="K35" s="831"/>
      <c r="L35" s="832"/>
      <c r="M35" s="838"/>
      <c r="N35" s="839"/>
      <c r="O35" s="840"/>
      <c r="P35" s="866"/>
      <c r="Q35" s="834"/>
      <c r="R35" s="835"/>
      <c r="S35" s="842"/>
    </row>
    <row r="36" spans="1:20" ht="25" customHeight="1" thickBot="1" x14ac:dyDescent="0.4">
      <c r="A36" s="519"/>
      <c r="B36" s="843"/>
      <c r="C36" s="844"/>
      <c r="D36" s="844"/>
      <c r="E36" s="845"/>
      <c r="F36" s="846"/>
      <c r="G36" s="847"/>
      <c r="H36" s="845"/>
      <c r="I36" s="846"/>
      <c r="J36" s="846"/>
      <c r="K36" s="843"/>
      <c r="L36" s="848"/>
      <c r="M36" s="849"/>
      <c r="N36" s="850"/>
      <c r="O36" s="851"/>
      <c r="P36" s="851"/>
      <c r="Q36" s="845"/>
      <c r="R36" s="846"/>
      <c r="S36" s="847"/>
    </row>
    <row r="37" spans="1:20" ht="25" customHeight="1" x14ac:dyDescent="0.35">
      <c r="A37" s="520" t="s">
        <v>45</v>
      </c>
      <c r="B37" s="831"/>
      <c r="C37" s="832"/>
      <c r="D37" s="833"/>
      <c r="E37" s="834"/>
      <c r="F37" s="835"/>
      <c r="G37" s="842"/>
      <c r="H37" s="867"/>
      <c r="I37" s="868"/>
      <c r="J37" s="869"/>
      <c r="K37" s="867"/>
      <c r="L37" s="868"/>
      <c r="M37" s="869"/>
      <c r="N37" s="867"/>
      <c r="O37" s="868"/>
      <c r="P37" s="869"/>
      <c r="Q37" s="867"/>
      <c r="R37" s="868"/>
      <c r="S37" s="870"/>
    </row>
    <row r="38" spans="1:20" ht="25" customHeight="1" thickBot="1" x14ac:dyDescent="0.4">
      <c r="A38" s="521"/>
      <c r="B38" s="843"/>
      <c r="C38" s="848"/>
      <c r="D38" s="848"/>
      <c r="E38" s="845"/>
      <c r="F38" s="846"/>
      <c r="G38" s="847"/>
      <c r="H38" s="871"/>
      <c r="I38" s="851"/>
      <c r="J38" s="872"/>
      <c r="K38" s="871"/>
      <c r="L38" s="851"/>
      <c r="M38" s="872"/>
      <c r="N38" s="871"/>
      <c r="O38" s="851"/>
      <c r="P38" s="872"/>
      <c r="Q38" s="871"/>
      <c r="R38" s="851"/>
      <c r="S38" s="852"/>
    </row>
    <row r="39" spans="1:20" ht="60" customHeight="1" thickBot="1" x14ac:dyDescent="0.55000000000000004">
      <c r="A39" s="522" t="s">
        <v>46</v>
      </c>
      <c r="B39" s="523"/>
      <c r="C39" s="523"/>
      <c r="D39" s="523"/>
      <c r="E39" s="523"/>
      <c r="F39" s="523"/>
      <c r="G39" s="523"/>
      <c r="H39" s="523"/>
      <c r="I39" s="523"/>
      <c r="J39" s="523"/>
      <c r="K39" s="523"/>
      <c r="L39" s="523"/>
      <c r="M39" s="523"/>
      <c r="N39" s="523"/>
      <c r="O39" s="523"/>
      <c r="P39" s="523"/>
      <c r="Q39" s="523"/>
      <c r="R39" s="523"/>
      <c r="S39" s="524"/>
    </row>
  </sheetData>
  <customSheetViews>
    <customSheetView guid="{AF731A35-9978-4A72-829F-F3E8771EE2D4}" scale="55" showPageBreaks="1" printArea="1" view="pageLayout">
      <selection activeCell="D11" sqref="D11"/>
      <pageMargins left="0" right="0" top="0" bottom="0" header="0" footer="0"/>
      <printOptions horizontalCentered="1" verticalCentered="1"/>
      <pageSetup paperSize="9" scale="33" fitToWidth="0" fitToHeight="0" orientation="landscape" r:id="rId1"/>
      <headerFooter alignWithMargins="0">
        <oddFooter xml:space="preserve">&amp;Lerstellt/freigegeben: M. Mayrhofer&amp;CTourenplan vom :&amp;D&amp;RAusgabedatum: 27.06.06
</oddFooter>
      </headerFooter>
    </customSheetView>
  </customSheetViews>
  <mergeCells count="40">
    <mergeCell ref="B1:D1"/>
    <mergeCell ref="E1:M1"/>
    <mergeCell ref="N1:P1"/>
    <mergeCell ref="Q1:S1"/>
    <mergeCell ref="A3:A5"/>
    <mergeCell ref="B3:D3"/>
    <mergeCell ref="E3:G3"/>
    <mergeCell ref="H3:J3"/>
    <mergeCell ref="K3:M3"/>
    <mergeCell ref="N3:P3"/>
    <mergeCell ref="A6:A8"/>
    <mergeCell ref="E6:G6"/>
    <mergeCell ref="K6:M6"/>
    <mergeCell ref="Q6:S6"/>
    <mergeCell ref="A9:A11"/>
    <mergeCell ref="B9:D9"/>
    <mergeCell ref="H9:J9"/>
    <mergeCell ref="K9:M9"/>
    <mergeCell ref="N9:P9"/>
    <mergeCell ref="A25:A27"/>
    <mergeCell ref="H25:J25"/>
    <mergeCell ref="K25:M25"/>
    <mergeCell ref="N25:P25"/>
    <mergeCell ref="A12:A14"/>
    <mergeCell ref="B12:D12"/>
    <mergeCell ref="H12:J12"/>
    <mergeCell ref="N12:P12"/>
    <mergeCell ref="A15:A17"/>
    <mergeCell ref="E15:G15"/>
    <mergeCell ref="K15:M15"/>
    <mergeCell ref="Q15:S15"/>
    <mergeCell ref="A18:A20"/>
    <mergeCell ref="B18:D18"/>
    <mergeCell ref="N18:P18"/>
    <mergeCell ref="A21:A23"/>
    <mergeCell ref="A28:A30"/>
    <mergeCell ref="A31:A33"/>
    <mergeCell ref="A35:A36"/>
    <mergeCell ref="A37:A38"/>
    <mergeCell ref="A39:S39"/>
  </mergeCells>
  <printOptions horizontalCentered="1" verticalCentered="1"/>
  <pageMargins left="0" right="0" top="0.31496062992125984" bottom="0" header="0.19685039370078741" footer="0.19685039370078741"/>
  <pageSetup paperSize="9" scale="33" fitToWidth="0" fitToHeight="0" orientation="landscape" r:id="rId2"/>
  <headerFooter alignWithMargins="0">
    <oddFooter xml:space="preserve">&amp;Lerstellt/freigegeben: M. Mayrhofer&amp;CTourenplan vom :&amp;D&amp;RAusgabedatum: 27.06.06
</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C1881-6942-406E-8AB6-10AD66866B07}">
  <sheetPr codeName="Tabelle8">
    <pageSetUpPr fitToPage="1"/>
  </sheetPr>
  <dimension ref="A1:U56"/>
  <sheetViews>
    <sheetView zoomScale="55" zoomScaleNormal="55" zoomScaleSheetLayoutView="25" zoomScalePageLayoutView="55" workbookViewId="0">
      <selection activeCell="D2" sqref="D2"/>
    </sheetView>
  </sheetViews>
  <sheetFormatPr baseColWidth="10" defaultColWidth="14.81640625" defaultRowHeight="15.5" x14ac:dyDescent="0.35"/>
  <cols>
    <col min="1" max="1" width="45.1796875" style="6" bestFit="1" customWidth="1"/>
    <col min="2" max="2" width="31.81640625" style="6" customWidth="1"/>
    <col min="3" max="4" width="16.453125" style="6" customWidth="1"/>
    <col min="5" max="5" width="31.81640625" style="6" customWidth="1"/>
    <col min="6" max="7" width="16.453125" style="6" customWidth="1"/>
    <col min="8" max="8" width="30.54296875" style="6" customWidth="1"/>
    <col min="9" max="10" width="16.453125" style="6" customWidth="1"/>
    <col min="11" max="11" width="31.81640625" style="6" customWidth="1"/>
    <col min="12" max="13" width="16.453125" style="6" customWidth="1"/>
    <col min="14" max="14" width="31.81640625" style="6" customWidth="1"/>
    <col min="15" max="16" width="16.453125" style="6" customWidth="1"/>
    <col min="17" max="17" width="30.54296875" style="6" customWidth="1"/>
    <col min="18" max="19" width="16.453125" style="6" customWidth="1"/>
    <col min="20" max="20" width="11.26953125" style="6" customWidth="1"/>
    <col min="21" max="16384" width="14.81640625" style="6"/>
  </cols>
  <sheetData>
    <row r="1" spans="1:21" ht="56.25" customHeight="1" thickBot="1" x14ac:dyDescent="0.4">
      <c r="A1" s="5"/>
      <c r="B1" s="542" t="s">
        <v>14</v>
      </c>
      <c r="C1" s="543"/>
      <c r="D1" s="544"/>
      <c r="E1" s="545" t="s">
        <v>73</v>
      </c>
      <c r="F1" s="546"/>
      <c r="G1" s="546"/>
      <c r="H1" s="546"/>
      <c r="I1" s="546"/>
      <c r="J1" s="546"/>
      <c r="K1" s="546"/>
      <c r="L1" s="546"/>
      <c r="M1" s="547"/>
      <c r="N1" s="548">
        <f>_xlfn.ISOWEEKNUM(B2)</f>
        <v>15</v>
      </c>
      <c r="O1" s="549"/>
      <c r="P1" s="550"/>
      <c r="Q1" s="542" t="s">
        <v>74</v>
      </c>
      <c r="R1" s="543"/>
      <c r="S1" s="544"/>
    </row>
    <row r="2" spans="1:21" ht="30.5" thickBot="1" x14ac:dyDescent="0.65">
      <c r="A2" s="7"/>
      <c r="B2" s="172">
        <v>45754</v>
      </c>
      <c r="C2" s="173"/>
      <c r="D2" s="174"/>
      <c r="E2" s="172">
        <f>B2+1</f>
        <v>45755</v>
      </c>
      <c r="F2" s="183"/>
      <c r="G2" s="184"/>
      <c r="H2" s="172">
        <f t="shared" ref="H2" si="0">E2+1</f>
        <v>45756</v>
      </c>
      <c r="I2" s="183"/>
      <c r="J2" s="184"/>
      <c r="K2" s="172">
        <f t="shared" ref="K2" si="1">H2+1</f>
        <v>45757</v>
      </c>
      <c r="L2" s="183"/>
      <c r="M2" s="184"/>
      <c r="N2" s="172">
        <f t="shared" ref="N2" si="2">K2+1</f>
        <v>45758</v>
      </c>
      <c r="O2" s="183"/>
      <c r="P2" s="184"/>
      <c r="Q2" s="172">
        <f t="shared" ref="Q2" si="3">N2+1</f>
        <v>45759</v>
      </c>
      <c r="R2" s="183"/>
      <c r="S2" s="184"/>
    </row>
    <row r="3" spans="1:21" ht="23.25" customHeight="1" x14ac:dyDescent="0.5">
      <c r="A3" s="540" t="s">
        <v>75</v>
      </c>
      <c r="B3" s="719"/>
      <c r="C3" s="720"/>
      <c r="D3" s="721"/>
      <c r="E3" s="722"/>
      <c r="F3" s="723"/>
      <c r="G3" s="724"/>
      <c r="H3" s="722"/>
      <c r="I3" s="720"/>
      <c r="J3" s="721"/>
      <c r="K3" s="725"/>
      <c r="L3" s="726"/>
      <c r="M3" s="727"/>
      <c r="N3" s="722"/>
      <c r="O3" s="720"/>
      <c r="P3" s="721"/>
      <c r="Q3" s="728"/>
      <c r="R3" s="729"/>
      <c r="S3" s="730"/>
      <c r="T3" s="13"/>
      <c r="U3" s="14"/>
    </row>
    <row r="4" spans="1:21" ht="23.25" customHeight="1" x14ac:dyDescent="0.5">
      <c r="A4" s="541"/>
      <c r="B4" s="731"/>
      <c r="C4" s="732"/>
      <c r="D4" s="733"/>
      <c r="E4" s="734"/>
      <c r="F4" s="732"/>
      <c r="G4" s="735"/>
      <c r="H4" s="736"/>
      <c r="I4" s="732"/>
      <c r="J4" s="737"/>
      <c r="K4" s="738"/>
      <c r="L4" s="739"/>
      <c r="M4" s="740"/>
      <c r="N4" s="736"/>
      <c r="O4" s="732"/>
      <c r="P4" s="733"/>
      <c r="Q4" s="734"/>
      <c r="R4" s="732"/>
      <c r="S4" s="741"/>
      <c r="T4" s="14"/>
      <c r="U4" s="14"/>
    </row>
    <row r="5" spans="1:21" ht="23.25" customHeight="1" x14ac:dyDescent="0.5">
      <c r="A5" s="541"/>
      <c r="B5" s="742"/>
      <c r="C5" s="743"/>
      <c r="D5" s="744"/>
      <c r="E5" s="745"/>
      <c r="F5" s="746"/>
      <c r="G5" s="747"/>
      <c r="H5" s="745"/>
      <c r="I5" s="743"/>
      <c r="J5" s="748"/>
      <c r="K5" s="749"/>
      <c r="L5" s="750"/>
      <c r="M5" s="751"/>
      <c r="N5" s="745"/>
      <c r="O5" s="743"/>
      <c r="P5" s="744"/>
      <c r="Q5" s="745"/>
      <c r="R5" s="746"/>
      <c r="S5" s="752"/>
      <c r="T5" s="14"/>
      <c r="U5" s="14"/>
    </row>
    <row r="6" spans="1:21" ht="23.25" customHeight="1" x14ac:dyDescent="0.5">
      <c r="A6" s="540" t="s">
        <v>76</v>
      </c>
      <c r="B6" s="753"/>
      <c r="C6" s="754"/>
      <c r="D6" s="754"/>
      <c r="E6" s="755"/>
      <c r="F6" s="756"/>
      <c r="G6" s="757"/>
      <c r="H6" s="758"/>
      <c r="I6" s="754"/>
      <c r="J6" s="782"/>
      <c r="K6" s="755"/>
      <c r="L6" s="756"/>
      <c r="M6" s="757"/>
      <c r="N6" s="758"/>
      <c r="O6" s="754"/>
      <c r="P6" s="782"/>
      <c r="Q6" s="755"/>
      <c r="R6" s="756"/>
      <c r="S6" s="759"/>
      <c r="T6" s="14"/>
      <c r="U6" s="14"/>
    </row>
    <row r="7" spans="1:21" ht="23.25" customHeight="1" x14ac:dyDescent="0.35">
      <c r="A7" s="541"/>
      <c r="B7" s="760"/>
      <c r="C7" s="732"/>
      <c r="D7" s="732"/>
      <c r="E7" s="736"/>
      <c r="F7" s="732"/>
      <c r="G7" s="737"/>
      <c r="H7" s="734"/>
      <c r="I7" s="732"/>
      <c r="J7" s="735"/>
      <c r="K7" s="736"/>
      <c r="L7" s="732"/>
      <c r="M7" s="733"/>
      <c r="N7" s="734"/>
      <c r="O7" s="732"/>
      <c r="P7" s="735"/>
      <c r="Q7" s="736"/>
      <c r="R7" s="732"/>
      <c r="S7" s="761"/>
    </row>
    <row r="8" spans="1:21" ht="23.25" customHeight="1" x14ac:dyDescent="0.35">
      <c r="A8" s="541"/>
      <c r="B8" s="742"/>
      <c r="C8" s="746"/>
      <c r="D8" s="746"/>
      <c r="E8" s="745"/>
      <c r="F8" s="743"/>
      <c r="G8" s="744"/>
      <c r="H8" s="745"/>
      <c r="I8" s="746"/>
      <c r="J8" s="747"/>
      <c r="K8" s="745"/>
      <c r="L8" s="743"/>
      <c r="M8" s="744"/>
      <c r="N8" s="745"/>
      <c r="O8" s="746"/>
      <c r="P8" s="747"/>
      <c r="Q8" s="745"/>
      <c r="R8" s="743"/>
      <c r="S8" s="762"/>
    </row>
    <row r="9" spans="1:21" ht="23.25" customHeight="1" x14ac:dyDescent="0.35">
      <c r="A9" s="540" t="s">
        <v>77</v>
      </c>
      <c r="B9" s="763"/>
      <c r="C9" s="756"/>
      <c r="D9" s="757"/>
      <c r="E9" s="764"/>
      <c r="F9" s="765"/>
      <c r="G9" s="766"/>
      <c r="H9" s="767"/>
      <c r="I9" s="768"/>
      <c r="J9" s="769"/>
      <c r="K9" s="767"/>
      <c r="L9" s="768"/>
      <c r="M9" s="769"/>
      <c r="N9" s="755"/>
      <c r="O9" s="756"/>
      <c r="P9" s="757"/>
      <c r="Q9" s="758"/>
      <c r="R9" s="754"/>
      <c r="S9" s="770"/>
    </row>
    <row r="10" spans="1:21" ht="23.25" customHeight="1" x14ac:dyDescent="0.35">
      <c r="A10" s="541"/>
      <c r="B10" s="731"/>
      <c r="C10" s="771"/>
      <c r="D10" s="737"/>
      <c r="E10" s="734"/>
      <c r="F10" s="732"/>
      <c r="G10" s="735"/>
      <c r="H10" s="772"/>
      <c r="I10" s="773"/>
      <c r="J10" s="733"/>
      <c r="K10" s="772"/>
      <c r="L10" s="773"/>
      <c r="M10" s="733"/>
      <c r="N10" s="736"/>
      <c r="O10" s="732"/>
      <c r="P10" s="733"/>
      <c r="Q10" s="734"/>
      <c r="R10" s="732"/>
      <c r="S10" s="741"/>
    </row>
    <row r="11" spans="1:21" ht="23.25" customHeight="1" x14ac:dyDescent="0.35">
      <c r="A11" s="541"/>
      <c r="B11" s="742"/>
      <c r="C11" s="743"/>
      <c r="D11" s="774"/>
      <c r="E11" s="745"/>
      <c r="F11" s="746"/>
      <c r="G11" s="747"/>
      <c r="H11" s="775"/>
      <c r="I11" s="776"/>
      <c r="J11" s="748"/>
      <c r="K11" s="775"/>
      <c r="L11" s="776"/>
      <c r="M11" s="748"/>
      <c r="N11" s="745"/>
      <c r="O11" s="743"/>
      <c r="P11" s="744"/>
      <c r="Q11" s="745"/>
      <c r="R11" s="746"/>
      <c r="S11" s="752"/>
    </row>
    <row r="12" spans="1:21" ht="23.25" customHeight="1" x14ac:dyDescent="0.35">
      <c r="A12" s="582" t="s">
        <v>78</v>
      </c>
      <c r="B12" s="788"/>
      <c r="C12" s="791"/>
      <c r="D12" s="792"/>
      <c r="E12" s="790"/>
      <c r="F12" s="789"/>
      <c r="G12" s="873"/>
      <c r="H12" s="874"/>
      <c r="I12" s="875"/>
      <c r="J12" s="876"/>
      <c r="K12" s="874"/>
      <c r="L12" s="875"/>
      <c r="M12" s="876"/>
      <c r="N12" s="790"/>
      <c r="O12" s="791"/>
      <c r="P12" s="792"/>
      <c r="Q12" s="790"/>
      <c r="R12" s="789"/>
      <c r="S12" s="877"/>
    </row>
    <row r="13" spans="1:21" ht="23.25" customHeight="1" x14ac:dyDescent="0.35">
      <c r="A13" s="556"/>
      <c r="B13" s="798"/>
      <c r="C13" s="801"/>
      <c r="D13" s="802"/>
      <c r="E13" s="800"/>
      <c r="F13" s="799"/>
      <c r="G13" s="812"/>
      <c r="H13" s="863"/>
      <c r="I13" s="878"/>
      <c r="J13" s="864"/>
      <c r="K13" s="863"/>
      <c r="L13" s="878"/>
      <c r="M13" s="864"/>
      <c r="N13" s="800"/>
      <c r="O13" s="801"/>
      <c r="P13" s="802"/>
      <c r="Q13" s="800"/>
      <c r="R13" s="799"/>
      <c r="S13" s="815"/>
    </row>
    <row r="14" spans="1:21" ht="23.25" customHeight="1" x14ac:dyDescent="0.35">
      <c r="A14" s="557"/>
      <c r="B14" s="742"/>
      <c r="C14" s="743"/>
      <c r="D14" s="744"/>
      <c r="E14" s="745"/>
      <c r="F14" s="746"/>
      <c r="G14" s="747"/>
      <c r="H14" s="775"/>
      <c r="I14" s="776"/>
      <c r="J14" s="748"/>
      <c r="K14" s="775"/>
      <c r="L14" s="776"/>
      <c r="M14" s="748"/>
      <c r="N14" s="745"/>
      <c r="O14" s="743"/>
      <c r="P14" s="744"/>
      <c r="Q14" s="745"/>
      <c r="R14" s="746"/>
      <c r="S14" s="752"/>
    </row>
    <row r="15" spans="1:21" ht="23.25" customHeight="1" x14ac:dyDescent="0.35">
      <c r="A15" s="582" t="s">
        <v>79</v>
      </c>
      <c r="B15" s="788"/>
      <c r="C15" s="791"/>
      <c r="D15" s="792"/>
      <c r="E15" s="790"/>
      <c r="F15" s="789"/>
      <c r="G15" s="873"/>
      <c r="H15" s="874"/>
      <c r="I15" s="875"/>
      <c r="J15" s="876"/>
      <c r="K15" s="874"/>
      <c r="L15" s="875"/>
      <c r="M15" s="876"/>
      <c r="N15" s="790"/>
      <c r="O15" s="791"/>
      <c r="P15" s="792"/>
      <c r="Q15" s="790"/>
      <c r="R15" s="789"/>
      <c r="S15" s="877"/>
    </row>
    <row r="16" spans="1:21" ht="23.25" customHeight="1" x14ac:dyDescent="0.35">
      <c r="A16" s="583"/>
      <c r="B16" s="798"/>
      <c r="C16" s="801"/>
      <c r="D16" s="802"/>
      <c r="E16" s="800"/>
      <c r="F16" s="799"/>
      <c r="G16" s="812"/>
      <c r="H16" s="863"/>
      <c r="I16" s="878"/>
      <c r="J16" s="864"/>
      <c r="K16" s="863"/>
      <c r="L16" s="878"/>
      <c r="M16" s="864"/>
      <c r="N16" s="800"/>
      <c r="O16" s="801"/>
      <c r="P16" s="802"/>
      <c r="Q16" s="800"/>
      <c r="R16" s="799"/>
      <c r="S16" s="815"/>
    </row>
    <row r="17" spans="1:19" ht="23.25" customHeight="1" x14ac:dyDescent="0.35">
      <c r="A17" s="584"/>
      <c r="B17" s="742"/>
      <c r="C17" s="743"/>
      <c r="D17" s="744"/>
      <c r="E17" s="745"/>
      <c r="F17" s="746"/>
      <c r="G17" s="747"/>
      <c r="H17" s="775"/>
      <c r="I17" s="776"/>
      <c r="J17" s="748"/>
      <c r="K17" s="775"/>
      <c r="L17" s="776"/>
      <c r="M17" s="748"/>
      <c r="N17" s="745"/>
      <c r="O17" s="743"/>
      <c r="P17" s="744"/>
      <c r="Q17" s="745"/>
      <c r="R17" s="746"/>
      <c r="S17" s="752"/>
    </row>
    <row r="18" spans="1:19" ht="23.25" customHeight="1" x14ac:dyDescent="0.35">
      <c r="A18" s="582" t="s">
        <v>80</v>
      </c>
      <c r="B18" s="788"/>
      <c r="C18" s="791"/>
      <c r="D18" s="792"/>
      <c r="E18" s="800"/>
      <c r="F18" s="799"/>
      <c r="G18" s="812"/>
      <c r="H18" s="874"/>
      <c r="I18" s="875"/>
      <c r="J18" s="876"/>
      <c r="K18" s="874"/>
      <c r="L18" s="875"/>
      <c r="M18" s="876"/>
      <c r="N18" s="790"/>
      <c r="O18" s="791"/>
      <c r="P18" s="792"/>
      <c r="Q18" s="790"/>
      <c r="R18" s="789"/>
      <c r="S18" s="877"/>
    </row>
    <row r="19" spans="1:19" ht="23.25" customHeight="1" x14ac:dyDescent="0.35">
      <c r="A19" s="556"/>
      <c r="B19" s="798"/>
      <c r="C19" s="801"/>
      <c r="D19" s="802"/>
      <c r="E19" s="800"/>
      <c r="F19" s="799"/>
      <c r="G19" s="812"/>
      <c r="H19" s="863"/>
      <c r="I19" s="878"/>
      <c r="J19" s="864"/>
      <c r="K19" s="863"/>
      <c r="L19" s="878"/>
      <c r="M19" s="864"/>
      <c r="N19" s="800"/>
      <c r="O19" s="801"/>
      <c r="P19" s="802"/>
      <c r="Q19" s="800"/>
      <c r="R19" s="799"/>
      <c r="S19" s="815"/>
    </row>
    <row r="20" spans="1:19" ht="23.25" customHeight="1" x14ac:dyDescent="0.35">
      <c r="A20" s="557"/>
      <c r="B20" s="742"/>
      <c r="C20" s="743"/>
      <c r="D20" s="744"/>
      <c r="E20" s="800"/>
      <c r="F20" s="799"/>
      <c r="G20" s="812"/>
      <c r="H20" s="775"/>
      <c r="I20" s="776"/>
      <c r="J20" s="748"/>
      <c r="K20" s="775"/>
      <c r="L20" s="776"/>
      <c r="M20" s="748"/>
      <c r="N20" s="745"/>
      <c r="O20" s="743"/>
      <c r="P20" s="744"/>
      <c r="Q20" s="745"/>
      <c r="R20" s="746"/>
      <c r="S20" s="752"/>
    </row>
    <row r="21" spans="1:19" ht="23.25" customHeight="1" x14ac:dyDescent="0.35">
      <c r="A21" s="540" t="s">
        <v>81</v>
      </c>
      <c r="B21" s="763"/>
      <c r="C21" s="756"/>
      <c r="D21" s="757"/>
      <c r="E21" s="764"/>
      <c r="F21" s="765"/>
      <c r="G21" s="766"/>
      <c r="H21" s="755"/>
      <c r="I21" s="756"/>
      <c r="J21" s="757"/>
      <c r="K21" s="758"/>
      <c r="L21" s="754"/>
      <c r="M21" s="782"/>
      <c r="N21" s="767"/>
      <c r="O21" s="768"/>
      <c r="P21" s="769"/>
      <c r="Q21" s="764"/>
      <c r="R21" s="765"/>
      <c r="S21" s="808"/>
    </row>
    <row r="22" spans="1:19" ht="23.25" customHeight="1" x14ac:dyDescent="0.35">
      <c r="A22" s="541"/>
      <c r="B22" s="731"/>
      <c r="C22" s="732"/>
      <c r="D22" s="733"/>
      <c r="E22" s="734"/>
      <c r="F22" s="732"/>
      <c r="G22" s="735"/>
      <c r="H22" s="736"/>
      <c r="I22" s="732"/>
      <c r="J22" s="737"/>
      <c r="K22" s="734"/>
      <c r="L22" s="732"/>
      <c r="M22" s="735"/>
      <c r="N22" s="772"/>
      <c r="O22" s="773"/>
      <c r="P22" s="733"/>
      <c r="Q22" s="734"/>
      <c r="R22" s="732"/>
      <c r="S22" s="741"/>
    </row>
    <row r="23" spans="1:19" ht="23.25" customHeight="1" x14ac:dyDescent="0.35">
      <c r="A23" s="541"/>
      <c r="B23" s="742"/>
      <c r="C23" s="743"/>
      <c r="D23" s="780"/>
      <c r="E23" s="745"/>
      <c r="F23" s="746"/>
      <c r="G23" s="747"/>
      <c r="H23" s="745"/>
      <c r="I23" s="743"/>
      <c r="J23" s="744"/>
      <c r="K23" s="745"/>
      <c r="L23" s="746"/>
      <c r="M23" s="747"/>
      <c r="N23" s="775"/>
      <c r="O23" s="776"/>
      <c r="P23" s="748"/>
      <c r="Q23" s="745"/>
      <c r="R23" s="746"/>
      <c r="S23" s="752"/>
    </row>
    <row r="24" spans="1:19" ht="23.25" customHeight="1" x14ac:dyDescent="0.35">
      <c r="A24" s="585" t="s">
        <v>82</v>
      </c>
      <c r="B24" s="865"/>
      <c r="C24" s="754"/>
      <c r="D24" s="754"/>
      <c r="E24" s="755"/>
      <c r="F24" s="756"/>
      <c r="G24" s="757"/>
      <c r="H24" s="764"/>
      <c r="I24" s="765"/>
      <c r="J24" s="766"/>
      <c r="K24" s="755"/>
      <c r="L24" s="756"/>
      <c r="M24" s="757"/>
      <c r="N24" s="758"/>
      <c r="O24" s="754"/>
      <c r="P24" s="782"/>
      <c r="Q24" s="755"/>
      <c r="R24" s="756"/>
      <c r="S24" s="759"/>
    </row>
    <row r="25" spans="1:19" ht="23.25" customHeight="1" x14ac:dyDescent="0.35">
      <c r="A25" s="541"/>
      <c r="B25" s="760"/>
      <c r="C25" s="732"/>
      <c r="D25" s="732"/>
      <c r="E25" s="736"/>
      <c r="F25" s="732"/>
      <c r="G25" s="737"/>
      <c r="H25" s="734"/>
      <c r="I25" s="732"/>
      <c r="J25" s="735"/>
      <c r="K25" s="736"/>
      <c r="L25" s="732"/>
      <c r="M25" s="737"/>
      <c r="N25" s="734"/>
      <c r="O25" s="732"/>
      <c r="P25" s="735"/>
      <c r="Q25" s="736"/>
      <c r="R25" s="732"/>
      <c r="S25" s="761"/>
    </row>
    <row r="26" spans="1:19" ht="23.25" customHeight="1" x14ac:dyDescent="0.35">
      <c r="A26" s="541"/>
      <c r="B26" s="742"/>
      <c r="C26" s="746"/>
      <c r="D26" s="746"/>
      <c r="E26" s="745"/>
      <c r="F26" s="743"/>
      <c r="G26" s="744"/>
      <c r="H26" s="745"/>
      <c r="I26" s="746"/>
      <c r="J26" s="785"/>
      <c r="K26" s="745"/>
      <c r="L26" s="743"/>
      <c r="M26" s="744"/>
      <c r="N26" s="745"/>
      <c r="O26" s="786"/>
      <c r="P26" s="787"/>
      <c r="Q26" s="745"/>
      <c r="R26" s="743"/>
      <c r="S26" s="762"/>
    </row>
    <row r="27" spans="1:19" ht="23.25" customHeight="1" x14ac:dyDescent="0.35">
      <c r="A27" s="582" t="s">
        <v>83</v>
      </c>
      <c r="B27" s="788"/>
      <c r="C27" s="789"/>
      <c r="D27" s="789"/>
      <c r="E27" s="790"/>
      <c r="F27" s="791"/>
      <c r="G27" s="792"/>
      <c r="H27" s="790"/>
      <c r="I27" s="789"/>
      <c r="J27" s="793"/>
      <c r="K27" s="790"/>
      <c r="L27" s="791"/>
      <c r="M27" s="792"/>
      <c r="N27" s="790"/>
      <c r="O27" s="795"/>
      <c r="P27" s="796"/>
      <c r="Q27" s="790"/>
      <c r="R27" s="791"/>
      <c r="S27" s="797"/>
    </row>
    <row r="28" spans="1:19" ht="23.25" customHeight="1" x14ac:dyDescent="0.35">
      <c r="A28" s="556"/>
      <c r="B28" s="798"/>
      <c r="C28" s="799"/>
      <c r="D28" s="799"/>
      <c r="E28" s="800"/>
      <c r="F28" s="801"/>
      <c r="G28" s="802"/>
      <c r="H28" s="800"/>
      <c r="I28" s="799"/>
      <c r="J28" s="803"/>
      <c r="K28" s="800"/>
      <c r="L28" s="801"/>
      <c r="M28" s="802"/>
      <c r="N28" s="800"/>
      <c r="O28" s="805"/>
      <c r="P28" s="806"/>
      <c r="Q28" s="800"/>
      <c r="R28" s="801"/>
      <c r="S28" s="807"/>
    </row>
    <row r="29" spans="1:19" ht="23.25" customHeight="1" x14ac:dyDescent="0.35">
      <c r="A29" s="557"/>
      <c r="B29" s="742"/>
      <c r="C29" s="746"/>
      <c r="D29" s="746"/>
      <c r="E29" s="745"/>
      <c r="F29" s="743"/>
      <c r="G29" s="744"/>
      <c r="H29" s="745"/>
      <c r="I29" s="746"/>
      <c r="J29" s="785"/>
      <c r="K29" s="745"/>
      <c r="L29" s="743"/>
      <c r="M29" s="744"/>
      <c r="N29" s="745"/>
      <c r="O29" s="786"/>
      <c r="P29" s="787"/>
      <c r="Q29" s="745"/>
      <c r="R29" s="743"/>
      <c r="S29" s="762"/>
    </row>
    <row r="30" spans="1:19" ht="23.25" customHeight="1" x14ac:dyDescent="0.35">
      <c r="A30" s="582" t="s">
        <v>84</v>
      </c>
      <c r="B30" s="788"/>
      <c r="C30" s="789"/>
      <c r="D30" s="789"/>
      <c r="E30" s="790"/>
      <c r="F30" s="791"/>
      <c r="G30" s="792"/>
      <c r="H30" s="790"/>
      <c r="I30" s="789"/>
      <c r="J30" s="793"/>
      <c r="K30" s="790"/>
      <c r="L30" s="791"/>
      <c r="M30" s="792"/>
      <c r="N30" s="790"/>
      <c r="O30" s="795"/>
      <c r="P30" s="796"/>
      <c r="Q30" s="790"/>
      <c r="R30" s="791"/>
      <c r="S30" s="797"/>
    </row>
    <row r="31" spans="1:19" ht="23.25" customHeight="1" x14ac:dyDescent="0.35">
      <c r="A31" s="556"/>
      <c r="B31" s="798"/>
      <c r="C31" s="799"/>
      <c r="D31" s="799"/>
      <c r="E31" s="800"/>
      <c r="F31" s="801"/>
      <c r="G31" s="802"/>
      <c r="H31" s="800"/>
      <c r="I31" s="799"/>
      <c r="J31" s="803"/>
      <c r="K31" s="800"/>
      <c r="L31" s="801"/>
      <c r="M31" s="802"/>
      <c r="N31" s="800"/>
      <c r="O31" s="805"/>
      <c r="P31" s="806"/>
      <c r="Q31" s="800"/>
      <c r="R31" s="801"/>
      <c r="S31" s="807"/>
    </row>
    <row r="32" spans="1:19" ht="23.25" customHeight="1" x14ac:dyDescent="0.35">
      <c r="A32" s="557"/>
      <c r="B32" s="742"/>
      <c r="C32" s="746"/>
      <c r="D32" s="746"/>
      <c r="E32" s="745"/>
      <c r="F32" s="743"/>
      <c r="G32" s="744"/>
      <c r="H32" s="745"/>
      <c r="I32" s="746"/>
      <c r="J32" s="785"/>
      <c r="K32" s="745"/>
      <c r="L32" s="743"/>
      <c r="M32" s="744"/>
      <c r="N32" s="745"/>
      <c r="O32" s="786"/>
      <c r="P32" s="787"/>
      <c r="Q32" s="745"/>
      <c r="R32" s="743"/>
      <c r="S32" s="762"/>
    </row>
    <row r="33" spans="1:19" ht="23.25" customHeight="1" x14ac:dyDescent="0.35">
      <c r="A33" s="585" t="s">
        <v>85</v>
      </c>
      <c r="B33" s="879"/>
      <c r="C33" s="880"/>
      <c r="D33" s="881"/>
      <c r="E33" s="777"/>
      <c r="F33" s="778"/>
      <c r="G33" s="781"/>
      <c r="H33" s="777"/>
      <c r="I33" s="778"/>
      <c r="J33" s="781"/>
      <c r="K33" s="777"/>
      <c r="L33" s="778"/>
      <c r="M33" s="781"/>
      <c r="N33" s="882"/>
      <c r="O33" s="880"/>
      <c r="P33" s="881"/>
      <c r="Q33" s="777"/>
      <c r="R33" s="778"/>
      <c r="S33" s="779"/>
    </row>
    <row r="34" spans="1:19" ht="23.25" customHeight="1" x14ac:dyDescent="0.35">
      <c r="A34" s="541"/>
      <c r="B34" s="185"/>
      <c r="C34" s="16"/>
      <c r="D34" s="17"/>
      <c r="E34" s="18"/>
      <c r="F34" s="16"/>
      <c r="G34" s="19"/>
      <c r="H34" s="18"/>
      <c r="I34" s="16"/>
      <c r="J34" s="19"/>
      <c r="K34" s="18"/>
      <c r="L34" s="16"/>
      <c r="M34" s="19"/>
      <c r="N34" s="15"/>
      <c r="O34" s="16"/>
      <c r="P34" s="20"/>
      <c r="Q34" s="18"/>
      <c r="R34" s="16"/>
      <c r="S34" s="21"/>
    </row>
    <row r="35" spans="1:19" ht="23.25" customHeight="1" x14ac:dyDescent="0.35">
      <c r="A35" s="541"/>
      <c r="B35" s="742"/>
      <c r="C35" s="743"/>
      <c r="D35" s="744"/>
      <c r="E35" s="745"/>
      <c r="F35" s="746"/>
      <c r="G35" s="747"/>
      <c r="H35" s="745"/>
      <c r="I35" s="746"/>
      <c r="J35" s="785"/>
      <c r="K35" s="745"/>
      <c r="L35" s="746"/>
      <c r="M35" s="785"/>
      <c r="N35" s="745"/>
      <c r="O35" s="810"/>
      <c r="P35" s="811"/>
      <c r="Q35" s="745"/>
      <c r="R35" s="746"/>
      <c r="S35" s="752"/>
    </row>
    <row r="36" spans="1:19" ht="23.25" customHeight="1" x14ac:dyDescent="0.35">
      <c r="A36" s="540" t="s">
        <v>86</v>
      </c>
      <c r="B36" s="753"/>
      <c r="C36" s="765"/>
      <c r="D36" s="765"/>
      <c r="E36" s="764"/>
      <c r="F36" s="765"/>
      <c r="G36" s="766"/>
      <c r="H36" s="764"/>
      <c r="I36" s="765"/>
      <c r="J36" s="766"/>
      <c r="K36" s="764"/>
      <c r="L36" s="765"/>
      <c r="M36" s="766"/>
      <c r="N36" s="764"/>
      <c r="O36" s="765"/>
      <c r="P36" s="766"/>
      <c r="Q36" s="764"/>
      <c r="R36" s="765"/>
      <c r="S36" s="808"/>
    </row>
    <row r="37" spans="1:19" ht="23.25" customHeight="1" x14ac:dyDescent="0.35">
      <c r="A37" s="541"/>
      <c r="B37" s="760"/>
      <c r="C37" s="732"/>
      <c r="D37" s="732"/>
      <c r="E37" s="734"/>
      <c r="F37" s="732"/>
      <c r="G37" s="735"/>
      <c r="H37" s="734"/>
      <c r="I37" s="732"/>
      <c r="J37" s="735"/>
      <c r="K37" s="734"/>
      <c r="L37" s="732"/>
      <c r="M37" s="735"/>
      <c r="N37" s="734"/>
      <c r="O37" s="732"/>
      <c r="P37" s="735"/>
      <c r="Q37" s="734"/>
      <c r="R37" s="732"/>
      <c r="S37" s="741"/>
    </row>
    <row r="38" spans="1:19" ht="23.25" customHeight="1" thickBot="1" x14ac:dyDescent="0.4">
      <c r="A38" s="586"/>
      <c r="B38" s="816"/>
      <c r="C38" s="817"/>
      <c r="D38" s="817"/>
      <c r="E38" s="818"/>
      <c r="F38" s="817"/>
      <c r="G38" s="819"/>
      <c r="H38" s="818"/>
      <c r="I38" s="817"/>
      <c r="J38" s="819"/>
      <c r="K38" s="818"/>
      <c r="L38" s="817"/>
      <c r="M38" s="819"/>
      <c r="N38" s="818"/>
      <c r="O38" s="821"/>
      <c r="P38" s="822"/>
      <c r="Q38" s="818"/>
      <c r="R38" s="817"/>
      <c r="S38" s="823"/>
    </row>
    <row r="39" spans="1:19" ht="5.25" customHeight="1" thickBot="1" x14ac:dyDescent="0.4">
      <c r="A39" s="46"/>
      <c r="B39" s="47"/>
      <c r="C39" s="48"/>
      <c r="D39" s="48"/>
      <c r="E39" s="47"/>
      <c r="F39" s="48"/>
      <c r="G39" s="48"/>
      <c r="H39" s="47"/>
      <c r="I39" s="48"/>
      <c r="J39" s="48"/>
      <c r="K39" s="47"/>
      <c r="L39" s="48"/>
      <c r="M39" s="48"/>
      <c r="N39" s="16"/>
      <c r="O39" s="16"/>
      <c r="P39" s="16"/>
      <c r="Q39" s="47"/>
      <c r="R39" s="48"/>
      <c r="S39" s="49"/>
    </row>
    <row r="40" spans="1:19" ht="23.25" customHeight="1" x14ac:dyDescent="0.35">
      <c r="A40" s="578" t="s">
        <v>87</v>
      </c>
      <c r="B40" s="189"/>
      <c r="C40" s="11"/>
      <c r="D40" s="12"/>
      <c r="E40" s="10"/>
      <c r="F40" s="11"/>
      <c r="G40" s="12"/>
      <c r="H40" s="532"/>
      <c r="I40" s="533"/>
      <c r="J40" s="534"/>
      <c r="K40" s="532"/>
      <c r="L40" s="533"/>
      <c r="M40" s="534"/>
      <c r="N40" s="532"/>
      <c r="O40" s="533"/>
      <c r="P40" s="534"/>
      <c r="Q40" s="50"/>
      <c r="R40" s="51"/>
      <c r="S40" s="52"/>
    </row>
    <row r="41" spans="1:19" ht="22.5" customHeight="1" x14ac:dyDescent="0.35">
      <c r="A41" s="579"/>
      <c r="B41" s="31"/>
      <c r="C41" s="16"/>
      <c r="D41" s="19"/>
      <c r="E41" s="18"/>
      <c r="F41" s="16"/>
      <c r="G41" s="19"/>
      <c r="H41" s="33"/>
      <c r="I41" s="34"/>
      <c r="J41" s="17"/>
      <c r="K41" s="33"/>
      <c r="L41" s="34"/>
      <c r="M41" s="17"/>
      <c r="N41" s="33"/>
      <c r="O41" s="34"/>
      <c r="P41" s="17"/>
      <c r="Q41" s="18"/>
      <c r="R41" s="16"/>
      <c r="S41" s="21"/>
    </row>
    <row r="42" spans="1:19" ht="23.25" customHeight="1" thickBot="1" x14ac:dyDescent="0.4">
      <c r="A42" s="580"/>
      <c r="B42" s="22"/>
      <c r="C42" s="38"/>
      <c r="D42" s="39"/>
      <c r="E42" s="24"/>
      <c r="F42" s="25"/>
      <c r="G42" s="26"/>
      <c r="H42" s="35"/>
      <c r="I42" s="36"/>
      <c r="J42" s="27"/>
      <c r="K42" s="35"/>
      <c r="L42" s="36"/>
      <c r="M42" s="27"/>
      <c r="N42" s="35"/>
      <c r="O42" s="36"/>
      <c r="P42" s="27"/>
      <c r="Q42" s="24"/>
      <c r="R42" s="25"/>
      <c r="S42" s="28"/>
    </row>
    <row r="43" spans="1:19" ht="23.25" customHeight="1" x14ac:dyDescent="0.35">
      <c r="A43" s="578" t="s">
        <v>88</v>
      </c>
      <c r="B43" s="186"/>
      <c r="C43" s="181"/>
      <c r="D43" s="182"/>
      <c r="E43" s="175"/>
      <c r="F43" s="176"/>
      <c r="G43" s="177"/>
      <c r="H43" s="178"/>
      <c r="I43" s="179"/>
      <c r="J43" s="180"/>
      <c r="K43" s="178"/>
      <c r="L43" s="179"/>
      <c r="M43" s="180"/>
      <c r="N43" s="178"/>
      <c r="O43" s="179"/>
      <c r="P43" s="180"/>
      <c r="Q43" s="175"/>
      <c r="R43" s="176"/>
      <c r="S43" s="187"/>
    </row>
    <row r="44" spans="1:19" ht="23.25" customHeight="1" x14ac:dyDescent="0.35">
      <c r="A44" s="579"/>
      <c r="B44" s="166"/>
      <c r="C44" s="170"/>
      <c r="D44" s="171"/>
      <c r="E44" s="54"/>
      <c r="F44" s="48"/>
      <c r="G44" s="53"/>
      <c r="H44" s="167"/>
      <c r="I44" s="168"/>
      <c r="J44" s="169"/>
      <c r="K44" s="167"/>
      <c r="L44" s="168"/>
      <c r="M44" s="169"/>
      <c r="N44" s="167"/>
      <c r="O44" s="168"/>
      <c r="P44" s="169"/>
      <c r="Q44" s="54"/>
      <c r="R44" s="48"/>
      <c r="S44" s="49"/>
    </row>
    <row r="45" spans="1:19" ht="23.25" customHeight="1" thickBot="1" x14ac:dyDescent="0.4">
      <c r="A45" s="580"/>
      <c r="B45" s="22"/>
      <c r="C45" s="38"/>
      <c r="D45" s="39"/>
      <c r="E45" s="24"/>
      <c r="F45" s="25"/>
      <c r="G45" s="26"/>
      <c r="H45" s="35"/>
      <c r="I45" s="36"/>
      <c r="J45" s="27"/>
      <c r="K45" s="35"/>
      <c r="L45" s="36"/>
      <c r="M45" s="27"/>
      <c r="N45" s="35"/>
      <c r="O45" s="36"/>
      <c r="P45" s="27"/>
      <c r="Q45" s="24"/>
      <c r="R45" s="25"/>
      <c r="S45" s="28"/>
    </row>
    <row r="46" spans="1:19" ht="23.25" customHeight="1" x14ac:dyDescent="0.35">
      <c r="A46" s="578" t="s">
        <v>89</v>
      </c>
      <c r="B46" s="186"/>
      <c r="C46" s="181"/>
      <c r="D46" s="182"/>
      <c r="E46" s="175"/>
      <c r="F46" s="176"/>
      <c r="G46" s="177"/>
      <c r="H46" s="178"/>
      <c r="I46" s="179"/>
      <c r="J46" s="180"/>
      <c r="K46" s="178"/>
      <c r="L46" s="179"/>
      <c r="M46" s="180"/>
      <c r="N46" s="178"/>
      <c r="O46" s="179"/>
      <c r="P46" s="180"/>
      <c r="Q46" s="175"/>
      <c r="R46" s="176"/>
      <c r="S46" s="187"/>
    </row>
    <row r="47" spans="1:19" ht="23.25" customHeight="1" x14ac:dyDescent="0.35">
      <c r="A47" s="579"/>
      <c r="B47" s="166"/>
      <c r="C47" s="170"/>
      <c r="D47" s="171"/>
      <c r="E47" s="54"/>
      <c r="F47" s="48"/>
      <c r="G47" s="53"/>
      <c r="H47" s="167"/>
      <c r="I47" s="168"/>
      <c r="J47" s="169"/>
      <c r="K47" s="167"/>
      <c r="L47" s="168"/>
      <c r="M47" s="169"/>
      <c r="N47" s="167"/>
      <c r="O47" s="168"/>
      <c r="P47" s="169"/>
      <c r="Q47" s="54"/>
      <c r="R47" s="48"/>
      <c r="S47" s="49"/>
    </row>
    <row r="48" spans="1:19" ht="23.25" customHeight="1" thickBot="1" x14ac:dyDescent="0.4">
      <c r="A48" s="580"/>
      <c r="B48" s="22"/>
      <c r="C48" s="38"/>
      <c r="D48" s="39"/>
      <c r="E48" s="24"/>
      <c r="F48" s="25"/>
      <c r="G48" s="26"/>
      <c r="H48" s="35"/>
      <c r="I48" s="36"/>
      <c r="J48" s="27"/>
      <c r="K48" s="35"/>
      <c r="L48" s="36"/>
      <c r="M48" s="27"/>
      <c r="N48" s="35"/>
      <c r="O48" s="36"/>
      <c r="P48" s="27"/>
      <c r="Q48" s="24"/>
      <c r="R48" s="25"/>
      <c r="S48" s="28"/>
    </row>
    <row r="49" spans="1:20" ht="23.25" customHeight="1" x14ac:dyDescent="0.5">
      <c r="A49" s="578" t="s">
        <v>90</v>
      </c>
      <c r="B49" s="186"/>
      <c r="C49" s="176"/>
      <c r="D49" s="177"/>
      <c r="E49" s="175"/>
      <c r="F49" s="176"/>
      <c r="G49" s="177"/>
      <c r="H49" s="175"/>
      <c r="I49" s="176"/>
      <c r="J49" s="177"/>
      <c r="K49" s="30"/>
      <c r="L49" s="29"/>
      <c r="M49" s="37"/>
      <c r="N49" s="30"/>
      <c r="O49" s="29"/>
      <c r="P49" s="37"/>
      <c r="Q49" s="175"/>
      <c r="R49" s="176"/>
      <c r="S49" s="187"/>
      <c r="T49" s="55"/>
    </row>
    <row r="50" spans="1:20" ht="23.25" customHeight="1" x14ac:dyDescent="0.5">
      <c r="A50" s="579"/>
      <c r="B50" s="166"/>
      <c r="C50" s="48"/>
      <c r="D50" s="53"/>
      <c r="E50" s="54"/>
      <c r="F50" s="48"/>
      <c r="G50" s="53"/>
      <c r="H50" s="54"/>
      <c r="I50" s="48"/>
      <c r="J50" s="53"/>
      <c r="K50" s="18"/>
      <c r="L50" s="16"/>
      <c r="M50" s="19"/>
      <c r="N50" s="18"/>
      <c r="O50" s="16"/>
      <c r="P50" s="19"/>
      <c r="Q50" s="54"/>
      <c r="R50" s="48"/>
      <c r="S50" s="49"/>
      <c r="T50" s="55"/>
    </row>
    <row r="51" spans="1:20" ht="23.25" customHeight="1" thickBot="1" x14ac:dyDescent="0.55000000000000004">
      <c r="A51" s="580"/>
      <c r="B51" s="22"/>
      <c r="C51" s="25"/>
      <c r="D51" s="26"/>
      <c r="E51" s="24"/>
      <c r="F51" s="25"/>
      <c r="G51" s="26"/>
      <c r="H51" s="24"/>
      <c r="I51" s="25"/>
      <c r="J51" s="26"/>
      <c r="K51" s="24"/>
      <c r="L51" s="25"/>
      <c r="M51" s="26"/>
      <c r="N51" s="24"/>
      <c r="O51" s="25"/>
      <c r="P51" s="26"/>
      <c r="Q51" s="24"/>
      <c r="R51" s="25"/>
      <c r="S51" s="28"/>
      <c r="T51" s="55"/>
    </row>
    <row r="52" spans="1:20" ht="23.25" customHeight="1" x14ac:dyDescent="0.5">
      <c r="A52" s="581" t="s">
        <v>62</v>
      </c>
      <c r="B52" s="188"/>
      <c r="C52" s="29"/>
      <c r="D52" s="37"/>
      <c r="E52" s="30"/>
      <c r="F52" s="29"/>
      <c r="G52" s="37"/>
      <c r="H52" s="30"/>
      <c r="I52" s="29"/>
      <c r="J52" s="37"/>
      <c r="K52" s="30"/>
      <c r="L52" s="29"/>
      <c r="M52" s="37"/>
      <c r="N52" s="30"/>
      <c r="O52" s="29"/>
      <c r="P52" s="37"/>
      <c r="Q52" s="30"/>
      <c r="R52" s="29"/>
      <c r="S52" s="32"/>
      <c r="T52" s="55"/>
    </row>
    <row r="53" spans="1:20" ht="22.5" customHeight="1" x14ac:dyDescent="0.5">
      <c r="A53" s="579"/>
      <c r="B53" s="31"/>
      <c r="C53" s="16"/>
      <c r="D53" s="19"/>
      <c r="E53" s="18"/>
      <c r="F53" s="16"/>
      <c r="G53" s="19"/>
      <c r="H53" s="18"/>
      <c r="I53" s="16"/>
      <c r="J53" s="19"/>
      <c r="K53" s="18"/>
      <c r="L53" s="16"/>
      <c r="M53" s="19"/>
      <c r="N53" s="18"/>
      <c r="O53" s="16"/>
      <c r="P53" s="19"/>
      <c r="Q53" s="18"/>
      <c r="R53" s="16"/>
      <c r="S53" s="21"/>
      <c r="T53" s="55"/>
    </row>
    <row r="54" spans="1:20" ht="23.25" customHeight="1" thickBot="1" x14ac:dyDescent="0.55000000000000004">
      <c r="A54" s="580"/>
      <c r="B54" s="40"/>
      <c r="C54" s="41"/>
      <c r="D54" s="43"/>
      <c r="E54" s="42"/>
      <c r="F54" s="41"/>
      <c r="G54" s="43"/>
      <c r="H54" s="42"/>
      <c r="I54" s="41"/>
      <c r="J54" s="43"/>
      <c r="K54" s="42"/>
      <c r="L54" s="41"/>
      <c r="M54" s="43"/>
      <c r="N54" s="42"/>
      <c r="O54" s="41"/>
      <c r="P54" s="43"/>
      <c r="Q54" s="42"/>
      <c r="R54" s="41"/>
      <c r="S54" s="45"/>
      <c r="T54" s="55"/>
    </row>
    <row r="55" spans="1:20" s="62" customFormat="1" ht="31" customHeight="1" thickBot="1" x14ac:dyDescent="0.4">
      <c r="A55" s="190" t="s">
        <v>28</v>
      </c>
      <c r="B55" s="56" t="s">
        <v>29</v>
      </c>
      <c r="C55" s="57" t="s">
        <v>30</v>
      </c>
      <c r="D55" s="58"/>
      <c r="E55" s="56" t="s">
        <v>29</v>
      </c>
      <c r="F55" s="57" t="s">
        <v>30</v>
      </c>
      <c r="G55" s="58"/>
      <c r="H55" s="56" t="s">
        <v>29</v>
      </c>
      <c r="I55" s="57" t="s">
        <v>30</v>
      </c>
      <c r="J55" s="58"/>
      <c r="K55" s="56" t="s">
        <v>29</v>
      </c>
      <c r="L55" s="57" t="s">
        <v>30</v>
      </c>
      <c r="M55" s="58"/>
      <c r="N55" s="56" t="s">
        <v>29</v>
      </c>
      <c r="O55" s="57" t="s">
        <v>30</v>
      </c>
      <c r="P55" s="58"/>
      <c r="Q55" s="56" t="s">
        <v>29</v>
      </c>
      <c r="R55" s="57" t="s">
        <v>30</v>
      </c>
      <c r="S55" s="60"/>
      <c r="T55" s="61"/>
    </row>
    <row r="56" spans="1:20" ht="60" customHeight="1" thickBot="1" x14ac:dyDescent="0.55000000000000004">
      <c r="A56" s="522" t="s">
        <v>46</v>
      </c>
      <c r="B56" s="523"/>
      <c r="C56" s="523"/>
      <c r="D56" s="523"/>
      <c r="E56" s="523"/>
      <c r="F56" s="523"/>
      <c r="G56" s="523"/>
      <c r="H56" s="523"/>
      <c r="I56" s="523"/>
      <c r="J56" s="523"/>
      <c r="K56" s="523"/>
      <c r="L56" s="523"/>
      <c r="M56" s="523"/>
      <c r="N56" s="523"/>
      <c r="O56" s="523"/>
      <c r="P56" s="523"/>
      <c r="Q56" s="523"/>
      <c r="R56" s="523"/>
      <c r="S56" s="524"/>
    </row>
  </sheetData>
  <customSheetViews>
    <customSheetView guid="{AF731A35-9978-4A72-829F-F3E8771EE2D4}" scale="55" showPageBreaks="1" fitToPage="1" printArea="1" view="pageLayout">
      <selection activeCell="E15" sqref="E15"/>
      <pageMargins left="0" right="0" top="0" bottom="0" header="0" footer="0"/>
      <printOptions horizontalCentered="1" verticalCentered="1"/>
      <pageSetup paperSize="9" scale="34" fitToHeight="0" orientation="landscape" r:id="rId1"/>
      <headerFooter alignWithMargins="0">
        <oddFooter xml:space="preserve">&amp;Lerstellt/freigegeben: M. Mayrhofer&amp;CTourenplan vom :&amp;D&amp;RAusgabedatum: 27.06.06
</oddFooter>
      </headerFooter>
    </customSheetView>
  </customSheetViews>
  <mergeCells count="45">
    <mergeCell ref="B1:D1"/>
    <mergeCell ref="E1:M1"/>
    <mergeCell ref="N1:P1"/>
    <mergeCell ref="Q1:S1"/>
    <mergeCell ref="A3:A5"/>
    <mergeCell ref="B3:D3"/>
    <mergeCell ref="E3:G3"/>
    <mergeCell ref="H3:J3"/>
    <mergeCell ref="K3:M3"/>
    <mergeCell ref="N3:P3"/>
    <mergeCell ref="A6:A8"/>
    <mergeCell ref="E6:G6"/>
    <mergeCell ref="K6:M6"/>
    <mergeCell ref="Q6:S6"/>
    <mergeCell ref="A9:A11"/>
    <mergeCell ref="B9:D9"/>
    <mergeCell ref="H9:J9"/>
    <mergeCell ref="K9:M9"/>
    <mergeCell ref="N9:P9"/>
    <mergeCell ref="K40:M40"/>
    <mergeCell ref="N40:P40"/>
    <mergeCell ref="A43:A45"/>
    <mergeCell ref="A21:A23"/>
    <mergeCell ref="B21:D21"/>
    <mergeCell ref="H21:J21"/>
    <mergeCell ref="N21:P21"/>
    <mergeCell ref="A24:A26"/>
    <mergeCell ref="E24:G24"/>
    <mergeCell ref="K24:M24"/>
    <mergeCell ref="A46:A48"/>
    <mergeCell ref="A49:A51"/>
    <mergeCell ref="A52:A54"/>
    <mergeCell ref="A56:S56"/>
    <mergeCell ref="A12:A14"/>
    <mergeCell ref="A15:A17"/>
    <mergeCell ref="A18:A20"/>
    <mergeCell ref="A27:A29"/>
    <mergeCell ref="A30:A32"/>
    <mergeCell ref="Q24:S24"/>
    <mergeCell ref="A33:A35"/>
    <mergeCell ref="B33:D33"/>
    <mergeCell ref="N33:P33"/>
    <mergeCell ref="A36:A38"/>
    <mergeCell ref="A40:A42"/>
    <mergeCell ref="H40:J40"/>
  </mergeCells>
  <printOptions horizontalCentered="1" verticalCentered="1"/>
  <pageMargins left="0" right="0" top="0.31496062992125984" bottom="0" header="0.19685039370078741" footer="0.19685039370078741"/>
  <pageSetup paperSize="9" scale="33" fitToHeight="0" orientation="landscape" r:id="rId2"/>
  <headerFooter alignWithMargins="0">
    <oddFooter xml:space="preserve">&amp;Lerstellt/freigegeben: M. Mayrhofer&amp;CTourenplan vom :&amp;D&amp;RAusgabedatum: 27.06.06
</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51E844-6851-4865-938E-BDB3F17A0763}">
  <sheetPr codeName="Tabelle5"/>
  <dimension ref="A1:V80"/>
  <sheetViews>
    <sheetView view="pageLayout" zoomScale="130" zoomScaleNormal="100" zoomScalePageLayoutView="130" workbookViewId="0">
      <selection activeCell="R11" sqref="R11"/>
    </sheetView>
  </sheetViews>
  <sheetFormatPr baseColWidth="10" defaultColWidth="11.453125" defaultRowHeight="14.5" x14ac:dyDescent="0.35"/>
  <cols>
    <col min="1" max="1" width="11.1796875" customWidth="1"/>
    <col min="2" max="2" width="10" customWidth="1"/>
    <col min="3" max="3" width="10" style="221" customWidth="1"/>
    <col min="4" max="4" width="2.26953125" style="1" bestFit="1" customWidth="1"/>
    <col min="5" max="5" width="4" customWidth="1"/>
    <col min="6" max="6" width="10" customWidth="1"/>
    <col min="7" max="7" width="10" style="221" customWidth="1"/>
    <col min="8" max="8" width="2.26953125" customWidth="1"/>
    <col min="9" max="9" width="4" customWidth="1"/>
    <col min="10" max="11" width="10" customWidth="1"/>
    <col min="12" max="12" width="2.26953125" customWidth="1"/>
    <col min="13" max="13" width="3.81640625" customWidth="1"/>
    <col min="14" max="14" width="10" customWidth="1"/>
    <col min="15" max="15" width="10" style="221" customWidth="1"/>
    <col min="16" max="16" width="2.26953125" customWidth="1"/>
    <col min="17" max="17" width="3.81640625" customWidth="1"/>
    <col min="18" max="18" width="10" customWidth="1"/>
    <col min="19" max="19" width="10" style="221" customWidth="1"/>
    <col min="20" max="20" width="2.26953125" customWidth="1"/>
    <col min="21" max="21" width="3.81640625" customWidth="1"/>
  </cols>
  <sheetData>
    <row r="1" spans="1:22" s="240" customFormat="1" ht="14.25" customHeight="1" thickBot="1" x14ac:dyDescent="0.35">
      <c r="A1" s="292" t="str">
        <f>NOS_Tourenkonzept!A1</f>
        <v>Wagen</v>
      </c>
      <c r="B1" s="599">
        <f>NOS_Tourenkonzept!B1</f>
        <v>45754</v>
      </c>
      <c r="C1" s="600"/>
      <c r="D1" s="600"/>
      <c r="E1" s="601"/>
      <c r="F1" s="596">
        <f>NOS_Tourenkonzept!F1</f>
        <v>45755</v>
      </c>
      <c r="G1" s="597"/>
      <c r="H1" s="597"/>
      <c r="I1" s="598"/>
      <c r="J1" s="596">
        <f>NOS_Tourenkonzept!J1</f>
        <v>45756</v>
      </c>
      <c r="K1" s="597"/>
      <c r="L1" s="597"/>
      <c r="M1" s="598"/>
      <c r="N1" s="596">
        <f>NOS_Tourenkonzept!N1</f>
        <v>45757</v>
      </c>
      <c r="O1" s="597"/>
      <c r="P1" s="597"/>
      <c r="Q1" s="598"/>
      <c r="R1" s="596">
        <f>NOS_Tourenkonzept!R1</f>
        <v>45758</v>
      </c>
      <c r="S1" s="597"/>
      <c r="T1" s="597"/>
      <c r="U1" s="598"/>
    </row>
    <row r="2" spans="1:22" ht="11" customHeight="1" x14ac:dyDescent="0.35">
      <c r="A2" s="587" t="str">
        <f>NOS_Tourenkonzept!A2</f>
        <v>WY-741AT</v>
      </c>
      <c r="B2" s="287">
        <f>NOS_Tourenkonzept!B2</f>
        <v>0</v>
      </c>
      <c r="C2" s="288"/>
      <c r="D2" s="231" t="s">
        <v>2</v>
      </c>
      <c r="E2" s="2">
        <f>NOS_Tourenkonzept!E2</f>
        <v>0</v>
      </c>
      <c r="F2" s="287">
        <f>NOS_Tourenkonzept!F2</f>
        <v>0</v>
      </c>
      <c r="G2" s="288"/>
      <c r="H2" s="231" t="s">
        <v>2</v>
      </c>
      <c r="I2" s="2">
        <f>NOS_Tourenkonzept!I2</f>
        <v>0</v>
      </c>
      <c r="J2" s="287">
        <f>NOS_Tourenkonzept!J2</f>
        <v>0</v>
      </c>
      <c r="K2" s="288"/>
      <c r="L2" s="231" t="s">
        <v>2</v>
      </c>
      <c r="M2" s="2">
        <f>NOS_Tourenkonzept!M2</f>
        <v>0</v>
      </c>
      <c r="N2" s="287">
        <f>NOS_Tourenkonzept!N2</f>
        <v>0</v>
      </c>
      <c r="O2" s="288"/>
      <c r="P2" s="231" t="s">
        <v>2</v>
      </c>
      <c r="Q2" s="2">
        <f>NOS_Tourenkonzept!Q2</f>
        <v>0</v>
      </c>
      <c r="R2" s="287">
        <f>NOS_Tourenkonzept!R2</f>
        <v>0</v>
      </c>
      <c r="S2" s="288"/>
      <c r="T2" s="231" t="s">
        <v>2</v>
      </c>
      <c r="U2" s="2">
        <f>NOS_Tourenkonzept!U2</f>
        <v>0</v>
      </c>
      <c r="V2" s="240"/>
    </row>
    <row r="3" spans="1:22" ht="11" customHeight="1" x14ac:dyDescent="0.35">
      <c r="A3" s="588"/>
      <c r="B3" s="289">
        <f>NOS_Tourenkonzept!B3</f>
        <v>0</v>
      </c>
      <c r="C3" s="284"/>
      <c r="D3" s="280" t="s">
        <v>3</v>
      </c>
      <c r="E3" s="281" t="b">
        <f>NOS_Tourenkonzept!E3</f>
        <v>0</v>
      </c>
      <c r="F3" s="289">
        <f>NOS_Tourenkonzept!F3</f>
        <v>0</v>
      </c>
      <c r="G3" s="284"/>
      <c r="H3" s="280" t="s">
        <v>3</v>
      </c>
      <c r="I3" s="281" t="b">
        <f>NOS_Tourenkonzept!I3</f>
        <v>0</v>
      </c>
      <c r="J3" s="289">
        <f>NOS_Tourenkonzept!J3</f>
        <v>0</v>
      </c>
      <c r="K3" s="284"/>
      <c r="L3" s="280" t="s">
        <v>3</v>
      </c>
      <c r="M3" s="281" t="b">
        <f>NOS_Tourenkonzept!M3</f>
        <v>0</v>
      </c>
      <c r="N3" s="289">
        <f>NOS_Tourenkonzept!N3</f>
        <v>0</v>
      </c>
      <c r="O3" s="284"/>
      <c r="P3" s="280" t="s">
        <v>3</v>
      </c>
      <c r="Q3" s="281" t="b">
        <f>NOS_Tourenkonzept!Q3</f>
        <v>0</v>
      </c>
      <c r="R3" s="289">
        <f>NOS_Tourenkonzept!R3</f>
        <v>0</v>
      </c>
      <c r="S3" s="284"/>
      <c r="T3" s="227" t="s">
        <v>3</v>
      </c>
      <c r="U3" s="278" t="b">
        <f>NOS_Tourenkonzept!U3</f>
        <v>0</v>
      </c>
      <c r="V3" s="240"/>
    </row>
    <row r="4" spans="1:22" ht="11" customHeight="1" thickBot="1" x14ac:dyDescent="0.4">
      <c r="A4" s="589"/>
      <c r="B4" s="286">
        <f>NOS_Tourenkonzept!B4</f>
        <v>0</v>
      </c>
      <c r="C4" s="285">
        <f>NOS_Tourenkonzept!C4</f>
        <v>0</v>
      </c>
      <c r="D4" s="282" t="s">
        <v>4</v>
      </c>
      <c r="E4" s="283" t="b">
        <f>NOS_Tourenkonzept!E4</f>
        <v>0</v>
      </c>
      <c r="F4" s="286">
        <f>NOS_Tourenkonzept!F4</f>
        <v>0</v>
      </c>
      <c r="G4" s="285">
        <f>NOS_Tourenkonzept!G4</f>
        <v>0</v>
      </c>
      <c r="H4" s="282" t="s">
        <v>4</v>
      </c>
      <c r="I4" s="283" t="b">
        <f>NOS_Tourenkonzept!I4</f>
        <v>0</v>
      </c>
      <c r="J4" s="286">
        <f>NOS_Tourenkonzept!J4</f>
        <v>0</v>
      </c>
      <c r="K4" s="285">
        <f>NOS_Tourenkonzept!K4</f>
        <v>0</v>
      </c>
      <c r="L4" s="282" t="s">
        <v>4</v>
      </c>
      <c r="M4" s="283" t="b">
        <f>NOS_Tourenkonzept!M4</f>
        <v>0</v>
      </c>
      <c r="N4" s="286">
        <f>NOS_Tourenkonzept!N4</f>
        <v>0</v>
      </c>
      <c r="O4" s="285">
        <f>NOS_Tourenkonzept!O4</f>
        <v>0</v>
      </c>
      <c r="P4" s="282" t="s">
        <v>4</v>
      </c>
      <c r="Q4" s="283" t="b">
        <f>NOS_Tourenkonzept!Q4</f>
        <v>0</v>
      </c>
      <c r="R4" s="286">
        <f>NOS_Tourenkonzept!R4</f>
        <v>0</v>
      </c>
      <c r="S4" s="285">
        <f>NOS_Tourenkonzept!S4</f>
        <v>0</v>
      </c>
      <c r="T4" s="232" t="s">
        <v>4</v>
      </c>
      <c r="U4" s="279" t="b">
        <f>NOS_Tourenkonzept!U4</f>
        <v>0</v>
      </c>
      <c r="V4" s="240"/>
    </row>
    <row r="5" spans="1:22" ht="11" customHeight="1" x14ac:dyDescent="0.35">
      <c r="A5" s="587" t="str">
        <f>NOS_Tourenkonzept!A5</f>
        <v>WY-872BA</v>
      </c>
      <c r="B5" s="287" t="str">
        <f>NOS_Tourenkonzept!B5</f>
        <v>61208</v>
      </c>
      <c r="C5" s="290"/>
      <c r="D5" s="231" t="s">
        <v>2</v>
      </c>
      <c r="E5" s="2" t="str">
        <f>NOS_Tourenkonzept!E5</f>
        <v>2+1</v>
      </c>
      <c r="F5" s="287" t="str">
        <f>NOS_Tourenkonzept!F5</f>
        <v xml:space="preserve"> 61211 + 61222</v>
      </c>
      <c r="G5" s="290"/>
      <c r="H5" s="231" t="s">
        <v>2</v>
      </c>
      <c r="I5" s="2" t="str">
        <f>NOS_Tourenkonzept!I5</f>
        <v>2+2</v>
      </c>
      <c r="J5" s="287" t="str">
        <f>NOS_Tourenkonzept!J5</f>
        <v>61233</v>
      </c>
      <c r="K5" s="290"/>
      <c r="L5" s="231" t="s">
        <v>2</v>
      </c>
      <c r="M5" s="2">
        <f>NOS_Tourenkonzept!M5</f>
        <v>2</v>
      </c>
      <c r="N5" s="287" t="str">
        <f>NOS_Tourenkonzept!N5</f>
        <v>61243</v>
      </c>
      <c r="O5" s="290"/>
      <c r="P5" s="231" t="s">
        <v>2</v>
      </c>
      <c r="Q5" s="2">
        <f>NOS_Tourenkonzept!Q5</f>
        <v>2</v>
      </c>
      <c r="R5" s="287">
        <f>NOS_Tourenkonzept!R5</f>
        <v>0</v>
      </c>
      <c r="S5" s="290"/>
      <c r="T5" s="231" t="s">
        <v>2</v>
      </c>
      <c r="U5" s="2">
        <f>NOS_Tourenkonzept!U5</f>
        <v>0</v>
      </c>
      <c r="V5" s="240"/>
    </row>
    <row r="6" spans="1:22" ht="11" customHeight="1" x14ac:dyDescent="0.35">
      <c r="A6" s="588"/>
      <c r="B6" s="289" t="str">
        <f>NOS_Tourenkonzept!B6</f>
        <v>WR. NEUSTADT</v>
      </c>
      <c r="C6" s="284"/>
      <c r="D6" s="280" t="s">
        <v>3</v>
      </c>
      <c r="E6" s="281" t="b">
        <f>NOS_Tourenkonzept!E6</f>
        <v>0</v>
      </c>
      <c r="F6" s="289" t="str">
        <f>NOS_Tourenkonzept!F6</f>
        <v>Wien 7,15,13</v>
      </c>
      <c r="G6" s="284"/>
      <c r="H6" s="280" t="s">
        <v>3</v>
      </c>
      <c r="I6" s="281" t="b">
        <f>NOS_Tourenkonzept!I6</f>
        <v>0</v>
      </c>
      <c r="J6" s="289" t="str">
        <f>NOS_Tourenkonzept!J6</f>
        <v>Wien 1,2</v>
      </c>
      <c r="K6" s="284"/>
      <c r="L6" s="280" t="s">
        <v>3</v>
      </c>
      <c r="M6" s="281" t="b">
        <f>NOS_Tourenkonzept!M6</f>
        <v>0</v>
      </c>
      <c r="N6" s="289" t="str">
        <f>NOS_Tourenkonzept!N6</f>
        <v>Wien 19,18</v>
      </c>
      <c r="O6" s="284"/>
      <c r="P6" s="280" t="s">
        <v>3</v>
      </c>
      <c r="Q6" s="281" t="b">
        <f>NOS_Tourenkonzept!Q6</f>
        <v>0</v>
      </c>
      <c r="R6" s="289">
        <f>NOS_Tourenkonzept!R6</f>
        <v>0</v>
      </c>
      <c r="S6" s="284"/>
      <c r="T6" s="227" t="s">
        <v>3</v>
      </c>
      <c r="U6" s="278" t="b">
        <f>NOS_Tourenkonzept!U6</f>
        <v>0</v>
      </c>
      <c r="V6" s="240"/>
    </row>
    <row r="7" spans="1:22" ht="11" customHeight="1" thickBot="1" x14ac:dyDescent="0.4">
      <c r="A7" s="589"/>
      <c r="B7" s="286">
        <f>NOS_Tourenkonzept!B7</f>
        <v>0.33333333333333331</v>
      </c>
      <c r="C7" s="285">
        <f>NOS_Tourenkonzept!C7</f>
        <v>1</v>
      </c>
      <c r="D7" s="282" t="s">
        <v>4</v>
      </c>
      <c r="E7" s="283" t="b">
        <f>NOS_Tourenkonzept!E7</f>
        <v>1</v>
      </c>
      <c r="F7" s="286">
        <f>NOS_Tourenkonzept!F7</f>
        <v>0.33333333333333331</v>
      </c>
      <c r="G7" s="285">
        <f>NOS_Tourenkonzept!G7</f>
        <v>1</v>
      </c>
      <c r="H7" s="282" t="s">
        <v>4</v>
      </c>
      <c r="I7" s="283" t="b">
        <f>NOS_Tourenkonzept!I7</f>
        <v>1</v>
      </c>
      <c r="J7" s="286">
        <f>NOS_Tourenkonzept!J7</f>
        <v>0.33333333333333331</v>
      </c>
      <c r="K7" s="285">
        <f>NOS_Tourenkonzept!K7</f>
        <v>1</v>
      </c>
      <c r="L7" s="282" t="s">
        <v>4</v>
      </c>
      <c r="M7" s="283" t="b">
        <f>NOS_Tourenkonzept!M7</f>
        <v>1</v>
      </c>
      <c r="N7" s="286">
        <f>NOS_Tourenkonzept!N7</f>
        <v>0.33333333333333331</v>
      </c>
      <c r="O7" s="285">
        <f>NOS_Tourenkonzept!O7</f>
        <v>1</v>
      </c>
      <c r="P7" s="282" t="s">
        <v>4</v>
      </c>
      <c r="Q7" s="283" t="b">
        <f>NOS_Tourenkonzept!Q7</f>
        <v>1</v>
      </c>
      <c r="R7" s="286">
        <f>NOS_Tourenkonzept!R7</f>
        <v>0</v>
      </c>
      <c r="S7" s="285">
        <f>NOS_Tourenkonzept!S7</f>
        <v>0</v>
      </c>
      <c r="T7" s="232" t="s">
        <v>4</v>
      </c>
      <c r="U7" s="279" t="b">
        <f>NOS_Tourenkonzept!U7</f>
        <v>0</v>
      </c>
      <c r="V7" s="240"/>
    </row>
    <row r="8" spans="1:22" ht="11" customHeight="1" x14ac:dyDescent="0.35">
      <c r="A8" s="587" t="str">
        <f>NOS_Tourenkonzept!A8</f>
        <v>WY-307AX</v>
      </c>
      <c r="B8" s="287" t="str">
        <f>NOS_Tourenkonzept!B8</f>
        <v>61192 + 61204</v>
      </c>
      <c r="C8" s="290"/>
      <c r="D8" s="231" t="s">
        <v>2</v>
      </c>
      <c r="E8" s="2" t="str">
        <f>NOS_Tourenkonzept!E8</f>
        <v>2+2</v>
      </c>
      <c r="F8" s="287" t="str">
        <f>NOS_Tourenkonzept!F8</f>
        <v>61219</v>
      </c>
      <c r="G8" s="290"/>
      <c r="H8" s="231" t="s">
        <v>2</v>
      </c>
      <c r="I8" s="2" t="str">
        <f>NOS_Tourenkonzept!I8</f>
        <v>2+2</v>
      </c>
      <c r="J8" s="287" t="str">
        <f>NOS_Tourenkonzept!J8</f>
        <v>61232</v>
      </c>
      <c r="K8" s="290"/>
      <c r="L8" s="231" t="s">
        <v>2</v>
      </c>
      <c r="M8" s="2">
        <f>NOS_Tourenkonzept!M8</f>
        <v>2</v>
      </c>
      <c r="N8" s="287" t="str">
        <f>NOS_Tourenkonzept!N8</f>
        <v>61235</v>
      </c>
      <c r="O8" s="290"/>
      <c r="P8" s="231" t="s">
        <v>2</v>
      </c>
      <c r="Q8" s="2" t="str">
        <f>NOS_Tourenkonzept!Q8</f>
        <v>2+2</v>
      </c>
      <c r="R8" s="287">
        <f>NOS_Tourenkonzept!R8</f>
        <v>0</v>
      </c>
      <c r="S8" s="290"/>
      <c r="T8" s="231" t="s">
        <v>2</v>
      </c>
      <c r="U8" s="2">
        <f>NOS_Tourenkonzept!U8</f>
        <v>0</v>
      </c>
      <c r="V8" s="240"/>
    </row>
    <row r="9" spans="1:22" ht="11" customHeight="1" x14ac:dyDescent="0.35">
      <c r="A9" s="588"/>
      <c r="B9" s="289" t="str">
        <f>NOS_Tourenkonzept!B9</f>
        <v>Wien 8</v>
      </c>
      <c r="C9" s="284"/>
      <c r="D9" s="280" t="s">
        <v>3</v>
      </c>
      <c r="E9" s="281" t="b">
        <f>NOS_Tourenkonzept!E9</f>
        <v>0</v>
      </c>
      <c r="F9" s="289" t="str">
        <f>NOS_Tourenkonzept!F9</f>
        <v>Wien 3</v>
      </c>
      <c r="G9" s="284"/>
      <c r="H9" s="280" t="s">
        <v>3</v>
      </c>
      <c r="I9" s="281" t="b">
        <f>NOS_Tourenkonzept!I9</f>
        <v>1</v>
      </c>
      <c r="J9" s="289" t="str">
        <f>NOS_Tourenkonzept!J9</f>
        <v>Laab im Walde</v>
      </c>
      <c r="K9" s="284"/>
      <c r="L9" s="280" t="s">
        <v>3</v>
      </c>
      <c r="M9" s="281" t="b">
        <f>NOS_Tourenkonzept!M9</f>
        <v>0</v>
      </c>
      <c r="N9" s="289" t="str">
        <f>NOS_Tourenkonzept!N9</f>
        <v>Antau</v>
      </c>
      <c r="O9" s="284"/>
      <c r="P9" s="280" t="s">
        <v>3</v>
      </c>
      <c r="Q9" s="281" t="b">
        <f>NOS_Tourenkonzept!Q9</f>
        <v>0</v>
      </c>
      <c r="R9" s="289">
        <f>NOS_Tourenkonzept!R9</f>
        <v>0</v>
      </c>
      <c r="S9" s="284"/>
      <c r="T9" s="227" t="s">
        <v>3</v>
      </c>
      <c r="U9" s="278" t="b">
        <f>NOS_Tourenkonzept!U9</f>
        <v>0</v>
      </c>
      <c r="V9" s="240"/>
    </row>
    <row r="10" spans="1:22" ht="11" customHeight="1" thickBot="1" x14ac:dyDescent="0.4">
      <c r="A10" s="589"/>
      <c r="B10" s="286">
        <f>NOS_Tourenkonzept!B10</f>
        <v>0.3125</v>
      </c>
      <c r="C10" s="285">
        <f>NOS_Tourenkonzept!C10</f>
        <v>2</v>
      </c>
      <c r="D10" s="282" t="s">
        <v>4</v>
      </c>
      <c r="E10" s="283" t="b">
        <f>NOS_Tourenkonzept!E10</f>
        <v>1</v>
      </c>
      <c r="F10" s="286">
        <f>NOS_Tourenkonzept!F10</f>
        <v>0.29166666666666669</v>
      </c>
      <c r="G10" s="285">
        <f>NOS_Tourenkonzept!G10</f>
        <v>1</v>
      </c>
      <c r="H10" s="282" t="s">
        <v>4</v>
      </c>
      <c r="I10" s="283" t="b">
        <f>NOS_Tourenkonzept!I10</f>
        <v>1</v>
      </c>
      <c r="J10" s="286" t="str">
        <f>NOS_Tourenkonzept!J10</f>
        <v>Zeit:  07:30</v>
      </c>
      <c r="K10" s="285">
        <f>NOS_Tourenkonzept!K10</f>
        <v>1</v>
      </c>
      <c r="L10" s="282" t="s">
        <v>4</v>
      </c>
      <c r="M10" s="283" t="b">
        <f>NOS_Tourenkonzept!M10</f>
        <v>1</v>
      </c>
      <c r="N10" s="286">
        <f>NOS_Tourenkonzept!N10</f>
        <v>0.29166666666666669</v>
      </c>
      <c r="O10" s="285" t="str">
        <f>NOS_Tourenkonzept!O10</f>
        <v>1  WAB's</v>
      </c>
      <c r="P10" s="282" t="s">
        <v>4</v>
      </c>
      <c r="Q10" s="283" t="b">
        <f>NOS_Tourenkonzept!Q10</f>
        <v>1</v>
      </c>
      <c r="R10" s="286">
        <f>NOS_Tourenkonzept!R10</f>
        <v>0</v>
      </c>
      <c r="S10" s="285">
        <f>NOS_Tourenkonzept!S10</f>
        <v>0</v>
      </c>
      <c r="T10" s="232" t="s">
        <v>4</v>
      </c>
      <c r="U10" s="279" t="b">
        <f>NOS_Tourenkonzept!U10</f>
        <v>0</v>
      </c>
      <c r="V10" s="240"/>
    </row>
    <row r="11" spans="1:22" ht="11" customHeight="1" x14ac:dyDescent="0.35">
      <c r="A11" s="587" t="str">
        <f>NOS_Tourenkonzept!A11</f>
        <v>WY-308AX</v>
      </c>
      <c r="B11" s="287" t="str">
        <f>NOS_Tourenkonzept!B11</f>
        <v>61205</v>
      </c>
      <c r="C11" s="290"/>
      <c r="D11" s="231" t="s">
        <v>2</v>
      </c>
      <c r="E11" s="2">
        <f>NOS_Tourenkonzept!E11</f>
        <v>2</v>
      </c>
      <c r="F11" s="287" t="str">
        <f>NOS_Tourenkonzept!F11</f>
        <v>61210 + 61217</v>
      </c>
      <c r="G11" s="290"/>
      <c r="H11" s="231" t="s">
        <v>2</v>
      </c>
      <c r="I11" s="2">
        <f>NOS_Tourenkonzept!I11</f>
        <v>1</v>
      </c>
      <c r="J11" s="287" t="str">
        <f>NOS_Tourenkonzept!J11</f>
        <v>61231</v>
      </c>
      <c r="K11" s="290"/>
      <c r="L11" s="231" t="s">
        <v>2</v>
      </c>
      <c r="M11" s="2">
        <f>NOS_Tourenkonzept!M11</f>
        <v>2</v>
      </c>
      <c r="N11" s="287">
        <f>NOS_Tourenkonzept!N11</f>
        <v>0</v>
      </c>
      <c r="O11" s="290"/>
      <c r="P11" s="231" t="s">
        <v>2</v>
      </c>
      <c r="Q11" s="2">
        <f>NOS_Tourenkonzept!Q11</f>
        <v>0</v>
      </c>
      <c r="R11" s="374" t="str">
        <f>NOS_Tourenkonzept!R11</f>
        <v>61117+61236+61247+61254</v>
      </c>
      <c r="S11" s="375"/>
      <c r="T11" s="231" t="s">
        <v>2</v>
      </c>
      <c r="U11" s="2">
        <f>NOS_Tourenkonzept!U11</f>
        <v>1</v>
      </c>
      <c r="V11" s="240"/>
    </row>
    <row r="12" spans="1:22" ht="11" customHeight="1" x14ac:dyDescent="0.35">
      <c r="A12" s="588"/>
      <c r="B12" s="289" t="str">
        <f>NOS_Tourenkonzept!B12</f>
        <v>Wien 23,11</v>
      </c>
      <c r="C12" s="284"/>
      <c r="D12" s="280" t="s">
        <v>3</v>
      </c>
      <c r="E12" s="281" t="b">
        <f>NOS_Tourenkonzept!E12</f>
        <v>0</v>
      </c>
      <c r="F12" s="289" t="str">
        <f>NOS_Tourenkonzept!F12</f>
        <v>Waidhofen/Ybbs</v>
      </c>
      <c r="G12" s="284"/>
      <c r="H12" s="280" t="s">
        <v>3</v>
      </c>
      <c r="I12" s="281" t="b">
        <f>NOS_Tourenkonzept!I12</f>
        <v>0</v>
      </c>
      <c r="J12" s="289" t="str">
        <f>NOS_Tourenkonzept!J12</f>
        <v>Wien 21,22</v>
      </c>
      <c r="K12" s="284"/>
      <c r="L12" s="280" t="s">
        <v>3</v>
      </c>
      <c r="M12" s="281" t="b">
        <f>NOS_Tourenkonzept!M12</f>
        <v>0</v>
      </c>
      <c r="N12" s="289">
        <f>NOS_Tourenkonzept!N12</f>
        <v>0</v>
      </c>
      <c r="O12" s="284"/>
      <c r="P12" s="280" t="s">
        <v>3</v>
      </c>
      <c r="Q12" s="281" t="b">
        <f>NOS_Tourenkonzept!Q12</f>
        <v>0</v>
      </c>
      <c r="R12" s="289" t="str">
        <f>NOS_Tourenkonzept!R12</f>
        <v>Waidhofen/Ybbs</v>
      </c>
      <c r="S12" s="284"/>
      <c r="T12" s="227" t="s">
        <v>3</v>
      </c>
      <c r="U12" s="278" t="b">
        <f>NOS_Tourenkonzept!U12</f>
        <v>0</v>
      </c>
      <c r="V12" s="240"/>
    </row>
    <row r="13" spans="1:22" ht="11" customHeight="1" thickBot="1" x14ac:dyDescent="0.4">
      <c r="A13" s="589"/>
      <c r="B13" s="286">
        <f>NOS_Tourenkonzept!B13</f>
        <v>0.33333333333333331</v>
      </c>
      <c r="C13" s="285">
        <f>NOS_Tourenkonzept!C13</f>
        <v>1</v>
      </c>
      <c r="D13" s="282" t="s">
        <v>4</v>
      </c>
      <c r="E13" s="283" t="b">
        <f>NOS_Tourenkonzept!E13</f>
        <v>1</v>
      </c>
      <c r="F13" s="286">
        <f>NOS_Tourenkonzept!F13</f>
        <v>0.375</v>
      </c>
      <c r="G13" s="285" t="str">
        <f>NOS_Tourenkonzept!G13</f>
        <v>1  WAB's</v>
      </c>
      <c r="H13" s="282" t="s">
        <v>4</v>
      </c>
      <c r="I13" s="283" t="b">
        <f>NOS_Tourenkonzept!I13</f>
        <v>1</v>
      </c>
      <c r="J13" s="286">
        <f>NOS_Tourenkonzept!J13</f>
        <v>0.33333333333333331</v>
      </c>
      <c r="K13" s="285">
        <f>NOS_Tourenkonzept!K13</f>
        <v>1</v>
      </c>
      <c r="L13" s="282" t="s">
        <v>4</v>
      </c>
      <c r="M13" s="283" t="b">
        <f>NOS_Tourenkonzept!M13</f>
        <v>1</v>
      </c>
      <c r="N13" s="286">
        <f>NOS_Tourenkonzept!N13</f>
        <v>0</v>
      </c>
      <c r="O13" s="285">
        <f>NOS_Tourenkonzept!O13</f>
        <v>0</v>
      </c>
      <c r="P13" s="282" t="s">
        <v>4</v>
      </c>
      <c r="Q13" s="283" t="b">
        <f>NOS_Tourenkonzept!Q13</f>
        <v>0</v>
      </c>
      <c r="R13" s="286">
        <f>NOS_Tourenkonzept!R13</f>
        <v>0</v>
      </c>
      <c r="S13" s="285">
        <f>NOS_Tourenkonzept!S13</f>
        <v>1</v>
      </c>
      <c r="T13" s="232" t="s">
        <v>4</v>
      </c>
      <c r="U13" s="279" t="b">
        <f>NOS_Tourenkonzept!U13</f>
        <v>1</v>
      </c>
      <c r="V13" s="240"/>
    </row>
    <row r="14" spans="1:22" ht="11" customHeight="1" x14ac:dyDescent="0.35">
      <c r="A14" s="587" t="str">
        <f>NOS_Tourenkonzept!A14</f>
        <v>WY-450AX</v>
      </c>
      <c r="B14" s="287" t="str">
        <f>NOS_Tourenkonzept!B14</f>
        <v>61203</v>
      </c>
      <c r="C14" s="290"/>
      <c r="D14" s="231" t="s">
        <v>2</v>
      </c>
      <c r="E14" s="2">
        <f>NOS_Tourenkonzept!E14</f>
        <v>2</v>
      </c>
      <c r="F14" s="287" t="str">
        <f>NOS_Tourenkonzept!F14</f>
        <v>61220</v>
      </c>
      <c r="G14" s="290"/>
      <c r="H14" s="231" t="s">
        <v>2</v>
      </c>
      <c r="I14" s="2" t="str">
        <f>NOS_Tourenkonzept!I14</f>
        <v>2+2</v>
      </c>
      <c r="J14" s="287" t="str">
        <f>NOS_Tourenkonzept!J14</f>
        <v>61229</v>
      </c>
      <c r="K14" s="290"/>
      <c r="L14" s="231" t="s">
        <v>2</v>
      </c>
      <c r="M14" s="2">
        <f>NOS_Tourenkonzept!M14</f>
        <v>2</v>
      </c>
      <c r="N14" s="287" t="str">
        <f>NOS_Tourenkonzept!N14</f>
        <v>61242</v>
      </c>
      <c r="O14" s="290"/>
      <c r="P14" s="231" t="s">
        <v>2</v>
      </c>
      <c r="Q14" s="2">
        <f>NOS_Tourenkonzept!Q14</f>
        <v>2</v>
      </c>
      <c r="R14" s="287">
        <f>NOS_Tourenkonzept!R14</f>
        <v>0</v>
      </c>
      <c r="S14" s="290"/>
      <c r="T14" s="231" t="s">
        <v>2</v>
      </c>
      <c r="U14" s="2">
        <f>NOS_Tourenkonzept!U14</f>
        <v>0</v>
      </c>
      <c r="V14" s="240"/>
    </row>
    <row r="15" spans="1:22" ht="11" customHeight="1" x14ac:dyDescent="0.35">
      <c r="A15" s="588"/>
      <c r="B15" s="291" t="str">
        <f>NOS_Tourenkonzept!B15</f>
        <v>Wien 1,9</v>
      </c>
      <c r="C15" s="284"/>
      <c r="D15" s="280" t="s">
        <v>3</v>
      </c>
      <c r="E15" s="281" t="b">
        <f>NOS_Tourenkonzept!E15</f>
        <v>0</v>
      </c>
      <c r="F15" s="291" t="str">
        <f>NOS_Tourenkonzept!F15</f>
        <v>Wien 1</v>
      </c>
      <c r="G15" s="284"/>
      <c r="H15" s="280" t="s">
        <v>3</v>
      </c>
      <c r="I15" s="281" t="b">
        <f>NOS_Tourenkonzept!I15</f>
        <v>0</v>
      </c>
      <c r="J15" s="291" t="str">
        <f>NOS_Tourenkonzept!J15</f>
        <v>Hieflau</v>
      </c>
      <c r="K15" s="284"/>
      <c r="L15" s="280" t="s">
        <v>3</v>
      </c>
      <c r="M15" s="281" t="b">
        <f>NOS_Tourenkonzept!M15</f>
        <v>0</v>
      </c>
      <c r="N15" s="291" t="str">
        <f>NOS_Tourenkonzept!N15</f>
        <v>Wien 3</v>
      </c>
      <c r="O15" s="284"/>
      <c r="P15" s="280" t="s">
        <v>3</v>
      </c>
      <c r="Q15" s="281" t="b">
        <f>NOS_Tourenkonzept!Q15</f>
        <v>0</v>
      </c>
      <c r="R15" s="291">
        <f>NOS_Tourenkonzept!R15</f>
        <v>0</v>
      </c>
      <c r="S15" s="284"/>
      <c r="T15" s="227" t="s">
        <v>3</v>
      </c>
      <c r="U15" s="278" t="b">
        <f>NOS_Tourenkonzept!U15</f>
        <v>0</v>
      </c>
      <c r="V15" s="240"/>
    </row>
    <row r="16" spans="1:22" ht="11" customHeight="1" thickBot="1" x14ac:dyDescent="0.4">
      <c r="A16" s="589"/>
      <c r="B16" s="286">
        <f>NOS_Tourenkonzept!B16</f>
        <v>0.33333333333333331</v>
      </c>
      <c r="C16" s="285">
        <f>NOS_Tourenkonzept!C16</f>
        <v>1</v>
      </c>
      <c r="D16" s="282" t="s">
        <v>4</v>
      </c>
      <c r="E16" s="283" t="b">
        <f>NOS_Tourenkonzept!E16</f>
        <v>1</v>
      </c>
      <c r="F16" s="286">
        <f>NOS_Tourenkonzept!F16</f>
        <v>0.33333333333333331</v>
      </c>
      <c r="G16" s="285" t="str">
        <f>NOS_Tourenkonzept!G16</f>
        <v>1  WAB's</v>
      </c>
      <c r="H16" s="282" t="s">
        <v>4</v>
      </c>
      <c r="I16" s="283" t="b">
        <f>NOS_Tourenkonzept!I16</f>
        <v>1</v>
      </c>
      <c r="J16" s="286">
        <f>NOS_Tourenkonzept!J16</f>
        <v>0.33333333333333331</v>
      </c>
      <c r="K16" s="285">
        <f>NOS_Tourenkonzept!K16</f>
        <v>1</v>
      </c>
      <c r="L16" s="282" t="s">
        <v>4</v>
      </c>
      <c r="M16" s="283" t="b">
        <f>NOS_Tourenkonzept!M16</f>
        <v>1</v>
      </c>
      <c r="N16" s="286">
        <f>NOS_Tourenkonzept!N16</f>
        <v>0.33333333333333331</v>
      </c>
      <c r="O16" s="285" t="str">
        <f>NOS_Tourenkonzept!O16</f>
        <v>1  WAB's</v>
      </c>
      <c r="P16" s="282" t="s">
        <v>4</v>
      </c>
      <c r="Q16" s="283" t="b">
        <f>NOS_Tourenkonzept!Q16</f>
        <v>1</v>
      </c>
      <c r="R16" s="286">
        <f>NOS_Tourenkonzept!R16</f>
        <v>0</v>
      </c>
      <c r="S16" s="285">
        <f>NOS_Tourenkonzept!S16</f>
        <v>0</v>
      </c>
      <c r="T16" s="232" t="s">
        <v>4</v>
      </c>
      <c r="U16" s="279" t="b">
        <f>NOS_Tourenkonzept!U16</f>
        <v>0</v>
      </c>
      <c r="V16" s="240"/>
    </row>
    <row r="17" spans="1:22" ht="11" customHeight="1" x14ac:dyDescent="0.35">
      <c r="A17" s="587" t="str">
        <f>NOS_Tourenkonzept!A17</f>
        <v>WY-659AN</v>
      </c>
      <c r="B17" s="287" t="str">
        <f>NOS_Tourenkonzept!B17</f>
        <v>61206</v>
      </c>
      <c r="C17" s="290"/>
      <c r="D17" s="231" t="s">
        <v>2</v>
      </c>
      <c r="E17" s="2" t="str">
        <f>NOS_Tourenkonzept!E17</f>
        <v>2+2</v>
      </c>
      <c r="F17" s="287" t="str">
        <f>NOS_Tourenkonzept!F17</f>
        <v>61221</v>
      </c>
      <c r="G17" s="290"/>
      <c r="H17" s="231" t="s">
        <v>2</v>
      </c>
      <c r="I17" s="2" t="str">
        <f>NOS_Tourenkonzept!I17</f>
        <v>2+2</v>
      </c>
      <c r="J17" s="287" t="str">
        <f>NOS_Tourenkonzept!J17</f>
        <v>61223</v>
      </c>
      <c r="K17" s="290"/>
      <c r="L17" s="231" t="s">
        <v>2</v>
      </c>
      <c r="M17" s="2">
        <f>NOS_Tourenkonzept!M17</f>
        <v>2</v>
      </c>
      <c r="N17" s="287" t="str">
        <f>NOS_Tourenkonzept!N17</f>
        <v>61241</v>
      </c>
      <c r="O17" s="290"/>
      <c r="P17" s="231" t="s">
        <v>2</v>
      </c>
      <c r="Q17" s="2">
        <f>NOS_Tourenkonzept!Q17</f>
        <v>2</v>
      </c>
      <c r="R17" s="287">
        <f>NOS_Tourenkonzept!R17</f>
        <v>0</v>
      </c>
      <c r="S17" s="290"/>
      <c r="T17" s="231" t="s">
        <v>2</v>
      </c>
      <c r="U17" s="2">
        <f>NOS_Tourenkonzept!U17</f>
        <v>0</v>
      </c>
      <c r="V17" s="240"/>
    </row>
    <row r="18" spans="1:22" ht="11" customHeight="1" x14ac:dyDescent="0.35">
      <c r="A18" s="588"/>
      <c r="B18" s="289" t="str">
        <f>NOS_Tourenkonzept!B18</f>
        <v>Eisenstadt</v>
      </c>
      <c r="C18" s="284"/>
      <c r="D18" s="280" t="s">
        <v>3</v>
      </c>
      <c r="E18" s="281" t="b">
        <f>NOS_Tourenkonzept!E18</f>
        <v>0</v>
      </c>
      <c r="F18" s="289" t="str">
        <f>NOS_Tourenkonzept!F18</f>
        <v>Wien 17,9</v>
      </c>
      <c r="G18" s="284"/>
      <c r="H18" s="280" t="s">
        <v>3</v>
      </c>
      <c r="I18" s="281" t="b">
        <f>NOS_Tourenkonzept!I18</f>
        <v>0</v>
      </c>
      <c r="J18" s="289" t="str">
        <f>NOS_Tourenkonzept!J18</f>
        <v>Wien 10,12,23</v>
      </c>
      <c r="K18" s="284"/>
      <c r="L18" s="280" t="s">
        <v>3</v>
      </c>
      <c r="M18" s="281" t="b">
        <f>NOS_Tourenkonzept!M18</f>
        <v>0</v>
      </c>
      <c r="N18" s="289" t="str">
        <f>NOS_Tourenkonzept!N18</f>
        <v>Wien 1,4,10</v>
      </c>
      <c r="O18" s="284"/>
      <c r="P18" s="280" t="s">
        <v>3</v>
      </c>
      <c r="Q18" s="281" t="b">
        <f>NOS_Tourenkonzept!Q18</f>
        <v>0</v>
      </c>
      <c r="R18" s="289">
        <f>NOS_Tourenkonzept!R18</f>
        <v>0</v>
      </c>
      <c r="S18" s="284"/>
      <c r="T18" s="227" t="s">
        <v>3</v>
      </c>
      <c r="U18" s="278" t="b">
        <f>NOS_Tourenkonzept!U18</f>
        <v>0</v>
      </c>
      <c r="V18" s="240"/>
    </row>
    <row r="19" spans="1:22" ht="11" customHeight="1" thickBot="1" x14ac:dyDescent="0.4">
      <c r="A19" s="589"/>
      <c r="B19" s="286">
        <f>NOS_Tourenkonzept!B19</f>
        <v>0.3125</v>
      </c>
      <c r="C19" s="285">
        <f>NOS_Tourenkonzept!C19</f>
        <v>1</v>
      </c>
      <c r="D19" s="282" t="s">
        <v>4</v>
      </c>
      <c r="E19" s="283" t="b">
        <f>NOS_Tourenkonzept!E19</f>
        <v>1</v>
      </c>
      <c r="F19" s="286">
        <f>NOS_Tourenkonzept!F19</f>
        <v>0.33333333333333331</v>
      </c>
      <c r="G19" s="285" t="str">
        <f>NOS_Tourenkonzept!G19</f>
        <v>1  WAB's</v>
      </c>
      <c r="H19" s="282" t="s">
        <v>4</v>
      </c>
      <c r="I19" s="283" t="b">
        <f>NOS_Tourenkonzept!I19</f>
        <v>1</v>
      </c>
      <c r="J19" s="286" t="str">
        <f>NOS_Tourenkonzept!J19</f>
        <v>Zeit:  08:00</v>
      </c>
      <c r="K19" s="285">
        <f>NOS_Tourenkonzept!K19</f>
        <v>1</v>
      </c>
      <c r="L19" s="282" t="s">
        <v>4</v>
      </c>
      <c r="M19" s="283" t="b">
        <f>NOS_Tourenkonzept!M19</f>
        <v>1</v>
      </c>
      <c r="N19" s="286">
        <f>NOS_Tourenkonzept!N19</f>
        <v>0.33333333333333331</v>
      </c>
      <c r="O19" s="285" t="str">
        <f>NOS_Tourenkonzept!O19</f>
        <v>1  WAB's</v>
      </c>
      <c r="P19" s="282" t="s">
        <v>4</v>
      </c>
      <c r="Q19" s="283" t="b">
        <f>NOS_Tourenkonzept!Q19</f>
        <v>1</v>
      </c>
      <c r="R19" s="286">
        <f>NOS_Tourenkonzept!R19</f>
        <v>0</v>
      </c>
      <c r="S19" s="285">
        <f>NOS_Tourenkonzept!S19</f>
        <v>0</v>
      </c>
      <c r="T19" s="232" t="s">
        <v>4</v>
      </c>
      <c r="U19" s="279" t="b">
        <f>NOS_Tourenkonzept!U19</f>
        <v>0</v>
      </c>
      <c r="V19" s="240"/>
    </row>
    <row r="20" spans="1:22" ht="11" customHeight="1" x14ac:dyDescent="0.35">
      <c r="A20" s="587" t="str">
        <f>NOS_Tourenkonzept!A20</f>
        <v>WY-871AW</v>
      </c>
      <c r="B20" s="287" t="str">
        <f>NOS_Tourenkonzept!B20</f>
        <v>61207</v>
      </c>
      <c r="C20" s="290"/>
      <c r="D20" s="231" t="s">
        <v>2</v>
      </c>
      <c r="E20" s="2">
        <f>NOS_Tourenkonzept!E20</f>
        <v>1</v>
      </c>
      <c r="F20" s="287" t="str">
        <f>NOS_Tourenkonzept!F20</f>
        <v>61220</v>
      </c>
      <c r="G20" s="290"/>
      <c r="H20" s="231" t="s">
        <v>2</v>
      </c>
      <c r="I20" s="2">
        <f>NOS_Tourenkonzept!I20</f>
        <v>2</v>
      </c>
      <c r="J20" s="287" t="str">
        <f>NOS_Tourenkonzept!J20</f>
        <v>61230</v>
      </c>
      <c r="K20" s="290"/>
      <c r="L20" s="231" t="s">
        <v>2</v>
      </c>
      <c r="M20" s="2">
        <f>NOS_Tourenkonzept!M20</f>
        <v>2</v>
      </c>
      <c r="N20" s="287">
        <f>NOS_Tourenkonzept!N20</f>
        <v>0</v>
      </c>
      <c r="O20" s="290"/>
      <c r="P20" s="231" t="s">
        <v>2</v>
      </c>
      <c r="Q20" s="2">
        <f>NOS_Tourenkonzept!Q20</f>
        <v>0</v>
      </c>
      <c r="R20" s="287">
        <f>NOS_Tourenkonzept!R20</f>
        <v>0</v>
      </c>
      <c r="S20" s="290"/>
      <c r="T20" s="231" t="s">
        <v>2</v>
      </c>
      <c r="U20" s="2">
        <f>NOS_Tourenkonzept!U20</f>
        <v>0</v>
      </c>
      <c r="V20" s="240"/>
    </row>
    <row r="21" spans="1:22" ht="11" customHeight="1" x14ac:dyDescent="0.35">
      <c r="A21" s="588"/>
      <c r="B21" s="289" t="str">
        <f>NOS_Tourenkonzept!B21</f>
        <v>WR. NEUDORF</v>
      </c>
      <c r="C21" s="284"/>
      <c r="D21" s="280" t="s">
        <v>3</v>
      </c>
      <c r="E21" s="281" t="b">
        <f>NOS_Tourenkonzept!E21</f>
        <v>0</v>
      </c>
      <c r="F21" s="289" t="str">
        <f>NOS_Tourenkonzept!F21</f>
        <v>Wien 11,3</v>
      </c>
      <c r="G21" s="284"/>
      <c r="H21" s="280" t="s">
        <v>3</v>
      </c>
      <c r="I21" s="281" t="b">
        <f>NOS_Tourenkonzept!I21</f>
        <v>0</v>
      </c>
      <c r="J21" s="289" t="str">
        <f>NOS_Tourenkonzept!J21</f>
        <v>St. Pölten</v>
      </c>
      <c r="K21" s="284"/>
      <c r="L21" s="280" t="s">
        <v>3</v>
      </c>
      <c r="M21" s="281" t="b">
        <f>NOS_Tourenkonzept!M21</f>
        <v>0</v>
      </c>
      <c r="N21" s="289">
        <f>NOS_Tourenkonzept!N21</f>
        <v>0</v>
      </c>
      <c r="O21" s="284"/>
      <c r="P21" s="280" t="s">
        <v>3</v>
      </c>
      <c r="Q21" s="281" t="b">
        <f>NOS_Tourenkonzept!Q21</f>
        <v>0</v>
      </c>
      <c r="R21" s="289">
        <f>NOS_Tourenkonzept!R21</f>
        <v>0</v>
      </c>
      <c r="S21" s="284"/>
      <c r="T21" s="227" t="s">
        <v>3</v>
      </c>
      <c r="U21" s="278" t="b">
        <f>NOS_Tourenkonzept!U21</f>
        <v>0</v>
      </c>
      <c r="V21" s="240"/>
    </row>
    <row r="22" spans="1:22" ht="11" customHeight="1" thickBot="1" x14ac:dyDescent="0.4">
      <c r="A22" s="589"/>
      <c r="B22" s="286">
        <f>NOS_Tourenkonzept!B22</f>
        <v>0</v>
      </c>
      <c r="C22" s="285">
        <f>NOS_Tourenkonzept!C22</f>
        <v>1</v>
      </c>
      <c r="D22" s="282" t="s">
        <v>4</v>
      </c>
      <c r="E22" s="283" t="b">
        <f>NOS_Tourenkonzept!E22</f>
        <v>0</v>
      </c>
      <c r="F22" s="286">
        <f>NOS_Tourenkonzept!F22</f>
        <v>0.3125</v>
      </c>
      <c r="G22" s="285" t="str">
        <f>NOS_Tourenkonzept!G22</f>
        <v>1  WAB's</v>
      </c>
      <c r="H22" s="282" t="s">
        <v>4</v>
      </c>
      <c r="I22" s="283" t="b">
        <f>NOS_Tourenkonzept!I22</f>
        <v>1</v>
      </c>
      <c r="J22" s="286">
        <f>NOS_Tourenkonzept!J22</f>
        <v>0.33333333333333331</v>
      </c>
      <c r="K22" s="285">
        <f>NOS_Tourenkonzept!K22</f>
        <v>1</v>
      </c>
      <c r="L22" s="282" t="s">
        <v>4</v>
      </c>
      <c r="M22" s="283" t="b">
        <f>NOS_Tourenkonzept!M22</f>
        <v>1</v>
      </c>
      <c r="N22" s="286">
        <f>NOS_Tourenkonzept!N22</f>
        <v>0</v>
      </c>
      <c r="O22" s="285">
        <f>NOS_Tourenkonzept!O22</f>
        <v>0</v>
      </c>
      <c r="P22" s="282" t="s">
        <v>4</v>
      </c>
      <c r="Q22" s="283" t="b">
        <f>NOS_Tourenkonzept!Q22</f>
        <v>0</v>
      </c>
      <c r="R22" s="286">
        <f>NOS_Tourenkonzept!R22</f>
        <v>0</v>
      </c>
      <c r="S22" s="285">
        <f>NOS_Tourenkonzept!S22</f>
        <v>0</v>
      </c>
      <c r="T22" s="232" t="s">
        <v>4</v>
      </c>
      <c r="U22" s="279" t="b">
        <f>NOS_Tourenkonzept!U22</f>
        <v>0</v>
      </c>
      <c r="V22" s="240"/>
    </row>
    <row r="23" spans="1:22" ht="11" customHeight="1" x14ac:dyDescent="0.35">
      <c r="A23" s="590" t="str">
        <f>NOS_Tourenkonzept!A23</f>
        <v>Spedition
L&amp;M</v>
      </c>
      <c r="B23" s="287" t="str">
        <f>NOS_Tourenkonzept!B23</f>
        <v>61198</v>
      </c>
      <c r="C23" s="290"/>
      <c r="D23" s="231" t="s">
        <v>2</v>
      </c>
      <c r="E23" s="2">
        <f>NOS_Tourenkonzept!E23</f>
        <v>2</v>
      </c>
      <c r="F23" s="287">
        <f>NOS_Tourenkonzept!F23</f>
        <v>0</v>
      </c>
      <c r="G23" s="290"/>
      <c r="H23" s="231" t="s">
        <v>2</v>
      </c>
      <c r="I23" s="2">
        <f>NOS_Tourenkonzept!I23</f>
        <v>0</v>
      </c>
      <c r="J23" s="287" t="str">
        <f>NOS_Tourenkonzept!J23</f>
        <v>61228</v>
      </c>
      <c r="K23" s="290"/>
      <c r="L23" s="231" t="s">
        <v>2</v>
      </c>
      <c r="M23" s="2">
        <f>NOS_Tourenkonzept!M23</f>
        <v>2</v>
      </c>
      <c r="N23" s="287" t="str">
        <f>NOS_Tourenkonzept!N23</f>
        <v>61239</v>
      </c>
      <c r="O23" s="290"/>
      <c r="P23" s="231" t="s">
        <v>2</v>
      </c>
      <c r="Q23" s="2">
        <f>NOS_Tourenkonzept!Q23</f>
        <v>2</v>
      </c>
      <c r="R23" s="287">
        <f>NOS_Tourenkonzept!R23</f>
        <v>0</v>
      </c>
      <c r="S23" s="290"/>
      <c r="T23" s="231" t="s">
        <v>2</v>
      </c>
      <c r="U23" s="2">
        <f>NOS_Tourenkonzept!U23</f>
        <v>0</v>
      </c>
      <c r="V23" s="240"/>
    </row>
    <row r="24" spans="1:22" ht="11" customHeight="1" x14ac:dyDescent="0.35">
      <c r="A24" s="591"/>
      <c r="B24" s="289" t="str">
        <f>NOS_Tourenkonzept!B24</f>
        <v>LINZ</v>
      </c>
      <c r="C24" s="284"/>
      <c r="D24" s="280" t="s">
        <v>3</v>
      </c>
      <c r="E24" s="281" t="b">
        <f>NOS_Tourenkonzept!E24</f>
        <v>0</v>
      </c>
      <c r="F24" s="289">
        <f>NOS_Tourenkonzept!F24</f>
        <v>0</v>
      </c>
      <c r="G24" s="284"/>
      <c r="H24" s="280" t="s">
        <v>3</v>
      </c>
      <c r="I24" s="281" t="b">
        <f>NOS_Tourenkonzept!I24</f>
        <v>0</v>
      </c>
      <c r="J24" s="289" t="str">
        <f>NOS_Tourenkonzept!J24</f>
        <v>UNTERACH</v>
      </c>
      <c r="K24" s="284"/>
      <c r="L24" s="280" t="s">
        <v>3</v>
      </c>
      <c r="M24" s="281" t="b">
        <f>NOS_Tourenkonzept!M24</f>
        <v>0</v>
      </c>
      <c r="N24" s="289" t="str">
        <f>NOS_Tourenkonzept!N24</f>
        <v>LINZ</v>
      </c>
      <c r="O24" s="284"/>
      <c r="P24" s="280" t="s">
        <v>3</v>
      </c>
      <c r="Q24" s="281" t="b">
        <f>NOS_Tourenkonzept!Q24</f>
        <v>0</v>
      </c>
      <c r="R24" s="289">
        <f>NOS_Tourenkonzept!R24</f>
        <v>0</v>
      </c>
      <c r="S24" s="284"/>
      <c r="T24" s="227" t="s">
        <v>3</v>
      </c>
      <c r="U24" s="278" t="b">
        <f>NOS_Tourenkonzept!U24</f>
        <v>0</v>
      </c>
      <c r="V24" s="240"/>
    </row>
    <row r="25" spans="1:22" ht="11" customHeight="1" thickBot="1" x14ac:dyDescent="0.4">
      <c r="A25" s="592"/>
      <c r="B25" s="286">
        <f>NOS_Tourenkonzept!B25</f>
        <v>0.33333333333333331</v>
      </c>
      <c r="C25" s="285">
        <f>NOS_Tourenkonzept!C25</f>
        <v>1</v>
      </c>
      <c r="D25" s="282" t="s">
        <v>4</v>
      </c>
      <c r="E25" s="283" t="b">
        <f>NOS_Tourenkonzept!E25</f>
        <v>1</v>
      </c>
      <c r="F25" s="286">
        <f>NOS_Tourenkonzept!F25</f>
        <v>0</v>
      </c>
      <c r="G25" s="285">
        <f>NOS_Tourenkonzept!G25</f>
        <v>0</v>
      </c>
      <c r="H25" s="282" t="s">
        <v>4</v>
      </c>
      <c r="I25" s="283" t="b">
        <f>NOS_Tourenkonzept!I25</f>
        <v>0</v>
      </c>
      <c r="J25" s="286">
        <f>NOS_Tourenkonzept!J25</f>
        <v>0.33333333333333331</v>
      </c>
      <c r="K25" s="285">
        <f>NOS_Tourenkonzept!K25</f>
        <v>1</v>
      </c>
      <c r="L25" s="282" t="s">
        <v>4</v>
      </c>
      <c r="M25" s="283" t="b">
        <f>NOS_Tourenkonzept!M25</f>
        <v>1</v>
      </c>
      <c r="N25" s="286">
        <f>NOS_Tourenkonzept!N25</f>
        <v>0.33333333333333331</v>
      </c>
      <c r="O25" s="285" t="str">
        <f>NOS_Tourenkonzept!O25</f>
        <v>1  WAB's</v>
      </c>
      <c r="P25" s="282" t="s">
        <v>4</v>
      </c>
      <c r="Q25" s="283" t="b">
        <f>NOS_Tourenkonzept!Q25</f>
        <v>1</v>
      </c>
      <c r="R25" s="286">
        <f>NOS_Tourenkonzept!R25</f>
        <v>0</v>
      </c>
      <c r="S25" s="285">
        <f>NOS_Tourenkonzept!S25</f>
        <v>0</v>
      </c>
      <c r="T25" s="232" t="s">
        <v>4</v>
      </c>
      <c r="U25" s="279" t="b">
        <f>NOS_Tourenkonzept!U25</f>
        <v>0</v>
      </c>
      <c r="V25" s="240"/>
    </row>
    <row r="26" spans="1:22" ht="11" customHeight="1" x14ac:dyDescent="0.35">
      <c r="A26" s="590" t="str">
        <f>NOS_Tourenkonzept!A26</f>
        <v>Spedition
NBM OÖ</v>
      </c>
      <c r="B26" s="287" t="str">
        <f>NOS_Tourenkonzept!B26</f>
        <v>61197</v>
      </c>
      <c r="C26" s="290"/>
      <c r="D26" s="231" t="s">
        <v>2</v>
      </c>
      <c r="E26" s="2">
        <f>NOS_Tourenkonzept!E26</f>
        <v>3</v>
      </c>
      <c r="F26" s="287" t="str">
        <f>NOS_Tourenkonzept!F26</f>
        <v>61216</v>
      </c>
      <c r="G26" s="290"/>
      <c r="H26" s="231" t="s">
        <v>2</v>
      </c>
      <c r="I26" s="2">
        <f>NOS_Tourenkonzept!I26</f>
        <v>2</v>
      </c>
      <c r="J26" s="287" t="str">
        <f>NOS_Tourenkonzept!J26</f>
        <v>61227</v>
      </c>
      <c r="K26" s="290"/>
      <c r="L26" s="231" t="s">
        <v>2</v>
      </c>
      <c r="M26" s="2">
        <f>NOS_Tourenkonzept!M26</f>
        <v>3</v>
      </c>
      <c r="N26" s="287" t="str">
        <f>NOS_Tourenkonzept!N26</f>
        <v>61238</v>
      </c>
      <c r="O26" s="290"/>
      <c r="P26" s="231" t="s">
        <v>2</v>
      </c>
      <c r="Q26" s="2">
        <f>NOS_Tourenkonzept!Q26</f>
        <v>2</v>
      </c>
      <c r="R26" s="287">
        <f>NOS_Tourenkonzept!R26</f>
        <v>0</v>
      </c>
      <c r="S26" s="290"/>
      <c r="T26" s="231" t="s">
        <v>2</v>
      </c>
      <c r="U26" s="2">
        <f>NOS_Tourenkonzept!U26</f>
        <v>0</v>
      </c>
      <c r="V26" s="240"/>
    </row>
    <row r="27" spans="1:22" ht="11" customHeight="1" x14ac:dyDescent="0.35">
      <c r="A27" s="591"/>
      <c r="B27" s="289" t="str">
        <f>NOS_Tourenkonzept!B27</f>
        <v>Steyr</v>
      </c>
      <c r="C27" s="284"/>
      <c r="D27" s="280" t="s">
        <v>3</v>
      </c>
      <c r="E27" s="281" t="b">
        <f>NOS_Tourenkonzept!E27</f>
        <v>0</v>
      </c>
      <c r="F27" s="289" t="str">
        <f>NOS_Tourenkonzept!F27</f>
        <v>LINZ</v>
      </c>
      <c r="G27" s="284"/>
      <c r="H27" s="280" t="s">
        <v>3</v>
      </c>
      <c r="I27" s="281" t="b">
        <f>NOS_Tourenkonzept!I27</f>
        <v>1</v>
      </c>
      <c r="J27" s="289" t="str">
        <f>NOS_Tourenkonzept!J27</f>
        <v>STEYR</v>
      </c>
      <c r="K27" s="284"/>
      <c r="L27" s="280" t="s">
        <v>3</v>
      </c>
      <c r="M27" s="281" t="b">
        <f>NOS_Tourenkonzept!M27</f>
        <v>0</v>
      </c>
      <c r="N27" s="289" t="str">
        <f>NOS_Tourenkonzept!N27</f>
        <v>SALZBURG</v>
      </c>
      <c r="O27" s="284"/>
      <c r="P27" s="280" t="s">
        <v>3</v>
      </c>
      <c r="Q27" s="281" t="b">
        <f>NOS_Tourenkonzept!Q27</f>
        <v>0</v>
      </c>
      <c r="R27" s="289">
        <f>NOS_Tourenkonzept!R27</f>
        <v>0</v>
      </c>
      <c r="S27" s="284"/>
      <c r="T27" s="227" t="s">
        <v>3</v>
      </c>
      <c r="U27" s="278" t="b">
        <f>NOS_Tourenkonzept!U27</f>
        <v>0</v>
      </c>
      <c r="V27" s="240"/>
    </row>
    <row r="28" spans="1:22" ht="11" customHeight="1" thickBot="1" x14ac:dyDescent="0.4">
      <c r="A28" s="592"/>
      <c r="B28" s="286">
        <f>NOS_Tourenkonzept!B28</f>
        <v>0.33333333333333331</v>
      </c>
      <c r="C28" s="285">
        <f>NOS_Tourenkonzept!C28</f>
        <v>1</v>
      </c>
      <c r="D28" s="282" t="s">
        <v>4</v>
      </c>
      <c r="E28" s="283" t="b">
        <f>NOS_Tourenkonzept!E28</f>
        <v>1</v>
      </c>
      <c r="F28" s="286">
        <f>NOS_Tourenkonzept!F28</f>
        <v>0.33333333333333331</v>
      </c>
      <c r="G28" s="285" t="str">
        <f>NOS_Tourenkonzept!G28</f>
        <v>1  WAB's</v>
      </c>
      <c r="H28" s="282" t="s">
        <v>4</v>
      </c>
      <c r="I28" s="283" t="b">
        <f>NOS_Tourenkonzept!I28</f>
        <v>0</v>
      </c>
      <c r="J28" s="286">
        <f>NOS_Tourenkonzept!J28</f>
        <v>0.33333333333333331</v>
      </c>
      <c r="K28" s="285">
        <f>NOS_Tourenkonzept!K28</f>
        <v>1</v>
      </c>
      <c r="L28" s="282" t="s">
        <v>4</v>
      </c>
      <c r="M28" s="283" t="b">
        <f>NOS_Tourenkonzept!M28</f>
        <v>1</v>
      </c>
      <c r="N28" s="286">
        <f>NOS_Tourenkonzept!N28</f>
        <v>0.33333333333333331</v>
      </c>
      <c r="O28" s="285" t="str">
        <f>NOS_Tourenkonzept!O28</f>
        <v>1  WAB's</v>
      </c>
      <c r="P28" s="282" t="s">
        <v>4</v>
      </c>
      <c r="Q28" s="283" t="b">
        <f>NOS_Tourenkonzept!Q28</f>
        <v>1</v>
      </c>
      <c r="R28" s="286">
        <f>NOS_Tourenkonzept!R28</f>
        <v>0</v>
      </c>
      <c r="S28" s="285">
        <f>NOS_Tourenkonzept!S28</f>
        <v>0</v>
      </c>
      <c r="T28" s="232" t="s">
        <v>4</v>
      </c>
      <c r="U28" s="279" t="b">
        <f>NOS_Tourenkonzept!U28</f>
        <v>0</v>
      </c>
      <c r="V28" s="240"/>
    </row>
    <row r="29" spans="1:22" ht="11" customHeight="1" x14ac:dyDescent="0.35">
      <c r="A29" s="590" t="str">
        <f>NOS_Tourenkonzept!A29</f>
        <v xml:space="preserve">Spedition  </v>
      </c>
      <c r="B29" s="287" t="str">
        <f>NOS_Tourenkonzept!B29</f>
        <v>61200</v>
      </c>
      <c r="C29" s="290"/>
      <c r="D29" s="231" t="s">
        <v>2</v>
      </c>
      <c r="E29" s="2">
        <f>NOS_Tourenkonzept!E29</f>
        <v>4</v>
      </c>
      <c r="F29" s="287" t="str">
        <f>NOS_Tourenkonzept!F29</f>
        <v>61201 + 61202</v>
      </c>
      <c r="G29" s="290"/>
      <c r="H29" s="231" t="s">
        <v>2</v>
      </c>
      <c r="I29" s="2">
        <f>NOS_Tourenkonzept!I29</f>
        <v>2</v>
      </c>
      <c r="J29" s="287" t="str">
        <f>NOS_Tourenkonzept!J29</f>
        <v>61212</v>
      </c>
      <c r="K29" s="290"/>
      <c r="L29" s="231" t="s">
        <v>2</v>
      </c>
      <c r="M29" s="2">
        <f>NOS_Tourenkonzept!M29</f>
        <v>2</v>
      </c>
      <c r="N29" s="287" t="str">
        <f>NOS_Tourenkonzept!N29</f>
        <v>61240</v>
      </c>
      <c r="O29" s="290"/>
      <c r="P29" s="231" t="s">
        <v>2</v>
      </c>
      <c r="Q29" s="2">
        <f>NOS_Tourenkonzept!Q29</f>
        <v>2</v>
      </c>
      <c r="R29" s="287">
        <f>NOS_Tourenkonzept!R29</f>
        <v>0</v>
      </c>
      <c r="S29" s="290"/>
      <c r="T29" s="231" t="s">
        <v>2</v>
      </c>
      <c r="U29" s="2">
        <f>NOS_Tourenkonzept!U29</f>
        <v>0</v>
      </c>
      <c r="V29" s="240"/>
    </row>
    <row r="30" spans="1:22" ht="11" customHeight="1" x14ac:dyDescent="0.35">
      <c r="A30" s="591"/>
      <c r="B30" s="289" t="str">
        <f>NOS_Tourenkonzept!B30</f>
        <v>GRAZ</v>
      </c>
      <c r="C30" s="284"/>
      <c r="D30" s="280" t="s">
        <v>3</v>
      </c>
      <c r="E30" s="281" t="b">
        <f>NOS_Tourenkonzept!E30</f>
        <v>0</v>
      </c>
      <c r="F30" s="289" t="str">
        <f>NOS_Tourenkonzept!F30</f>
        <v xml:space="preserve">Graz + Lager </v>
      </c>
      <c r="G30" s="284"/>
      <c r="H30" s="280" t="s">
        <v>3</v>
      </c>
      <c r="I30" s="281" t="b">
        <f>NOS_Tourenkonzept!I30</f>
        <v>0</v>
      </c>
      <c r="J30" s="289" t="str">
        <f>NOS_Tourenkonzept!J30</f>
        <v>FELDBACH</v>
      </c>
      <c r="K30" s="284"/>
      <c r="L30" s="280" t="s">
        <v>3</v>
      </c>
      <c r="M30" s="281" t="b">
        <f>NOS_Tourenkonzept!M30</f>
        <v>0</v>
      </c>
      <c r="N30" s="289" t="str">
        <f>NOS_Tourenkonzept!N30</f>
        <v>GRAZ</v>
      </c>
      <c r="O30" s="284"/>
      <c r="P30" s="280" t="s">
        <v>3</v>
      </c>
      <c r="Q30" s="281" t="b">
        <f>NOS_Tourenkonzept!Q30</f>
        <v>0</v>
      </c>
      <c r="R30" s="289">
        <f>NOS_Tourenkonzept!R30</f>
        <v>0</v>
      </c>
      <c r="S30" s="284"/>
      <c r="T30" s="227" t="s">
        <v>3</v>
      </c>
      <c r="U30" s="278" t="b">
        <f>NOS_Tourenkonzept!U30</f>
        <v>0</v>
      </c>
      <c r="V30" s="240"/>
    </row>
    <row r="31" spans="1:22" ht="11" customHeight="1" thickBot="1" x14ac:dyDescent="0.4">
      <c r="A31" s="592"/>
      <c r="B31" s="286">
        <f>NOS_Tourenkonzept!B31</f>
        <v>0.33333333333333331</v>
      </c>
      <c r="C31" s="285">
        <f>NOS_Tourenkonzept!C31</f>
        <v>1</v>
      </c>
      <c r="D31" s="282" t="s">
        <v>4</v>
      </c>
      <c r="E31" s="283" t="b">
        <f>NOS_Tourenkonzept!E31</f>
        <v>1</v>
      </c>
      <c r="F31" s="286" t="str">
        <f>NOS_Tourenkonzept!F31</f>
        <v>Zeit:  08:00</v>
      </c>
      <c r="G31" s="285" t="str">
        <f>NOS_Tourenkonzept!G31</f>
        <v>1  WAB's</v>
      </c>
      <c r="H31" s="282" t="s">
        <v>4</v>
      </c>
      <c r="I31" s="283" t="b">
        <f>NOS_Tourenkonzept!I31</f>
        <v>0</v>
      </c>
      <c r="J31" s="286">
        <f>NOS_Tourenkonzept!J31</f>
        <v>0.33333333333333331</v>
      </c>
      <c r="K31" s="285">
        <f>NOS_Tourenkonzept!K31</f>
        <v>1</v>
      </c>
      <c r="L31" s="282" t="s">
        <v>4</v>
      </c>
      <c r="M31" s="283" t="b">
        <f>NOS_Tourenkonzept!M31</f>
        <v>1</v>
      </c>
      <c r="N31" s="286">
        <f>NOS_Tourenkonzept!N31</f>
        <v>0.33333333333333331</v>
      </c>
      <c r="O31" s="285" t="str">
        <f>NOS_Tourenkonzept!O31</f>
        <v>1  WAB's</v>
      </c>
      <c r="P31" s="282" t="s">
        <v>4</v>
      </c>
      <c r="Q31" s="283" t="b">
        <f>NOS_Tourenkonzept!Q31</f>
        <v>0</v>
      </c>
      <c r="R31" s="286">
        <f>NOS_Tourenkonzept!R31</f>
        <v>0</v>
      </c>
      <c r="S31" s="285">
        <f>NOS_Tourenkonzept!S31</f>
        <v>0</v>
      </c>
      <c r="T31" s="232" t="s">
        <v>4</v>
      </c>
      <c r="U31" s="279" t="b">
        <f>NOS_Tourenkonzept!U31</f>
        <v>0</v>
      </c>
      <c r="V31" s="240"/>
    </row>
    <row r="32" spans="1:22" ht="11" customHeight="1" x14ac:dyDescent="0.35">
      <c r="A32" s="590" t="str">
        <f>NOS_Tourenkonzept!A32</f>
        <v xml:space="preserve">Spedition  </v>
      </c>
      <c r="B32" s="287" t="str">
        <f>NOS_Tourenkonzept!B32</f>
        <v>61166 + 61191</v>
      </c>
      <c r="C32" s="290"/>
      <c r="D32" s="231" t="s">
        <v>2</v>
      </c>
      <c r="E32" s="2">
        <f>NOS_Tourenkonzept!E32</f>
        <v>0</v>
      </c>
      <c r="F32" s="287" t="str">
        <f>NOS_Tourenkonzept!F32</f>
        <v>61214 + 61215</v>
      </c>
      <c r="G32" s="290"/>
      <c r="H32" s="231" t="s">
        <v>2</v>
      </c>
      <c r="I32" s="2">
        <f>NOS_Tourenkonzept!I32</f>
        <v>2</v>
      </c>
      <c r="J32" s="287">
        <f>NOS_Tourenkonzept!J32</f>
        <v>0</v>
      </c>
      <c r="K32" s="290"/>
      <c r="L32" s="231" t="s">
        <v>2</v>
      </c>
      <c r="M32" s="2">
        <f>NOS_Tourenkonzept!M32</f>
        <v>2</v>
      </c>
      <c r="N32" s="287">
        <f>NOS_Tourenkonzept!N32</f>
        <v>0</v>
      </c>
      <c r="O32" s="290"/>
      <c r="P32" s="231" t="s">
        <v>2</v>
      </c>
      <c r="Q32" s="2">
        <f>NOS_Tourenkonzept!Q32</f>
        <v>2</v>
      </c>
      <c r="R32" s="287">
        <f>NOS_Tourenkonzept!R32</f>
        <v>0</v>
      </c>
      <c r="S32" s="290"/>
      <c r="T32" s="231" t="s">
        <v>2</v>
      </c>
      <c r="U32" s="2">
        <f>NOS_Tourenkonzept!U32</f>
        <v>2</v>
      </c>
      <c r="V32" s="240"/>
    </row>
    <row r="33" spans="1:22" ht="11" customHeight="1" x14ac:dyDescent="0.35">
      <c r="A33" s="591"/>
      <c r="B33" s="289" t="str">
        <f>NOS_Tourenkonzept!B33</f>
        <v>Innsbruck</v>
      </c>
      <c r="C33" s="284"/>
      <c r="D33" s="280" t="s">
        <v>3</v>
      </c>
      <c r="E33" s="281" t="b">
        <f>NOS_Tourenkonzept!E33</f>
        <v>0</v>
      </c>
      <c r="F33" s="289" t="str">
        <f>NOS_Tourenkonzept!F33</f>
        <v>Innsbruck</v>
      </c>
      <c r="G33" s="284"/>
      <c r="H33" s="280" t="s">
        <v>3</v>
      </c>
      <c r="I33" s="281" t="b">
        <f>NOS_Tourenkonzept!I33</f>
        <v>0</v>
      </c>
      <c r="J33" s="289">
        <f>NOS_Tourenkonzept!J33</f>
        <v>0</v>
      </c>
      <c r="K33" s="284"/>
      <c r="L33" s="280" t="s">
        <v>3</v>
      </c>
      <c r="M33" s="281" t="b">
        <f>NOS_Tourenkonzept!M33</f>
        <v>1</v>
      </c>
      <c r="N33" s="289">
        <f>NOS_Tourenkonzept!N33</f>
        <v>0</v>
      </c>
      <c r="O33" s="284"/>
      <c r="P33" s="280" t="s">
        <v>3</v>
      </c>
      <c r="Q33" s="281" t="b">
        <f>NOS_Tourenkonzept!Q33</f>
        <v>0</v>
      </c>
      <c r="R33" s="289">
        <f>NOS_Tourenkonzept!R33</f>
        <v>0</v>
      </c>
      <c r="S33" s="284"/>
      <c r="T33" s="227" t="s">
        <v>3</v>
      </c>
      <c r="U33" s="278" t="b">
        <f>NOS_Tourenkonzept!U33</f>
        <v>0</v>
      </c>
      <c r="V33" s="240"/>
    </row>
    <row r="34" spans="1:22" ht="11" customHeight="1" thickBot="1" x14ac:dyDescent="0.4">
      <c r="A34" s="592"/>
      <c r="B34" s="286">
        <f>NOS_Tourenkonzept!B34</f>
        <v>0</v>
      </c>
      <c r="C34" s="285">
        <f>NOS_Tourenkonzept!C34</f>
        <v>1</v>
      </c>
      <c r="D34" s="282" t="s">
        <v>4</v>
      </c>
      <c r="E34" s="283" t="b">
        <f>NOS_Tourenkonzept!E34</f>
        <v>0</v>
      </c>
      <c r="F34" s="286">
        <f>NOS_Tourenkonzept!F34</f>
        <v>0</v>
      </c>
      <c r="G34" s="285" t="str">
        <f>NOS_Tourenkonzept!G34</f>
        <v>2  WAB's</v>
      </c>
      <c r="H34" s="282" t="s">
        <v>4</v>
      </c>
      <c r="I34" s="283" t="b">
        <f>NOS_Tourenkonzept!I34</f>
        <v>0</v>
      </c>
      <c r="J34" s="286">
        <f>NOS_Tourenkonzept!J34</f>
        <v>0</v>
      </c>
      <c r="K34" s="285">
        <f>NOS_Tourenkonzept!K34</f>
        <v>0</v>
      </c>
      <c r="L34" s="282" t="s">
        <v>4</v>
      </c>
      <c r="M34" s="283" t="b">
        <f>NOS_Tourenkonzept!M34</f>
        <v>0</v>
      </c>
      <c r="N34" s="286">
        <f>NOS_Tourenkonzept!N34</f>
        <v>0</v>
      </c>
      <c r="O34" s="285">
        <f>NOS_Tourenkonzept!O34</f>
        <v>0</v>
      </c>
      <c r="P34" s="282" t="s">
        <v>4</v>
      </c>
      <c r="Q34" s="283" t="b">
        <f>NOS_Tourenkonzept!Q34</f>
        <v>0</v>
      </c>
      <c r="R34" s="286">
        <f>NOS_Tourenkonzept!R34</f>
        <v>0</v>
      </c>
      <c r="S34" s="285">
        <f>NOS_Tourenkonzept!S34</f>
        <v>0</v>
      </c>
      <c r="T34" s="232" t="s">
        <v>4</v>
      </c>
      <c r="U34" s="279" t="b">
        <f>NOS_Tourenkonzept!U34</f>
        <v>0</v>
      </c>
      <c r="V34" s="240"/>
    </row>
    <row r="35" spans="1:22" ht="11" customHeight="1" x14ac:dyDescent="0.35">
      <c r="A35" s="593" t="str">
        <f>NOS_Tourenkonzept!A35</f>
        <v xml:space="preserve">Spedition  </v>
      </c>
      <c r="B35" s="287" t="str">
        <f>NOS_Tourenkonzept!B35</f>
        <v>61199</v>
      </c>
      <c r="C35" s="290"/>
      <c r="D35" s="231" t="s">
        <v>2</v>
      </c>
      <c r="E35" s="2">
        <f>NOS_Tourenkonzept!E35</f>
        <v>0</v>
      </c>
      <c r="F35" s="287">
        <f>NOS_Tourenkonzept!F35</f>
        <v>0</v>
      </c>
      <c r="G35" s="290"/>
      <c r="H35" s="231" t="s">
        <v>2</v>
      </c>
      <c r="I35" s="2">
        <f>NOS_Tourenkonzept!I35</f>
        <v>0</v>
      </c>
      <c r="J35" s="287">
        <f>NOS_Tourenkonzept!J35</f>
        <v>0</v>
      </c>
      <c r="K35" s="290"/>
      <c r="L35" s="231" t="s">
        <v>2</v>
      </c>
      <c r="M35" s="2">
        <f>NOS_Tourenkonzept!M35</f>
        <v>0</v>
      </c>
      <c r="N35" s="287">
        <f>NOS_Tourenkonzept!N35</f>
        <v>0</v>
      </c>
      <c r="O35" s="290"/>
      <c r="P35" s="231" t="s">
        <v>2</v>
      </c>
      <c r="Q35" s="2">
        <f>NOS_Tourenkonzept!Q35</f>
        <v>0</v>
      </c>
      <c r="R35" s="287">
        <f>NOS_Tourenkonzept!R35</f>
        <v>0</v>
      </c>
      <c r="S35" s="290"/>
      <c r="T35" s="231" t="s">
        <v>2</v>
      </c>
      <c r="U35" s="2">
        <f>NOS_Tourenkonzept!U35</f>
        <v>0</v>
      </c>
      <c r="V35" s="240"/>
    </row>
    <row r="36" spans="1:22" ht="11" customHeight="1" x14ac:dyDescent="0.35">
      <c r="A36" s="594"/>
      <c r="B36" s="289" t="str">
        <f>NOS_Tourenkonzept!B36</f>
        <v>BUDAPEST</v>
      </c>
      <c r="C36" s="284"/>
      <c r="D36" s="280" t="s">
        <v>3</v>
      </c>
      <c r="E36" s="281" t="b">
        <f>NOS_Tourenkonzept!E36</f>
        <v>0</v>
      </c>
      <c r="F36" s="289">
        <f>NOS_Tourenkonzept!F36</f>
        <v>0</v>
      </c>
      <c r="G36" s="284"/>
      <c r="H36" s="280" t="s">
        <v>3</v>
      </c>
      <c r="I36" s="281" t="b">
        <f>NOS_Tourenkonzept!I36</f>
        <v>0</v>
      </c>
      <c r="J36" s="289">
        <f>NOS_Tourenkonzept!J36</f>
        <v>0</v>
      </c>
      <c r="K36" s="284"/>
      <c r="L36" s="280" t="s">
        <v>3</v>
      </c>
      <c r="M36" s="281" t="b">
        <f>NOS_Tourenkonzept!M36</f>
        <v>0</v>
      </c>
      <c r="N36" s="289">
        <f>NOS_Tourenkonzept!N36</f>
        <v>0</v>
      </c>
      <c r="O36" s="284"/>
      <c r="P36" s="280" t="s">
        <v>3</v>
      </c>
      <c r="Q36" s="281" t="b">
        <f>NOS_Tourenkonzept!Q36</f>
        <v>0</v>
      </c>
      <c r="R36" s="289">
        <f>NOS_Tourenkonzept!R36</f>
        <v>0</v>
      </c>
      <c r="S36" s="284"/>
      <c r="T36" s="227" t="s">
        <v>3</v>
      </c>
      <c r="U36" s="278" t="b">
        <f>NOS_Tourenkonzept!U36</f>
        <v>0</v>
      </c>
      <c r="V36" s="240"/>
    </row>
    <row r="37" spans="1:22" ht="11" customHeight="1" thickBot="1" x14ac:dyDescent="0.4">
      <c r="A37" s="595"/>
      <c r="B37" s="286">
        <f>NOS_Tourenkonzept!B37</f>
        <v>0</v>
      </c>
      <c r="C37" s="285">
        <f>NOS_Tourenkonzept!C37</f>
        <v>1</v>
      </c>
      <c r="D37" s="282" t="s">
        <v>4</v>
      </c>
      <c r="E37" s="283" t="b">
        <f>NOS_Tourenkonzept!E37</f>
        <v>1</v>
      </c>
      <c r="F37" s="286">
        <f>NOS_Tourenkonzept!F37</f>
        <v>0</v>
      </c>
      <c r="G37" s="285">
        <f>NOS_Tourenkonzept!G37</f>
        <v>0</v>
      </c>
      <c r="H37" s="282" t="s">
        <v>4</v>
      </c>
      <c r="I37" s="283" t="b">
        <f>NOS_Tourenkonzept!I37</f>
        <v>0</v>
      </c>
      <c r="J37" s="286">
        <f>NOS_Tourenkonzept!J37</f>
        <v>0</v>
      </c>
      <c r="K37" s="285">
        <f>NOS_Tourenkonzept!K37</f>
        <v>0</v>
      </c>
      <c r="L37" s="282" t="s">
        <v>4</v>
      </c>
      <c r="M37" s="283" t="b">
        <f>NOS_Tourenkonzept!M37</f>
        <v>0</v>
      </c>
      <c r="N37" s="286">
        <f>NOS_Tourenkonzept!N37</f>
        <v>0</v>
      </c>
      <c r="O37" s="285">
        <f>NOS_Tourenkonzept!O37</f>
        <v>0</v>
      </c>
      <c r="P37" s="282" t="s">
        <v>4</v>
      </c>
      <c r="Q37" s="283" t="b">
        <f>NOS_Tourenkonzept!Q37</f>
        <v>0</v>
      </c>
      <c r="R37" s="286">
        <f>NOS_Tourenkonzept!R37</f>
        <v>0</v>
      </c>
      <c r="S37" s="285">
        <f>NOS_Tourenkonzept!S37</f>
        <v>0</v>
      </c>
      <c r="T37" s="232" t="s">
        <v>4</v>
      </c>
      <c r="U37" s="279" t="b">
        <f>NOS_Tourenkonzept!U37</f>
        <v>0</v>
      </c>
      <c r="V37" s="240"/>
    </row>
    <row r="38" spans="1:22" ht="11" customHeight="1" x14ac:dyDescent="0.35">
      <c r="A38" s="593" t="str">
        <f>NOS_Tourenkonzept!A38</f>
        <v xml:space="preserve">Spedition  </v>
      </c>
      <c r="B38" s="287">
        <f>NOS_Tourenkonzept!B38</f>
        <v>0</v>
      </c>
      <c r="C38" s="290"/>
      <c r="D38" s="231" t="s">
        <v>2</v>
      </c>
      <c r="E38" s="2">
        <f>NOS_Tourenkonzept!E38</f>
        <v>0</v>
      </c>
      <c r="F38" s="287">
        <f>NOS_Tourenkonzept!F38</f>
        <v>0</v>
      </c>
      <c r="G38" s="290"/>
      <c r="H38" s="231" t="s">
        <v>2</v>
      </c>
      <c r="I38" s="2">
        <f>NOS_Tourenkonzept!I38</f>
        <v>0</v>
      </c>
      <c r="J38" s="287" t="str">
        <f>NOS_Tourenkonzept!J38</f>
        <v>61226</v>
      </c>
      <c r="K38" s="290"/>
      <c r="L38" s="231" t="s">
        <v>2</v>
      </c>
      <c r="M38" s="2">
        <f>NOS_Tourenkonzept!M38</f>
        <v>0</v>
      </c>
      <c r="N38" s="287" t="str">
        <f>NOS_Tourenkonzept!N38</f>
        <v>61246</v>
      </c>
      <c r="O38" s="290"/>
      <c r="P38" s="231" t="s">
        <v>2</v>
      </c>
      <c r="Q38" s="2">
        <f>NOS_Tourenkonzept!Q38</f>
        <v>0</v>
      </c>
      <c r="R38" s="287" t="str">
        <f>NOS_Tourenkonzept!R38</f>
        <v>61234</v>
      </c>
      <c r="S38" s="290"/>
      <c r="T38" s="231" t="s">
        <v>2</v>
      </c>
      <c r="U38" s="2">
        <f>NOS_Tourenkonzept!U38</f>
        <v>2</v>
      </c>
      <c r="V38" s="240"/>
    </row>
    <row r="39" spans="1:22" ht="11" customHeight="1" x14ac:dyDescent="0.35">
      <c r="A39" s="594"/>
      <c r="B39" s="289">
        <f>NOS_Tourenkonzept!B39</f>
        <v>0</v>
      </c>
      <c r="C39" s="284"/>
      <c r="D39" s="280" t="s">
        <v>3</v>
      </c>
      <c r="E39" s="281" t="b">
        <f>NOS_Tourenkonzept!E39</f>
        <v>0</v>
      </c>
      <c r="F39" s="289">
        <f>NOS_Tourenkonzept!F39</f>
        <v>0</v>
      </c>
      <c r="G39" s="284"/>
      <c r="H39" s="280" t="s">
        <v>3</v>
      </c>
      <c r="I39" s="281" t="b">
        <f>NOS_Tourenkonzept!I39</f>
        <v>0</v>
      </c>
      <c r="J39" s="289" t="str">
        <f>NOS_Tourenkonzept!J39</f>
        <v>KÄRNTEN</v>
      </c>
      <c r="K39" s="284"/>
      <c r="L39" s="280" t="s">
        <v>3</v>
      </c>
      <c r="M39" s="281" t="b">
        <f>NOS_Tourenkonzept!M39</f>
        <v>0</v>
      </c>
      <c r="N39" s="289" t="str">
        <f>NOS_Tourenkonzept!N39</f>
        <v>DEUTSCHLAND</v>
      </c>
      <c r="O39" s="284"/>
      <c r="P39" s="280" t="s">
        <v>3</v>
      </c>
      <c r="Q39" s="281" t="b">
        <f>NOS_Tourenkonzept!Q39</f>
        <v>0</v>
      </c>
      <c r="R39" s="289" t="str">
        <f>NOS_Tourenkonzept!R39</f>
        <v>BAYERN</v>
      </c>
      <c r="S39" s="284"/>
      <c r="T39" s="227" t="s">
        <v>3</v>
      </c>
      <c r="U39" s="278" t="b">
        <f>NOS_Tourenkonzept!U39</f>
        <v>0</v>
      </c>
      <c r="V39" s="240"/>
    </row>
    <row r="40" spans="1:22" ht="11" customHeight="1" thickBot="1" x14ac:dyDescent="0.4">
      <c r="A40" s="595"/>
      <c r="B40" s="286">
        <f>NOS_Tourenkonzept!B40</f>
        <v>0</v>
      </c>
      <c r="C40" s="285">
        <f>NOS_Tourenkonzept!C40</f>
        <v>0</v>
      </c>
      <c r="D40" s="282" t="s">
        <v>4</v>
      </c>
      <c r="E40" s="283" t="b">
        <f>NOS_Tourenkonzept!E40</f>
        <v>0</v>
      </c>
      <c r="F40" s="286">
        <f>NOS_Tourenkonzept!F40</f>
        <v>0</v>
      </c>
      <c r="G40" s="285">
        <f>NOS_Tourenkonzept!G40</f>
        <v>0</v>
      </c>
      <c r="H40" s="282" t="s">
        <v>4</v>
      </c>
      <c r="I40" s="283" t="b">
        <f>NOS_Tourenkonzept!I40</f>
        <v>0</v>
      </c>
      <c r="J40" s="286">
        <f>NOS_Tourenkonzept!J40</f>
        <v>0</v>
      </c>
      <c r="K40" s="285">
        <f>NOS_Tourenkonzept!K40</f>
        <v>1</v>
      </c>
      <c r="L40" s="282" t="s">
        <v>4</v>
      </c>
      <c r="M40" s="283" t="b">
        <f>NOS_Tourenkonzept!M40</f>
        <v>0</v>
      </c>
      <c r="N40" s="286">
        <f>NOS_Tourenkonzept!N40</f>
        <v>0</v>
      </c>
      <c r="O40" s="285">
        <f>NOS_Tourenkonzept!O40</f>
        <v>0</v>
      </c>
      <c r="P40" s="282" t="s">
        <v>4</v>
      </c>
      <c r="Q40" s="283" t="b">
        <f>NOS_Tourenkonzept!Q40</f>
        <v>1</v>
      </c>
      <c r="R40" s="286">
        <f>NOS_Tourenkonzept!R40</f>
        <v>0</v>
      </c>
      <c r="S40" s="285">
        <f>NOS_Tourenkonzept!S40</f>
        <v>1</v>
      </c>
      <c r="T40" s="232" t="s">
        <v>4</v>
      </c>
      <c r="U40" s="279" t="b">
        <f>NOS_Tourenkonzept!U40</f>
        <v>1</v>
      </c>
      <c r="V40" s="240"/>
    </row>
    <row r="41" spans="1:22" ht="11" customHeight="1" x14ac:dyDescent="0.35">
      <c r="A41" s="593" t="str">
        <f>NOS_Tourenkonzept!A41</f>
        <v xml:space="preserve">Spedition  </v>
      </c>
      <c r="B41" s="287" t="str">
        <f>NOS_Tourenkonzept!B41</f>
        <v>61209</v>
      </c>
      <c r="C41" s="290"/>
      <c r="D41" s="231" t="s">
        <v>2</v>
      </c>
      <c r="E41" s="2">
        <f>NOS_Tourenkonzept!E41</f>
        <v>0</v>
      </c>
      <c r="F41" s="287">
        <f>NOS_Tourenkonzept!F41</f>
        <v>0</v>
      </c>
      <c r="G41" s="290"/>
      <c r="H41" s="231" t="s">
        <v>2</v>
      </c>
      <c r="I41" s="2">
        <f>NOS_Tourenkonzept!I41</f>
        <v>0</v>
      </c>
      <c r="J41" s="287">
        <f>NOS_Tourenkonzept!J41</f>
        <v>0</v>
      </c>
      <c r="K41" s="290"/>
      <c r="L41" s="231" t="s">
        <v>2</v>
      </c>
      <c r="M41" s="2">
        <f>NOS_Tourenkonzept!M41</f>
        <v>0</v>
      </c>
      <c r="N41" s="287" t="str">
        <f>NOS_Tourenkonzept!N41</f>
        <v>61245</v>
      </c>
      <c r="O41" s="290"/>
      <c r="P41" s="231" t="s">
        <v>2</v>
      </c>
      <c r="Q41" s="2">
        <f>NOS_Tourenkonzept!Q41</f>
        <v>0</v>
      </c>
      <c r="R41" s="287">
        <f>NOS_Tourenkonzept!R41</f>
        <v>0</v>
      </c>
      <c r="S41" s="290"/>
      <c r="T41" s="231" t="s">
        <v>2</v>
      </c>
      <c r="U41" s="2">
        <f>NOS_Tourenkonzept!U41</f>
        <v>0</v>
      </c>
      <c r="V41" s="240"/>
    </row>
    <row r="42" spans="1:22" ht="11" customHeight="1" x14ac:dyDescent="0.35">
      <c r="A42" s="594"/>
      <c r="B42" s="289" t="str">
        <f>NOS_Tourenkonzept!B42</f>
        <v>WERK</v>
      </c>
      <c r="C42" s="284"/>
      <c r="D42" s="280" t="s">
        <v>3</v>
      </c>
      <c r="E42" s="281" t="b">
        <f>NOS_Tourenkonzept!E42</f>
        <v>0</v>
      </c>
      <c r="F42" s="289">
        <f>NOS_Tourenkonzept!F42</f>
        <v>0</v>
      </c>
      <c r="G42" s="284"/>
      <c r="H42" s="280" t="s">
        <v>3</v>
      </c>
      <c r="I42" s="281" t="b">
        <f>NOS_Tourenkonzept!I42</f>
        <v>0</v>
      </c>
      <c r="J42" s="289">
        <f>NOS_Tourenkonzept!J42</f>
        <v>0</v>
      </c>
      <c r="K42" s="284"/>
      <c r="L42" s="280" t="s">
        <v>3</v>
      </c>
      <c r="M42" s="281" t="b">
        <f>NOS_Tourenkonzept!M42</f>
        <v>0</v>
      </c>
      <c r="N42" s="289" t="str">
        <f>NOS_Tourenkonzept!N42</f>
        <v>POSTVERSAND</v>
      </c>
      <c r="O42" s="284"/>
      <c r="P42" s="280" t="s">
        <v>3</v>
      </c>
      <c r="Q42" s="281" t="b">
        <f>NOS_Tourenkonzept!Q42</f>
        <v>0</v>
      </c>
      <c r="R42" s="289">
        <f>NOS_Tourenkonzept!R42</f>
        <v>0</v>
      </c>
      <c r="S42" s="284"/>
      <c r="T42" s="227" t="s">
        <v>3</v>
      </c>
      <c r="U42" s="278" t="b">
        <f>NOS_Tourenkonzept!U42</f>
        <v>0</v>
      </c>
      <c r="V42" s="240"/>
    </row>
    <row r="43" spans="1:22" ht="11" customHeight="1" thickBot="1" x14ac:dyDescent="0.4">
      <c r="A43" s="595"/>
      <c r="B43" s="286">
        <f>NOS_Tourenkonzept!B43</f>
        <v>0</v>
      </c>
      <c r="C43" s="285">
        <f>NOS_Tourenkonzept!C43</f>
        <v>0</v>
      </c>
      <c r="D43" s="282" t="s">
        <v>4</v>
      </c>
      <c r="E43" s="283" t="b">
        <f>NOS_Tourenkonzept!E43</f>
        <v>0</v>
      </c>
      <c r="F43" s="286">
        <f>NOS_Tourenkonzept!F43</f>
        <v>0</v>
      </c>
      <c r="G43" s="285">
        <f>NOS_Tourenkonzept!G43</f>
        <v>0</v>
      </c>
      <c r="H43" s="282" t="s">
        <v>4</v>
      </c>
      <c r="I43" s="283" t="b">
        <f>NOS_Tourenkonzept!I43</f>
        <v>0</v>
      </c>
      <c r="J43" s="286">
        <f>NOS_Tourenkonzept!J43</f>
        <v>0</v>
      </c>
      <c r="K43" s="285">
        <f>NOS_Tourenkonzept!K43</f>
        <v>0</v>
      </c>
      <c r="L43" s="282" t="s">
        <v>4</v>
      </c>
      <c r="M43" s="283" t="b">
        <f>NOS_Tourenkonzept!M43</f>
        <v>0</v>
      </c>
      <c r="N43" s="286">
        <f>NOS_Tourenkonzept!N43</f>
        <v>0</v>
      </c>
      <c r="O43" s="285">
        <f>NOS_Tourenkonzept!O43</f>
        <v>0</v>
      </c>
      <c r="P43" s="282" t="s">
        <v>4</v>
      </c>
      <c r="Q43" s="283" t="b">
        <f>NOS_Tourenkonzept!Q43</f>
        <v>0</v>
      </c>
      <c r="R43" s="286">
        <f>NOS_Tourenkonzept!R43</f>
        <v>0</v>
      </c>
      <c r="S43" s="285">
        <f>NOS_Tourenkonzept!S43</f>
        <v>0</v>
      </c>
      <c r="T43" s="232" t="s">
        <v>4</v>
      </c>
      <c r="U43" s="279" t="b">
        <f>NOS_Tourenkonzept!U43</f>
        <v>0</v>
      </c>
      <c r="V43" s="240"/>
    </row>
    <row r="44" spans="1:22" ht="11" customHeight="1" x14ac:dyDescent="0.35">
      <c r="A44" s="590" t="str">
        <f>NOS_Tourenkonzept!A44</f>
        <v xml:space="preserve">Monteure
SC-Leiter </v>
      </c>
      <c r="B44" s="287">
        <f>NOS_Tourenkonzept!B44</f>
        <v>0</v>
      </c>
      <c r="C44" s="290"/>
      <c r="D44" s="231" t="s">
        <v>2</v>
      </c>
      <c r="E44" s="2">
        <f>NOS_Tourenkonzept!E44</f>
        <v>0</v>
      </c>
      <c r="F44" s="287">
        <f>NOS_Tourenkonzept!F44</f>
        <v>0</v>
      </c>
      <c r="G44" s="290"/>
      <c r="H44" s="231" t="s">
        <v>2</v>
      </c>
      <c r="I44" s="2">
        <f>NOS_Tourenkonzept!I44</f>
        <v>0</v>
      </c>
      <c r="J44" s="287">
        <f>NOS_Tourenkonzept!J44</f>
        <v>0</v>
      </c>
      <c r="K44" s="290"/>
      <c r="L44" s="231" t="s">
        <v>2</v>
      </c>
      <c r="M44" s="2">
        <f>NOS_Tourenkonzept!M44</f>
        <v>0</v>
      </c>
      <c r="N44" s="287" t="str">
        <f>NOS_Tourenkonzept!N44</f>
        <v>61244</v>
      </c>
      <c r="O44" s="290"/>
      <c r="P44" s="231" t="s">
        <v>2</v>
      </c>
      <c r="Q44" s="2">
        <f>NOS_Tourenkonzept!Q44</f>
        <v>0</v>
      </c>
      <c r="R44" s="287" t="str">
        <f>NOS_Tourenkonzept!R44</f>
        <v>61248</v>
      </c>
      <c r="S44" s="290"/>
      <c r="T44" s="231" t="s">
        <v>2</v>
      </c>
      <c r="U44" s="2">
        <f>NOS_Tourenkonzept!U44</f>
        <v>0</v>
      </c>
      <c r="V44" s="240"/>
    </row>
    <row r="45" spans="1:22" ht="11" customHeight="1" x14ac:dyDescent="0.35">
      <c r="A45" s="591"/>
      <c r="B45" s="289">
        <f>NOS_Tourenkonzept!B45</f>
        <v>0</v>
      </c>
      <c r="C45" s="284"/>
      <c r="D45" s="280" t="s">
        <v>3</v>
      </c>
      <c r="E45" s="281" t="b">
        <f>NOS_Tourenkonzept!E45</f>
        <v>0</v>
      </c>
      <c r="F45" s="289">
        <f>NOS_Tourenkonzept!F45</f>
        <v>0</v>
      </c>
      <c r="G45" s="284"/>
      <c r="H45" s="280" t="s">
        <v>3</v>
      </c>
      <c r="I45" s="281" t="b">
        <f>NOS_Tourenkonzept!I45</f>
        <v>0</v>
      </c>
      <c r="J45" s="289">
        <f>NOS_Tourenkonzept!J45</f>
        <v>0</v>
      </c>
      <c r="K45" s="284"/>
      <c r="L45" s="280" t="s">
        <v>3</v>
      </c>
      <c r="M45" s="281" t="b">
        <f>NOS_Tourenkonzept!M45</f>
        <v>0</v>
      </c>
      <c r="N45" s="289" t="str">
        <f>NOS_Tourenkonzept!N45</f>
        <v>Werk</v>
      </c>
      <c r="O45" s="284"/>
      <c r="P45" s="280" t="s">
        <v>3</v>
      </c>
      <c r="Q45" s="281" t="b">
        <f>NOS_Tourenkonzept!Q45</f>
        <v>0</v>
      </c>
      <c r="R45" s="289" t="str">
        <f>NOS_Tourenkonzept!R45</f>
        <v>MONTEURE</v>
      </c>
      <c r="S45" s="284"/>
      <c r="T45" s="227" t="s">
        <v>3</v>
      </c>
      <c r="U45" s="278" t="b">
        <f>NOS_Tourenkonzept!U45</f>
        <v>0</v>
      </c>
      <c r="V45" s="240"/>
    </row>
    <row r="46" spans="1:22" ht="11" customHeight="1" thickBot="1" x14ac:dyDescent="0.4">
      <c r="A46" s="592"/>
      <c r="B46" s="286">
        <f>NOS_Tourenkonzept!B46</f>
        <v>0</v>
      </c>
      <c r="C46" s="285">
        <f>NOS_Tourenkonzept!C46</f>
        <v>0</v>
      </c>
      <c r="D46" s="282" t="s">
        <v>4</v>
      </c>
      <c r="E46" s="283" t="b">
        <f>NOS_Tourenkonzept!E46</f>
        <v>0</v>
      </c>
      <c r="F46" s="286">
        <f>NOS_Tourenkonzept!F46</f>
        <v>0</v>
      </c>
      <c r="G46" s="285">
        <f>NOS_Tourenkonzept!G46</f>
        <v>0</v>
      </c>
      <c r="H46" s="282" t="s">
        <v>4</v>
      </c>
      <c r="I46" s="283" t="b">
        <f>NOS_Tourenkonzept!I46</f>
        <v>0</v>
      </c>
      <c r="J46" s="286">
        <f>NOS_Tourenkonzept!J46</f>
        <v>0</v>
      </c>
      <c r="K46" s="285">
        <f>NOS_Tourenkonzept!K46</f>
        <v>0</v>
      </c>
      <c r="L46" s="282" t="s">
        <v>4</v>
      </c>
      <c r="M46" s="283" t="b">
        <f>NOS_Tourenkonzept!M46</f>
        <v>0</v>
      </c>
      <c r="N46" s="286">
        <f>NOS_Tourenkonzept!N46</f>
        <v>0</v>
      </c>
      <c r="O46" s="285">
        <f>NOS_Tourenkonzept!O46</f>
        <v>0</v>
      </c>
      <c r="P46" s="282" t="s">
        <v>4</v>
      </c>
      <c r="Q46" s="283" t="b">
        <f>NOS_Tourenkonzept!Q46</f>
        <v>0</v>
      </c>
      <c r="R46" s="286">
        <f>NOS_Tourenkonzept!R46</f>
        <v>0</v>
      </c>
      <c r="S46" s="285">
        <f>NOS_Tourenkonzept!S46</f>
        <v>0</v>
      </c>
      <c r="T46" s="232" t="s">
        <v>4</v>
      </c>
      <c r="U46" s="279" t="b">
        <f>NOS_Tourenkonzept!U46</f>
        <v>0</v>
      </c>
      <c r="V46" s="240"/>
    </row>
    <row r="47" spans="1:22" ht="15" customHeight="1" x14ac:dyDescent="0.35">
      <c r="V47" s="240"/>
    </row>
    <row r="48" spans="1:22" x14ac:dyDescent="0.35">
      <c r="V48" s="240"/>
    </row>
    <row r="49" spans="22:22" ht="15" customHeight="1" x14ac:dyDescent="0.35">
      <c r="V49" s="240"/>
    </row>
    <row r="50" spans="22:22" x14ac:dyDescent="0.35">
      <c r="V50" s="240"/>
    </row>
    <row r="51" spans="22:22" x14ac:dyDescent="0.35">
      <c r="V51" s="240"/>
    </row>
    <row r="52" spans="22:22" ht="15" customHeight="1" x14ac:dyDescent="0.35">
      <c r="V52" s="240"/>
    </row>
    <row r="53" spans="22:22" x14ac:dyDescent="0.35">
      <c r="V53" s="240"/>
    </row>
    <row r="54" spans="22:22" x14ac:dyDescent="0.35">
      <c r="V54" s="240"/>
    </row>
    <row r="55" spans="22:22" x14ac:dyDescent="0.35">
      <c r="V55" s="240"/>
    </row>
    <row r="56" spans="22:22" x14ac:dyDescent="0.35">
      <c r="V56" s="240"/>
    </row>
    <row r="57" spans="22:22" x14ac:dyDescent="0.35">
      <c r="V57" s="240"/>
    </row>
    <row r="58" spans="22:22" x14ac:dyDescent="0.35">
      <c r="V58" s="240"/>
    </row>
    <row r="59" spans="22:22" x14ac:dyDescent="0.35">
      <c r="V59" s="240"/>
    </row>
    <row r="60" spans="22:22" x14ac:dyDescent="0.35">
      <c r="V60" s="240"/>
    </row>
    <row r="61" spans="22:22" x14ac:dyDescent="0.35">
      <c r="V61" s="240"/>
    </row>
    <row r="62" spans="22:22" x14ac:dyDescent="0.35">
      <c r="V62" s="240"/>
    </row>
    <row r="63" spans="22:22" x14ac:dyDescent="0.35">
      <c r="V63" s="240"/>
    </row>
    <row r="64" spans="22:22" x14ac:dyDescent="0.35">
      <c r="V64" s="240"/>
    </row>
    <row r="65" spans="22:22" x14ac:dyDescent="0.35">
      <c r="V65" s="240"/>
    </row>
    <row r="66" spans="22:22" ht="15" customHeight="1" x14ac:dyDescent="0.35">
      <c r="V66" s="240"/>
    </row>
    <row r="67" spans="22:22" x14ac:dyDescent="0.35">
      <c r="V67" s="240"/>
    </row>
    <row r="68" spans="22:22" ht="15" customHeight="1" x14ac:dyDescent="0.35">
      <c r="V68" s="240"/>
    </row>
    <row r="69" spans="22:22" x14ac:dyDescent="0.35">
      <c r="V69" s="240"/>
    </row>
    <row r="70" spans="22:22" ht="15" customHeight="1" x14ac:dyDescent="0.35">
      <c r="V70" s="240"/>
    </row>
    <row r="71" spans="22:22" x14ac:dyDescent="0.35">
      <c r="V71" s="240"/>
    </row>
    <row r="72" spans="22:22" ht="15" customHeight="1" x14ac:dyDescent="0.35">
      <c r="V72" s="240"/>
    </row>
    <row r="73" spans="22:22" x14ac:dyDescent="0.35">
      <c r="V73" s="240"/>
    </row>
    <row r="74" spans="22:22" ht="15" customHeight="1" x14ac:dyDescent="0.35">
      <c r="V74" s="240"/>
    </row>
    <row r="75" spans="22:22" x14ac:dyDescent="0.35">
      <c r="V75" s="240"/>
    </row>
    <row r="76" spans="22:22" ht="15" customHeight="1" x14ac:dyDescent="0.35">
      <c r="V76" s="240"/>
    </row>
    <row r="77" spans="22:22" x14ac:dyDescent="0.35">
      <c r="V77" s="240"/>
    </row>
    <row r="78" spans="22:22" x14ac:dyDescent="0.35">
      <c r="V78" s="240"/>
    </row>
    <row r="79" spans="22:22" x14ac:dyDescent="0.35">
      <c r="V79" s="240"/>
    </row>
    <row r="80" spans="22:22" x14ac:dyDescent="0.35">
      <c r="V80" s="240"/>
    </row>
  </sheetData>
  <sheetProtection selectLockedCells="1"/>
  <protectedRanges>
    <protectedRange algorithmName="SHA-512" hashValue="76mt0jOnm29TowyakMaL8PfLOWrOnnJl1J9832LxYqu0nEbCGHwrzwNk+ZUNvKaqQne6I/QRZIgXIaDDITDs3w==" saltValue="z8YGKewu5hPRB7FPr2i6qA==" spinCount="100000" sqref="A1:U1 A1:A46" name="Überschriften"/>
    <protectedRange algorithmName="SHA-512" hashValue="76mt0jOnm29TowyakMaL8PfLOWrOnnJl1J9832LxYqu0nEbCGHwrzwNk+ZUNvKaqQne6I/QRZIgXIaDDITDs3w==" saltValue="z8YGKewu5hPRB7FPr2i6qA==" spinCount="100000" sqref="D2:D46 H2:H46 L2:L46 P2:P46 T2:T46" name="Überschriften_1"/>
    <protectedRange sqref="B2:B46 F2:F46 J2:J46 N2:N46 R2:R46 C4 C7 C10 C13 C16 C19 C22 C25 C28 C31 C34 C37 C40 C43 C46 G4 G7 G10 G13 G16 G19 G22 G25 G28 G31 G34 G37 G40 G43 G46 K4 K7 K10 K13 K16 K19 K22 K25 K28 K31 K34 K37 K40 K43 K46 O4 O7 O10 O13 O16 O19 O22 O25 O28 O31 O34 O37 O40 O43 O46 S4 S7 S10 S13 S16 S19 S22 S25 S28 S31 S34 S37 S40 S43 S46" name="Montag_Wabs_1" securityDescriptor="O:WDG:WDD:(A;;CC;;;WD)"/>
    <protectedRange sqref="E2:E46 I2:I46 M2:M46 Q2:Q46 U2:U46" name="MRDSpalten_1" securityDescriptor="O:WDG:WDD:(A;;CC;;;WD)"/>
  </protectedRanges>
  <mergeCells count="20">
    <mergeCell ref="R1:U1"/>
    <mergeCell ref="B1:E1"/>
    <mergeCell ref="F1:I1"/>
    <mergeCell ref="J1:M1"/>
    <mergeCell ref="N1:Q1"/>
    <mergeCell ref="A44:A46"/>
    <mergeCell ref="A41:A43"/>
    <mergeCell ref="A38:A40"/>
    <mergeCell ref="A35:A37"/>
    <mergeCell ref="A32:A34"/>
    <mergeCell ref="A29:A31"/>
    <mergeCell ref="A26:A28"/>
    <mergeCell ref="A23:A25"/>
    <mergeCell ref="A20:A22"/>
    <mergeCell ref="A17:A19"/>
    <mergeCell ref="A14:A16"/>
    <mergeCell ref="A11:A13"/>
    <mergeCell ref="A8:A10"/>
    <mergeCell ref="A5:A7"/>
    <mergeCell ref="A2:A4"/>
  </mergeCells>
  <conditionalFormatting sqref="B1 F1 J1 N1 R1 A1:A2 A5 A8 A11 A14 A17 A20 A23 A26 A29 A32 A35 A38 A41 A44">
    <cfRule type="expression" dxfId="26" priority="2">
      <formula>CELL("Schutz",A1)</formula>
    </cfRule>
  </conditionalFormatting>
  <conditionalFormatting sqref="B2:B46 D2:F46 H2:J46 L2:N46 P2:R46 T2:U46">
    <cfRule type="expression" dxfId="25" priority="1">
      <formula>CELL("Schutz",B2)</formula>
    </cfRule>
  </conditionalFormatting>
  <pageMargins left="0.11811023622047245" right="0.11811023622047245" top="0.6692913385826772" bottom="7.874015748031496E-2" header="0.31496062992125984" footer="0"/>
  <pageSetup paperSize="9" fitToWidth="0" fitToHeight="0" orientation="landscape" r:id="rId1"/>
  <headerFooter scaleWithDoc="0">
    <oddHeader>&amp;L&amp;16&amp;G&amp;C&amp;"-,Fett"&amp;16Tourenkonzept für LW ___________&amp;R&amp;"-,Fett"&amp;16von: _____________  | bis: _________________</oddHead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96CF1-10C4-4E68-A30F-B3593A57BE22}">
  <sheetPr codeName="Tabelle3">
    <pageSetUpPr autoPageBreaks="0" fitToPage="1"/>
  </sheetPr>
  <dimension ref="A1:AF150"/>
  <sheetViews>
    <sheetView topLeftCell="B1" zoomScale="90" zoomScaleNormal="90" zoomScaleSheetLayoutView="70" workbookViewId="0">
      <pane xSplit="1" ySplit="2" topLeftCell="C3" activePane="bottomRight" state="frozen"/>
      <selection pane="topRight" activeCell="C1" sqref="C1"/>
      <selection pane="bottomLeft" activeCell="B3" sqref="B3"/>
      <selection pane="bottomRight" activeCell="H11" sqref="H11:I11"/>
    </sheetView>
  </sheetViews>
  <sheetFormatPr baseColWidth="10" defaultColWidth="11.453125" defaultRowHeight="12.5" x14ac:dyDescent="0.25"/>
  <cols>
    <col min="1" max="1" width="4.1796875" style="91" hidden="1" customWidth="1"/>
    <col min="2" max="2" width="20.1796875" style="91" customWidth="1"/>
    <col min="3" max="3" width="7.7265625" style="91" customWidth="1"/>
    <col min="4" max="4" width="11.1796875" style="91" customWidth="1"/>
    <col min="5" max="5" width="6.7265625" style="91" customWidth="1"/>
    <col min="6" max="7" width="6" style="91" customWidth="1"/>
    <col min="8" max="8" width="8.81640625" style="91" customWidth="1"/>
    <col min="9" max="9" width="10.453125" style="91" customWidth="1"/>
    <col min="10" max="10" width="6.7265625" style="91" customWidth="1"/>
    <col min="11" max="12" width="6" style="91" customWidth="1"/>
    <col min="13" max="13" width="9.1796875" style="91" customWidth="1"/>
    <col min="14" max="14" width="11" style="91" customWidth="1"/>
    <col min="15" max="15" width="6.7265625" style="91" customWidth="1"/>
    <col min="16" max="17" width="6" style="91" customWidth="1"/>
    <col min="18" max="18" width="11.26953125" style="91" customWidth="1"/>
    <col min="19" max="19" width="11.1796875" style="91" customWidth="1"/>
    <col min="20" max="20" width="6.7265625" style="91" customWidth="1"/>
    <col min="21" max="22" width="6" style="91" customWidth="1"/>
    <col min="23" max="23" width="7.453125" style="91" customWidth="1"/>
    <col min="24" max="24" width="11" style="91" customWidth="1"/>
    <col min="25" max="25" width="6.7265625" style="91" customWidth="1"/>
    <col min="26" max="26" width="5.81640625" style="91" customWidth="1"/>
    <col min="27" max="27" width="6" style="91" customWidth="1"/>
    <col min="28" max="28" width="8.81640625" style="91" customWidth="1"/>
    <col min="29" max="29" width="10.81640625" style="91" customWidth="1"/>
    <col min="30" max="30" width="6.7265625" style="91" customWidth="1"/>
    <col min="31" max="32" width="6" style="91" customWidth="1"/>
    <col min="33" max="35" width="3.7265625" style="91" customWidth="1"/>
    <col min="36" max="16384" width="11.453125" style="91"/>
  </cols>
  <sheetData>
    <row r="1" spans="2:32" ht="30" customHeight="1" thickBot="1" x14ac:dyDescent="0.55000000000000004">
      <c r="B1" s="88"/>
      <c r="C1" s="679" t="s">
        <v>91</v>
      </c>
      <c r="D1" s="680"/>
      <c r="E1" s="680"/>
      <c r="F1" s="680"/>
      <c r="G1" s="680"/>
      <c r="H1" s="680"/>
      <c r="I1" s="680"/>
      <c r="J1" s="680"/>
      <c r="K1" s="680"/>
      <c r="L1" s="680"/>
      <c r="M1" s="680"/>
      <c r="N1" s="680"/>
      <c r="O1" s="680"/>
      <c r="P1" s="680"/>
      <c r="Q1" s="680"/>
      <c r="R1" s="680"/>
      <c r="S1" s="680"/>
      <c r="T1" s="680"/>
      <c r="U1" s="680"/>
      <c r="V1" s="680"/>
      <c r="W1" s="680"/>
      <c r="X1" s="680"/>
      <c r="Y1" s="680"/>
      <c r="Z1" s="680"/>
      <c r="AA1" s="681"/>
      <c r="AB1" s="89"/>
      <c r="AC1" s="89"/>
      <c r="AD1" s="89"/>
      <c r="AE1" s="89"/>
      <c r="AF1" s="90"/>
    </row>
    <row r="2" spans="2:32" ht="14.25" customHeight="1" thickBot="1" x14ac:dyDescent="0.35">
      <c r="B2" s="92"/>
      <c r="C2" s="93" t="s">
        <v>92</v>
      </c>
      <c r="D2" s="94">
        <v>45663</v>
      </c>
      <c r="E2" s="665" t="s">
        <v>93</v>
      </c>
      <c r="F2" s="665"/>
      <c r="G2" s="666"/>
      <c r="H2" s="93" t="s">
        <v>94</v>
      </c>
      <c r="I2" s="94">
        <f>D2+1</f>
        <v>45664</v>
      </c>
      <c r="J2" s="665" t="s">
        <v>93</v>
      </c>
      <c r="K2" s="665"/>
      <c r="L2" s="666"/>
      <c r="M2" s="93" t="s">
        <v>95</v>
      </c>
      <c r="N2" s="96">
        <f>D2+2</f>
        <v>45665</v>
      </c>
      <c r="O2" s="665" t="s">
        <v>93</v>
      </c>
      <c r="P2" s="665"/>
      <c r="Q2" s="666"/>
      <c r="R2" s="93" t="s">
        <v>96</v>
      </c>
      <c r="S2" s="96">
        <f>D2+3</f>
        <v>45666</v>
      </c>
      <c r="T2" s="665" t="s">
        <v>93</v>
      </c>
      <c r="U2" s="665"/>
      <c r="V2" s="666"/>
      <c r="W2" s="93" t="s">
        <v>97</v>
      </c>
      <c r="X2" s="96">
        <f>D2+4</f>
        <v>45667</v>
      </c>
      <c r="Y2" s="665" t="s">
        <v>93</v>
      </c>
      <c r="Z2" s="665"/>
      <c r="AA2" s="666"/>
      <c r="AB2" s="95" t="s">
        <v>98</v>
      </c>
      <c r="AC2" s="96">
        <f>D2+5</f>
        <v>45668</v>
      </c>
      <c r="AD2" s="665" t="s">
        <v>93</v>
      </c>
      <c r="AE2" s="665"/>
      <c r="AF2" s="666"/>
    </row>
    <row r="3" spans="2:32" ht="18" customHeight="1" x14ac:dyDescent="0.25">
      <c r="B3" s="667" t="s">
        <v>99</v>
      </c>
      <c r="C3" s="668" t="s">
        <v>100</v>
      </c>
      <c r="D3" s="669"/>
      <c r="E3" s="670" t="s">
        <v>11</v>
      </c>
      <c r="F3" s="670"/>
      <c r="G3" s="671"/>
      <c r="H3" s="672" t="s">
        <v>100</v>
      </c>
      <c r="I3" s="673"/>
      <c r="J3" s="670" t="s">
        <v>11</v>
      </c>
      <c r="K3" s="670"/>
      <c r="L3" s="671"/>
      <c r="M3" s="672" t="s">
        <v>100</v>
      </c>
      <c r="N3" s="673"/>
      <c r="O3" s="670" t="s">
        <v>11</v>
      </c>
      <c r="P3" s="674"/>
      <c r="Q3" s="675"/>
      <c r="R3" s="672" t="s">
        <v>100</v>
      </c>
      <c r="S3" s="673"/>
      <c r="T3" s="670" t="s">
        <v>11</v>
      </c>
      <c r="U3" s="670"/>
      <c r="V3" s="671"/>
      <c r="W3" s="672" t="s">
        <v>100</v>
      </c>
      <c r="X3" s="673"/>
      <c r="Y3" s="670" t="s">
        <v>11</v>
      </c>
      <c r="Z3" s="670"/>
      <c r="AA3" s="676"/>
      <c r="AB3" s="673" t="s">
        <v>100</v>
      </c>
      <c r="AC3" s="673"/>
      <c r="AD3" s="677" t="s">
        <v>11</v>
      </c>
      <c r="AE3" s="677"/>
      <c r="AF3" s="678"/>
    </row>
    <row r="4" spans="2:32" ht="18" customHeight="1" x14ac:dyDescent="0.25">
      <c r="B4" s="654"/>
      <c r="C4" s="641"/>
      <c r="D4" s="642"/>
      <c r="E4" s="656"/>
      <c r="F4" s="656"/>
      <c r="G4" s="659"/>
      <c r="H4" s="647"/>
      <c r="I4" s="648"/>
      <c r="J4" s="656"/>
      <c r="K4" s="656"/>
      <c r="L4" s="659"/>
      <c r="M4" s="627"/>
      <c r="N4" s="628"/>
      <c r="O4" s="660"/>
      <c r="P4" s="660"/>
      <c r="Q4" s="661"/>
      <c r="R4" s="627"/>
      <c r="S4" s="628"/>
      <c r="T4" s="656"/>
      <c r="U4" s="656"/>
      <c r="V4" s="659"/>
      <c r="W4" s="627"/>
      <c r="X4" s="628"/>
      <c r="Y4" s="656"/>
      <c r="Z4" s="656"/>
      <c r="AA4" s="657"/>
      <c r="AB4" s="628"/>
      <c r="AC4" s="628"/>
      <c r="AD4" s="631"/>
      <c r="AE4" s="631"/>
      <c r="AF4" s="632"/>
    </row>
    <row r="5" spans="2:32" ht="12.75" customHeight="1" x14ac:dyDescent="0.25">
      <c r="B5" s="654"/>
      <c r="C5" s="664"/>
      <c r="D5" s="664"/>
      <c r="E5" s="622" t="s">
        <v>11</v>
      </c>
      <c r="F5" s="622"/>
      <c r="G5" s="623"/>
      <c r="H5" s="615"/>
      <c r="I5" s="615"/>
      <c r="J5" s="622" t="s">
        <v>11</v>
      </c>
      <c r="K5" s="622"/>
      <c r="L5" s="623"/>
      <c r="M5" s="615"/>
      <c r="N5" s="615"/>
      <c r="O5" s="622" t="s">
        <v>11</v>
      </c>
      <c r="P5" s="622"/>
      <c r="Q5" s="623"/>
      <c r="R5" s="615"/>
      <c r="S5" s="615"/>
      <c r="T5" s="622" t="s">
        <v>11</v>
      </c>
      <c r="U5" s="622"/>
      <c r="V5" s="623"/>
      <c r="W5" s="615"/>
      <c r="X5" s="615"/>
      <c r="Y5" s="622" t="s">
        <v>11</v>
      </c>
      <c r="Z5" s="622"/>
      <c r="AA5" s="624"/>
      <c r="AB5" s="615"/>
      <c r="AC5" s="615"/>
      <c r="AD5" s="622" t="s">
        <v>11</v>
      </c>
      <c r="AE5" s="622"/>
      <c r="AF5" s="624"/>
    </row>
    <row r="6" spans="2:32" ht="12.75" customHeight="1" x14ac:dyDescent="0.25">
      <c r="B6" s="654"/>
      <c r="C6" s="664"/>
      <c r="D6" s="664"/>
      <c r="E6" s="97" t="s">
        <v>101</v>
      </c>
      <c r="F6" s="616" t="s">
        <v>11</v>
      </c>
      <c r="G6" s="618"/>
      <c r="H6" s="615"/>
      <c r="I6" s="615"/>
      <c r="J6" s="97" t="s">
        <v>101</v>
      </c>
      <c r="K6" s="616" t="s">
        <v>11</v>
      </c>
      <c r="L6" s="618"/>
      <c r="M6" s="615"/>
      <c r="N6" s="615"/>
      <c r="O6" s="97" t="s">
        <v>101</v>
      </c>
      <c r="P6" s="616" t="s">
        <v>11</v>
      </c>
      <c r="Q6" s="618"/>
      <c r="R6" s="615"/>
      <c r="S6" s="615"/>
      <c r="T6" s="97" t="s">
        <v>101</v>
      </c>
      <c r="U6" s="616" t="s">
        <v>11</v>
      </c>
      <c r="V6" s="618"/>
      <c r="W6" s="615"/>
      <c r="X6" s="615"/>
      <c r="Y6" s="97" t="s">
        <v>101</v>
      </c>
      <c r="Z6" s="616" t="s">
        <v>11</v>
      </c>
      <c r="AA6" s="617"/>
      <c r="AB6" s="615"/>
      <c r="AC6" s="615"/>
      <c r="AD6" s="97" t="s">
        <v>101</v>
      </c>
      <c r="AE6" s="616" t="s">
        <v>11</v>
      </c>
      <c r="AF6" s="617"/>
    </row>
    <row r="7" spans="2:32" ht="12.75" customHeight="1" x14ac:dyDescent="0.25">
      <c r="B7" s="655"/>
      <c r="C7" s="664"/>
      <c r="D7" s="664"/>
      <c r="E7" s="98" t="s">
        <v>102</v>
      </c>
      <c r="F7" s="609" t="s">
        <v>11</v>
      </c>
      <c r="G7" s="610"/>
      <c r="H7" s="615"/>
      <c r="I7" s="615"/>
      <c r="J7" s="98" t="s">
        <v>102</v>
      </c>
      <c r="K7" s="609" t="s">
        <v>11</v>
      </c>
      <c r="L7" s="610"/>
      <c r="M7" s="615"/>
      <c r="N7" s="615"/>
      <c r="O7" s="98" t="s">
        <v>102</v>
      </c>
      <c r="P7" s="609" t="s">
        <v>11</v>
      </c>
      <c r="Q7" s="610"/>
      <c r="R7" s="615"/>
      <c r="S7" s="615"/>
      <c r="T7" s="98" t="s">
        <v>102</v>
      </c>
      <c r="U7" s="609" t="s">
        <v>11</v>
      </c>
      <c r="V7" s="610"/>
      <c r="W7" s="615"/>
      <c r="X7" s="615"/>
      <c r="Y7" s="98" t="s">
        <v>102</v>
      </c>
      <c r="Z7" s="609" t="s">
        <v>11</v>
      </c>
      <c r="AA7" s="613"/>
      <c r="AB7" s="615"/>
      <c r="AC7" s="615"/>
      <c r="AD7" s="98" t="s">
        <v>102</v>
      </c>
      <c r="AE7" s="609" t="s">
        <v>11</v>
      </c>
      <c r="AF7" s="613"/>
    </row>
    <row r="8" spans="2:32" ht="18" customHeight="1" x14ac:dyDescent="0.25">
      <c r="B8" s="653" t="s">
        <v>103</v>
      </c>
      <c r="C8" s="639" t="s">
        <v>100</v>
      </c>
      <c r="D8" s="640"/>
      <c r="E8" s="656" t="s">
        <v>11</v>
      </c>
      <c r="F8" s="656"/>
      <c r="G8" s="659"/>
      <c r="H8" s="625" t="s">
        <v>100</v>
      </c>
      <c r="I8" s="626"/>
      <c r="J8" s="629" t="s">
        <v>11</v>
      </c>
      <c r="K8" s="629"/>
      <c r="L8" s="643"/>
      <c r="M8" s="625" t="s">
        <v>100</v>
      </c>
      <c r="N8" s="626"/>
      <c r="O8" s="629" t="s">
        <v>11</v>
      </c>
      <c r="P8" s="629"/>
      <c r="Q8" s="643"/>
      <c r="R8" s="625" t="s">
        <v>100</v>
      </c>
      <c r="S8" s="626"/>
      <c r="T8" s="629" t="s">
        <v>11</v>
      </c>
      <c r="U8" s="629"/>
      <c r="V8" s="643"/>
      <c r="W8" s="625" t="s">
        <v>100</v>
      </c>
      <c r="X8" s="626"/>
      <c r="Y8" s="629" t="s">
        <v>11</v>
      </c>
      <c r="Z8" s="629"/>
      <c r="AA8" s="630"/>
      <c r="AB8" s="626" t="s">
        <v>100</v>
      </c>
      <c r="AC8" s="626"/>
      <c r="AD8" s="629" t="s">
        <v>11</v>
      </c>
      <c r="AE8" s="629"/>
      <c r="AF8" s="630"/>
    </row>
    <row r="9" spans="2:32" ht="18" customHeight="1" x14ac:dyDescent="0.25">
      <c r="B9" s="654"/>
      <c r="C9" s="641"/>
      <c r="D9" s="642"/>
      <c r="E9" s="656"/>
      <c r="F9" s="656"/>
      <c r="G9" s="659"/>
      <c r="H9" s="647"/>
      <c r="I9" s="648"/>
      <c r="J9" s="631"/>
      <c r="K9" s="631"/>
      <c r="L9" s="646"/>
      <c r="M9" s="627"/>
      <c r="N9" s="628"/>
      <c r="O9" s="631"/>
      <c r="P9" s="631"/>
      <c r="Q9" s="646"/>
      <c r="R9" s="647"/>
      <c r="S9" s="648"/>
      <c r="T9" s="631"/>
      <c r="U9" s="631"/>
      <c r="V9" s="646"/>
      <c r="W9" s="647"/>
      <c r="X9" s="648"/>
      <c r="Y9" s="631"/>
      <c r="Z9" s="631"/>
      <c r="AA9" s="632"/>
      <c r="AB9" s="648"/>
      <c r="AC9" s="648"/>
      <c r="AD9" s="631"/>
      <c r="AE9" s="631"/>
      <c r="AF9" s="632"/>
    </row>
    <row r="10" spans="2:32" ht="12.75" customHeight="1" x14ac:dyDescent="0.25">
      <c r="B10" s="654"/>
      <c r="C10" s="664"/>
      <c r="D10" s="664"/>
      <c r="E10" s="622" t="s">
        <v>11</v>
      </c>
      <c r="F10" s="622"/>
      <c r="G10" s="623"/>
      <c r="H10" s="615"/>
      <c r="I10" s="615"/>
      <c r="J10" s="622" t="s">
        <v>11</v>
      </c>
      <c r="K10" s="622"/>
      <c r="L10" s="623"/>
      <c r="M10" s="615"/>
      <c r="N10" s="615"/>
      <c r="O10" s="622" t="s">
        <v>11</v>
      </c>
      <c r="P10" s="622"/>
      <c r="Q10" s="623"/>
      <c r="R10" s="615"/>
      <c r="S10" s="615"/>
      <c r="T10" s="622" t="s">
        <v>11</v>
      </c>
      <c r="U10" s="622"/>
      <c r="V10" s="623"/>
      <c r="W10" s="615"/>
      <c r="X10" s="615"/>
      <c r="Y10" s="622" t="s">
        <v>11</v>
      </c>
      <c r="Z10" s="622"/>
      <c r="AA10" s="624"/>
      <c r="AB10" s="615"/>
      <c r="AC10" s="615"/>
      <c r="AD10" s="622" t="s">
        <v>11</v>
      </c>
      <c r="AE10" s="622"/>
      <c r="AF10" s="624"/>
    </row>
    <row r="11" spans="2:32" ht="12.75" customHeight="1" x14ac:dyDescent="0.25">
      <c r="B11" s="654"/>
      <c r="C11" s="664"/>
      <c r="D11" s="664"/>
      <c r="E11" s="97" t="s">
        <v>101</v>
      </c>
      <c r="F11" s="616" t="s">
        <v>11</v>
      </c>
      <c r="G11" s="618"/>
      <c r="H11" s="615"/>
      <c r="I11" s="615"/>
      <c r="J11" s="97" t="s">
        <v>101</v>
      </c>
      <c r="K11" s="616" t="s">
        <v>11</v>
      </c>
      <c r="L11" s="618"/>
      <c r="M11" s="615"/>
      <c r="N11" s="615"/>
      <c r="O11" s="97" t="s">
        <v>101</v>
      </c>
      <c r="P11" s="616" t="s">
        <v>11</v>
      </c>
      <c r="Q11" s="618"/>
      <c r="R11" s="615"/>
      <c r="S11" s="615"/>
      <c r="T11" s="97" t="s">
        <v>101</v>
      </c>
      <c r="U11" s="616" t="s">
        <v>11</v>
      </c>
      <c r="V11" s="618"/>
      <c r="W11" s="615"/>
      <c r="X11" s="615"/>
      <c r="Y11" s="97" t="s">
        <v>101</v>
      </c>
      <c r="Z11" s="616" t="s">
        <v>11</v>
      </c>
      <c r="AA11" s="617"/>
      <c r="AB11" s="615"/>
      <c r="AC11" s="615"/>
      <c r="AD11" s="97" t="s">
        <v>101</v>
      </c>
      <c r="AE11" s="616" t="s">
        <v>11</v>
      </c>
      <c r="AF11" s="617"/>
    </row>
    <row r="12" spans="2:32" ht="12.75" customHeight="1" x14ac:dyDescent="0.25">
      <c r="B12" s="655"/>
      <c r="C12" s="664"/>
      <c r="D12" s="664"/>
      <c r="E12" s="98" t="s">
        <v>102</v>
      </c>
      <c r="F12" s="609" t="s">
        <v>11</v>
      </c>
      <c r="G12" s="610"/>
      <c r="H12" s="615"/>
      <c r="I12" s="615"/>
      <c r="J12" s="98" t="s">
        <v>102</v>
      </c>
      <c r="K12" s="609" t="s">
        <v>11</v>
      </c>
      <c r="L12" s="610"/>
      <c r="M12" s="615"/>
      <c r="N12" s="615"/>
      <c r="O12" s="98" t="s">
        <v>102</v>
      </c>
      <c r="P12" s="609" t="s">
        <v>11</v>
      </c>
      <c r="Q12" s="610"/>
      <c r="R12" s="615"/>
      <c r="S12" s="615"/>
      <c r="T12" s="98" t="s">
        <v>102</v>
      </c>
      <c r="U12" s="609" t="s">
        <v>11</v>
      </c>
      <c r="V12" s="610"/>
      <c r="W12" s="615"/>
      <c r="X12" s="615"/>
      <c r="Y12" s="98" t="s">
        <v>102</v>
      </c>
      <c r="Z12" s="609" t="s">
        <v>11</v>
      </c>
      <c r="AA12" s="613"/>
      <c r="AB12" s="615"/>
      <c r="AC12" s="615"/>
      <c r="AD12" s="98" t="s">
        <v>102</v>
      </c>
      <c r="AE12" s="609" t="s">
        <v>11</v>
      </c>
      <c r="AF12" s="613"/>
    </row>
    <row r="13" spans="2:32" ht="18" customHeight="1" x14ac:dyDescent="0.25">
      <c r="B13" s="653" t="s">
        <v>104</v>
      </c>
      <c r="C13" s="639" t="s">
        <v>100</v>
      </c>
      <c r="D13" s="640"/>
      <c r="E13" s="629" t="s">
        <v>11</v>
      </c>
      <c r="F13" s="629"/>
      <c r="G13" s="643"/>
      <c r="H13" s="645" t="s">
        <v>100</v>
      </c>
      <c r="I13" s="626"/>
      <c r="J13" s="629" t="s">
        <v>11</v>
      </c>
      <c r="K13" s="629"/>
      <c r="L13" s="643"/>
      <c r="M13" s="625" t="s">
        <v>100</v>
      </c>
      <c r="N13" s="626"/>
      <c r="O13" s="629" t="s">
        <v>11</v>
      </c>
      <c r="P13" s="629"/>
      <c r="Q13" s="643"/>
      <c r="R13" s="625" t="s">
        <v>100</v>
      </c>
      <c r="S13" s="626"/>
      <c r="T13" s="629" t="s">
        <v>11</v>
      </c>
      <c r="U13" s="629"/>
      <c r="V13" s="643"/>
      <c r="W13" s="625" t="s">
        <v>100</v>
      </c>
      <c r="X13" s="626"/>
      <c r="Y13" s="629" t="s">
        <v>11</v>
      </c>
      <c r="Z13" s="629"/>
      <c r="AA13" s="630"/>
      <c r="AB13" s="626" t="s">
        <v>100</v>
      </c>
      <c r="AC13" s="626"/>
      <c r="AD13" s="629" t="s">
        <v>11</v>
      </c>
      <c r="AE13" s="629"/>
      <c r="AF13" s="630"/>
    </row>
    <row r="14" spans="2:32" ht="18" customHeight="1" x14ac:dyDescent="0.25">
      <c r="B14" s="654"/>
      <c r="C14" s="641"/>
      <c r="D14" s="642"/>
      <c r="E14" s="631"/>
      <c r="F14" s="631"/>
      <c r="G14" s="646"/>
      <c r="H14" s="627"/>
      <c r="I14" s="628"/>
      <c r="J14" s="631"/>
      <c r="K14" s="631"/>
      <c r="L14" s="646"/>
      <c r="M14" s="627"/>
      <c r="N14" s="628"/>
      <c r="O14" s="631"/>
      <c r="P14" s="631"/>
      <c r="Q14" s="646"/>
      <c r="R14" s="627"/>
      <c r="S14" s="628"/>
      <c r="T14" s="631"/>
      <c r="U14" s="631"/>
      <c r="V14" s="646"/>
      <c r="W14" s="627"/>
      <c r="X14" s="628"/>
      <c r="Y14" s="631"/>
      <c r="Z14" s="631"/>
      <c r="AA14" s="632"/>
      <c r="AB14" s="628"/>
      <c r="AC14" s="628"/>
      <c r="AD14" s="631"/>
      <c r="AE14" s="631"/>
      <c r="AF14" s="632"/>
    </row>
    <row r="15" spans="2:32" ht="12.75" customHeight="1" x14ac:dyDescent="0.25">
      <c r="B15" s="654"/>
      <c r="C15" s="663"/>
      <c r="D15" s="663"/>
      <c r="E15" s="622" t="s">
        <v>11</v>
      </c>
      <c r="F15" s="622"/>
      <c r="G15" s="623"/>
      <c r="H15" s="615"/>
      <c r="I15" s="615"/>
      <c r="J15" s="622" t="s">
        <v>11</v>
      </c>
      <c r="K15" s="622"/>
      <c r="L15" s="623"/>
      <c r="M15" s="615"/>
      <c r="N15" s="615"/>
      <c r="O15" s="622" t="s">
        <v>11</v>
      </c>
      <c r="P15" s="622"/>
      <c r="Q15" s="623"/>
      <c r="R15" s="615"/>
      <c r="S15" s="615"/>
      <c r="T15" s="622" t="s">
        <v>11</v>
      </c>
      <c r="U15" s="622"/>
      <c r="V15" s="623"/>
      <c r="W15" s="615"/>
      <c r="X15" s="615"/>
      <c r="Y15" s="622" t="s">
        <v>11</v>
      </c>
      <c r="Z15" s="622"/>
      <c r="AA15" s="624"/>
      <c r="AB15" s="615"/>
      <c r="AC15" s="615"/>
      <c r="AD15" s="622" t="s">
        <v>11</v>
      </c>
      <c r="AE15" s="622"/>
      <c r="AF15" s="624"/>
    </row>
    <row r="16" spans="2:32" ht="12.75" customHeight="1" x14ac:dyDescent="0.25">
      <c r="B16" s="654"/>
      <c r="C16" s="663"/>
      <c r="D16" s="663"/>
      <c r="E16" s="97" t="s">
        <v>101</v>
      </c>
      <c r="F16" s="616" t="s">
        <v>11</v>
      </c>
      <c r="G16" s="618"/>
      <c r="H16" s="615"/>
      <c r="I16" s="615"/>
      <c r="J16" s="97" t="s">
        <v>101</v>
      </c>
      <c r="K16" s="616" t="s">
        <v>11</v>
      </c>
      <c r="L16" s="618"/>
      <c r="M16" s="615"/>
      <c r="N16" s="615"/>
      <c r="O16" s="97" t="s">
        <v>101</v>
      </c>
      <c r="P16" s="616" t="s">
        <v>11</v>
      </c>
      <c r="Q16" s="618"/>
      <c r="R16" s="615"/>
      <c r="S16" s="615"/>
      <c r="T16" s="97" t="s">
        <v>101</v>
      </c>
      <c r="U16" s="616" t="s">
        <v>11</v>
      </c>
      <c r="V16" s="618"/>
      <c r="W16" s="615"/>
      <c r="X16" s="615"/>
      <c r="Y16" s="97" t="s">
        <v>101</v>
      </c>
      <c r="Z16" s="616" t="s">
        <v>11</v>
      </c>
      <c r="AA16" s="617"/>
      <c r="AB16" s="615"/>
      <c r="AC16" s="615"/>
      <c r="AD16" s="97" t="s">
        <v>101</v>
      </c>
      <c r="AE16" s="616" t="s">
        <v>11</v>
      </c>
      <c r="AF16" s="617"/>
    </row>
    <row r="17" spans="2:32" ht="12.75" customHeight="1" x14ac:dyDescent="0.25">
      <c r="B17" s="655"/>
      <c r="C17" s="615"/>
      <c r="D17" s="615"/>
      <c r="E17" s="98" t="s">
        <v>102</v>
      </c>
      <c r="F17" s="609" t="s">
        <v>11</v>
      </c>
      <c r="G17" s="610"/>
      <c r="H17" s="615"/>
      <c r="I17" s="615"/>
      <c r="J17" s="98" t="s">
        <v>102</v>
      </c>
      <c r="K17" s="609" t="s">
        <v>11</v>
      </c>
      <c r="L17" s="610"/>
      <c r="M17" s="615"/>
      <c r="N17" s="615"/>
      <c r="O17" s="98" t="s">
        <v>102</v>
      </c>
      <c r="P17" s="609" t="s">
        <v>11</v>
      </c>
      <c r="Q17" s="610"/>
      <c r="R17" s="615"/>
      <c r="S17" s="615"/>
      <c r="T17" s="98" t="s">
        <v>102</v>
      </c>
      <c r="U17" s="609" t="s">
        <v>11</v>
      </c>
      <c r="V17" s="610"/>
      <c r="W17" s="615"/>
      <c r="X17" s="615"/>
      <c r="Y17" s="98" t="s">
        <v>102</v>
      </c>
      <c r="Z17" s="609" t="s">
        <v>11</v>
      </c>
      <c r="AA17" s="613"/>
      <c r="AB17" s="615"/>
      <c r="AC17" s="615"/>
      <c r="AD17" s="98" t="s">
        <v>102</v>
      </c>
      <c r="AE17" s="609" t="s">
        <v>11</v>
      </c>
      <c r="AF17" s="613"/>
    </row>
    <row r="18" spans="2:32" ht="18" customHeight="1" x14ac:dyDescent="0.25">
      <c r="B18" s="653" t="s">
        <v>105</v>
      </c>
      <c r="C18" s="639" t="s">
        <v>100</v>
      </c>
      <c r="D18" s="640"/>
      <c r="E18" s="629" t="s">
        <v>11</v>
      </c>
      <c r="F18" s="629"/>
      <c r="G18" s="643"/>
      <c r="H18" s="645" t="s">
        <v>100</v>
      </c>
      <c r="I18" s="626"/>
      <c r="J18" s="629" t="s">
        <v>11</v>
      </c>
      <c r="K18" s="629"/>
      <c r="L18" s="643"/>
      <c r="M18" s="625" t="s">
        <v>100</v>
      </c>
      <c r="N18" s="626"/>
      <c r="O18" s="629" t="s">
        <v>11</v>
      </c>
      <c r="P18" s="629"/>
      <c r="Q18" s="643"/>
      <c r="R18" s="625" t="s">
        <v>100</v>
      </c>
      <c r="S18" s="626"/>
      <c r="T18" s="629" t="s">
        <v>11</v>
      </c>
      <c r="U18" s="629"/>
      <c r="V18" s="643"/>
      <c r="W18" s="625" t="s">
        <v>100</v>
      </c>
      <c r="X18" s="626"/>
      <c r="Y18" s="629" t="s">
        <v>11</v>
      </c>
      <c r="Z18" s="629"/>
      <c r="AA18" s="630"/>
      <c r="AB18" s="626" t="s">
        <v>100</v>
      </c>
      <c r="AC18" s="626"/>
      <c r="AD18" s="629" t="s">
        <v>11</v>
      </c>
      <c r="AE18" s="629"/>
      <c r="AF18" s="630"/>
    </row>
    <row r="19" spans="2:32" ht="18" customHeight="1" x14ac:dyDescent="0.25">
      <c r="B19" s="654"/>
      <c r="C19" s="641"/>
      <c r="D19" s="642"/>
      <c r="E19" s="633"/>
      <c r="F19" s="633"/>
      <c r="G19" s="644"/>
      <c r="H19" s="627"/>
      <c r="I19" s="628"/>
      <c r="J19" s="631"/>
      <c r="K19" s="631"/>
      <c r="L19" s="646"/>
      <c r="M19" s="627"/>
      <c r="N19" s="628"/>
      <c r="O19" s="631"/>
      <c r="P19" s="631"/>
      <c r="Q19" s="646"/>
      <c r="R19" s="647"/>
      <c r="S19" s="648"/>
      <c r="T19" s="631"/>
      <c r="U19" s="631"/>
      <c r="V19" s="646"/>
      <c r="W19" s="627"/>
      <c r="X19" s="628"/>
      <c r="Y19" s="631"/>
      <c r="Z19" s="631"/>
      <c r="AA19" s="632"/>
      <c r="AB19" s="628"/>
      <c r="AC19" s="628"/>
      <c r="AD19" s="633"/>
      <c r="AE19" s="633"/>
      <c r="AF19" s="634"/>
    </row>
    <row r="20" spans="2:32" ht="12.75" customHeight="1" x14ac:dyDescent="0.25">
      <c r="B20" s="654"/>
      <c r="C20" s="662"/>
      <c r="D20" s="662"/>
      <c r="E20" s="622" t="s">
        <v>11</v>
      </c>
      <c r="F20" s="622"/>
      <c r="G20" s="623"/>
      <c r="H20" s="615"/>
      <c r="I20" s="615"/>
      <c r="J20" s="622" t="s">
        <v>11</v>
      </c>
      <c r="K20" s="622"/>
      <c r="L20" s="623"/>
      <c r="M20" s="615"/>
      <c r="N20" s="615"/>
      <c r="O20" s="622" t="s">
        <v>11</v>
      </c>
      <c r="P20" s="622"/>
      <c r="Q20" s="623"/>
      <c r="R20" s="615"/>
      <c r="S20" s="615"/>
      <c r="T20" s="622" t="s">
        <v>11</v>
      </c>
      <c r="U20" s="622"/>
      <c r="V20" s="623"/>
      <c r="W20" s="615"/>
      <c r="X20" s="615"/>
      <c r="Y20" s="622" t="s">
        <v>11</v>
      </c>
      <c r="Z20" s="622"/>
      <c r="AA20" s="624"/>
      <c r="AB20" s="615"/>
      <c r="AC20" s="615"/>
      <c r="AD20" s="622" t="s">
        <v>11</v>
      </c>
      <c r="AE20" s="622"/>
      <c r="AF20" s="624"/>
    </row>
    <row r="21" spans="2:32" ht="12.75" customHeight="1" x14ac:dyDescent="0.25">
      <c r="B21" s="654"/>
      <c r="C21" s="615"/>
      <c r="D21" s="615"/>
      <c r="E21" s="97" t="s">
        <v>101</v>
      </c>
      <c r="F21" s="616" t="s">
        <v>11</v>
      </c>
      <c r="G21" s="618"/>
      <c r="H21" s="615"/>
      <c r="I21" s="615"/>
      <c r="J21" s="97" t="s">
        <v>101</v>
      </c>
      <c r="K21" s="616" t="s">
        <v>11</v>
      </c>
      <c r="L21" s="618"/>
      <c r="M21" s="615"/>
      <c r="N21" s="615"/>
      <c r="O21" s="97" t="s">
        <v>101</v>
      </c>
      <c r="P21" s="616" t="s">
        <v>11</v>
      </c>
      <c r="Q21" s="618"/>
      <c r="R21" s="615"/>
      <c r="S21" s="615"/>
      <c r="T21" s="97" t="s">
        <v>101</v>
      </c>
      <c r="U21" s="616" t="s">
        <v>11</v>
      </c>
      <c r="V21" s="618"/>
      <c r="W21" s="615"/>
      <c r="X21" s="615"/>
      <c r="Y21" s="97" t="s">
        <v>101</v>
      </c>
      <c r="Z21" s="616" t="s">
        <v>11</v>
      </c>
      <c r="AA21" s="617"/>
      <c r="AB21" s="615"/>
      <c r="AC21" s="615"/>
      <c r="AD21" s="97" t="s">
        <v>101</v>
      </c>
      <c r="AE21" s="616" t="s">
        <v>11</v>
      </c>
      <c r="AF21" s="617"/>
    </row>
    <row r="22" spans="2:32" ht="12.75" customHeight="1" x14ac:dyDescent="0.25">
      <c r="B22" s="655"/>
      <c r="C22" s="614"/>
      <c r="D22" s="608"/>
      <c r="E22" s="98" t="s">
        <v>102</v>
      </c>
      <c r="F22" s="609" t="s">
        <v>11</v>
      </c>
      <c r="G22" s="610"/>
      <c r="H22" s="608"/>
      <c r="I22" s="608"/>
      <c r="J22" s="98" t="s">
        <v>102</v>
      </c>
      <c r="K22" s="609" t="s">
        <v>11</v>
      </c>
      <c r="L22" s="610"/>
      <c r="M22" s="608"/>
      <c r="N22" s="608"/>
      <c r="O22" s="98" t="s">
        <v>102</v>
      </c>
      <c r="P22" s="609" t="s">
        <v>11</v>
      </c>
      <c r="Q22" s="610"/>
      <c r="R22" s="608"/>
      <c r="S22" s="608"/>
      <c r="T22" s="98" t="s">
        <v>102</v>
      </c>
      <c r="U22" s="609" t="s">
        <v>11</v>
      </c>
      <c r="V22" s="610"/>
      <c r="W22" s="608"/>
      <c r="X22" s="608"/>
      <c r="Y22" s="98" t="s">
        <v>102</v>
      </c>
      <c r="Z22" s="609" t="s">
        <v>11</v>
      </c>
      <c r="AA22" s="613"/>
      <c r="AB22" s="608"/>
      <c r="AC22" s="608"/>
      <c r="AD22" s="98" t="s">
        <v>102</v>
      </c>
      <c r="AE22" s="609" t="s">
        <v>11</v>
      </c>
      <c r="AF22" s="613"/>
    </row>
    <row r="23" spans="2:32" ht="18" customHeight="1" x14ac:dyDescent="0.25">
      <c r="B23" s="653" t="s">
        <v>106</v>
      </c>
      <c r="C23" s="641" t="s">
        <v>100</v>
      </c>
      <c r="D23" s="642"/>
      <c r="E23" s="656" t="s">
        <v>11</v>
      </c>
      <c r="F23" s="656"/>
      <c r="G23" s="659"/>
      <c r="H23" s="647" t="s">
        <v>100</v>
      </c>
      <c r="I23" s="648"/>
      <c r="J23" s="656" t="s">
        <v>11</v>
      </c>
      <c r="K23" s="656"/>
      <c r="L23" s="659"/>
      <c r="M23" s="647" t="s">
        <v>100</v>
      </c>
      <c r="N23" s="648"/>
      <c r="O23" s="656" t="s">
        <v>11</v>
      </c>
      <c r="P23" s="660"/>
      <c r="Q23" s="661"/>
      <c r="R23" s="647" t="s">
        <v>100</v>
      </c>
      <c r="S23" s="648"/>
      <c r="T23" s="656" t="s">
        <v>11</v>
      </c>
      <c r="U23" s="656"/>
      <c r="V23" s="659"/>
      <c r="W23" s="647" t="s">
        <v>100</v>
      </c>
      <c r="X23" s="648"/>
      <c r="Y23" s="656" t="s">
        <v>11</v>
      </c>
      <c r="Z23" s="656"/>
      <c r="AA23" s="657"/>
      <c r="AB23" s="648" t="s">
        <v>100</v>
      </c>
      <c r="AC23" s="648"/>
      <c r="AD23" s="631" t="s">
        <v>11</v>
      </c>
      <c r="AE23" s="631"/>
      <c r="AF23" s="632"/>
    </row>
    <row r="24" spans="2:32" ht="18" customHeight="1" x14ac:dyDescent="0.25">
      <c r="B24" s="658"/>
      <c r="C24" s="641"/>
      <c r="D24" s="642"/>
      <c r="E24" s="656"/>
      <c r="F24" s="656"/>
      <c r="G24" s="659"/>
      <c r="H24" s="647"/>
      <c r="I24" s="648"/>
      <c r="J24" s="656"/>
      <c r="K24" s="656"/>
      <c r="L24" s="659"/>
      <c r="M24" s="627"/>
      <c r="N24" s="628"/>
      <c r="O24" s="660"/>
      <c r="P24" s="660"/>
      <c r="Q24" s="661"/>
      <c r="R24" s="627"/>
      <c r="S24" s="628"/>
      <c r="T24" s="656"/>
      <c r="U24" s="656"/>
      <c r="V24" s="659"/>
      <c r="W24" s="627"/>
      <c r="X24" s="628"/>
      <c r="Y24" s="656"/>
      <c r="Z24" s="656"/>
      <c r="AA24" s="657"/>
      <c r="AB24" s="628"/>
      <c r="AC24" s="628"/>
      <c r="AD24" s="631"/>
      <c r="AE24" s="631"/>
      <c r="AF24" s="632"/>
    </row>
    <row r="25" spans="2:32" ht="12.75" customHeight="1" x14ac:dyDescent="0.25">
      <c r="B25" s="654"/>
      <c r="C25" s="615"/>
      <c r="D25" s="615"/>
      <c r="E25" s="622" t="s">
        <v>11</v>
      </c>
      <c r="F25" s="622"/>
      <c r="G25" s="623"/>
      <c r="H25" s="615"/>
      <c r="I25" s="615"/>
      <c r="J25" s="622" t="s">
        <v>11</v>
      </c>
      <c r="K25" s="622"/>
      <c r="L25" s="623"/>
      <c r="M25" s="615"/>
      <c r="N25" s="615"/>
      <c r="O25" s="622" t="s">
        <v>11</v>
      </c>
      <c r="P25" s="622"/>
      <c r="Q25" s="623"/>
      <c r="R25" s="615"/>
      <c r="S25" s="615"/>
      <c r="T25" s="622" t="s">
        <v>11</v>
      </c>
      <c r="U25" s="622"/>
      <c r="V25" s="623"/>
      <c r="W25" s="615"/>
      <c r="X25" s="615"/>
      <c r="Y25" s="622" t="s">
        <v>11</v>
      </c>
      <c r="Z25" s="622"/>
      <c r="AA25" s="624"/>
      <c r="AB25" s="615"/>
      <c r="AC25" s="615"/>
      <c r="AD25" s="622" t="s">
        <v>11</v>
      </c>
      <c r="AE25" s="622"/>
      <c r="AF25" s="624"/>
    </row>
    <row r="26" spans="2:32" ht="12.75" customHeight="1" x14ac:dyDescent="0.25">
      <c r="B26" s="654"/>
      <c r="C26" s="615"/>
      <c r="D26" s="615"/>
      <c r="E26" s="97" t="s">
        <v>101</v>
      </c>
      <c r="F26" s="616" t="s">
        <v>11</v>
      </c>
      <c r="G26" s="618"/>
      <c r="H26" s="615"/>
      <c r="I26" s="615"/>
      <c r="J26" s="97" t="s">
        <v>101</v>
      </c>
      <c r="K26" s="616" t="s">
        <v>11</v>
      </c>
      <c r="L26" s="618"/>
      <c r="M26" s="615"/>
      <c r="N26" s="615"/>
      <c r="O26" s="97" t="s">
        <v>101</v>
      </c>
      <c r="P26" s="616" t="s">
        <v>11</v>
      </c>
      <c r="Q26" s="618"/>
      <c r="R26" s="615"/>
      <c r="S26" s="615"/>
      <c r="T26" s="97" t="s">
        <v>101</v>
      </c>
      <c r="U26" s="616" t="s">
        <v>11</v>
      </c>
      <c r="V26" s="618"/>
      <c r="W26" s="615"/>
      <c r="X26" s="615"/>
      <c r="Y26" s="97" t="s">
        <v>101</v>
      </c>
      <c r="Z26" s="616" t="s">
        <v>11</v>
      </c>
      <c r="AA26" s="617"/>
      <c r="AB26" s="615"/>
      <c r="AC26" s="615"/>
      <c r="AD26" s="97" t="s">
        <v>101</v>
      </c>
      <c r="AE26" s="616" t="s">
        <v>11</v>
      </c>
      <c r="AF26" s="617"/>
    </row>
    <row r="27" spans="2:32" ht="12.75" customHeight="1" x14ac:dyDescent="0.25">
      <c r="B27" s="655"/>
      <c r="C27" s="614"/>
      <c r="D27" s="608"/>
      <c r="E27" s="98" t="s">
        <v>102</v>
      </c>
      <c r="F27" s="609" t="s">
        <v>11</v>
      </c>
      <c r="G27" s="610"/>
      <c r="H27" s="608"/>
      <c r="I27" s="608"/>
      <c r="J27" s="98" t="s">
        <v>102</v>
      </c>
      <c r="K27" s="609" t="s">
        <v>11</v>
      </c>
      <c r="L27" s="610"/>
      <c r="M27" s="608"/>
      <c r="N27" s="608"/>
      <c r="O27" s="98" t="s">
        <v>102</v>
      </c>
      <c r="P27" s="609" t="s">
        <v>11</v>
      </c>
      <c r="Q27" s="610"/>
      <c r="R27" s="608"/>
      <c r="S27" s="608"/>
      <c r="T27" s="98" t="s">
        <v>102</v>
      </c>
      <c r="U27" s="609" t="s">
        <v>11</v>
      </c>
      <c r="V27" s="610"/>
      <c r="W27" s="608"/>
      <c r="X27" s="608"/>
      <c r="Y27" s="98" t="s">
        <v>102</v>
      </c>
      <c r="Z27" s="609" t="s">
        <v>11</v>
      </c>
      <c r="AA27" s="613"/>
      <c r="AB27" s="608"/>
      <c r="AC27" s="608"/>
      <c r="AD27" s="98" t="s">
        <v>102</v>
      </c>
      <c r="AE27" s="609" t="s">
        <v>11</v>
      </c>
      <c r="AF27" s="613"/>
    </row>
    <row r="28" spans="2:32" ht="18" customHeight="1" x14ac:dyDescent="0.25">
      <c r="B28" s="651">
        <v>0</v>
      </c>
      <c r="C28" s="639" t="s">
        <v>100</v>
      </c>
      <c r="D28" s="640"/>
      <c r="E28" s="629" t="s">
        <v>11</v>
      </c>
      <c r="F28" s="629"/>
      <c r="G28" s="643"/>
      <c r="H28" s="645" t="s">
        <v>107</v>
      </c>
      <c r="I28" s="626"/>
      <c r="J28" s="629" t="s">
        <v>11</v>
      </c>
      <c r="K28" s="629"/>
      <c r="L28" s="643"/>
      <c r="M28" s="625" t="s">
        <v>107</v>
      </c>
      <c r="N28" s="626"/>
      <c r="O28" s="629" t="s">
        <v>11</v>
      </c>
      <c r="P28" s="629"/>
      <c r="Q28" s="643"/>
      <c r="R28" s="625" t="s">
        <v>107</v>
      </c>
      <c r="S28" s="626"/>
      <c r="T28" s="629" t="s">
        <v>11</v>
      </c>
      <c r="U28" s="629"/>
      <c r="V28" s="643"/>
      <c r="W28" s="625" t="s">
        <v>107</v>
      </c>
      <c r="X28" s="626"/>
      <c r="Y28" s="629" t="s">
        <v>11</v>
      </c>
      <c r="Z28" s="629"/>
      <c r="AA28" s="630"/>
      <c r="AB28" s="626" t="s">
        <v>107</v>
      </c>
      <c r="AC28" s="626"/>
      <c r="AD28" s="629" t="s">
        <v>11</v>
      </c>
      <c r="AE28" s="629"/>
      <c r="AF28" s="630"/>
    </row>
    <row r="29" spans="2:32" ht="18" customHeight="1" x14ac:dyDescent="0.25">
      <c r="B29" s="635"/>
      <c r="C29" s="641"/>
      <c r="D29" s="642"/>
      <c r="E29" s="633"/>
      <c r="F29" s="633"/>
      <c r="G29" s="644"/>
      <c r="H29" s="627"/>
      <c r="I29" s="628"/>
      <c r="J29" s="631"/>
      <c r="K29" s="631"/>
      <c r="L29" s="646"/>
      <c r="M29" s="627"/>
      <c r="N29" s="628"/>
      <c r="O29" s="631"/>
      <c r="P29" s="631"/>
      <c r="Q29" s="646"/>
      <c r="R29" s="647"/>
      <c r="S29" s="648"/>
      <c r="T29" s="631"/>
      <c r="U29" s="631"/>
      <c r="V29" s="646"/>
      <c r="W29" s="627"/>
      <c r="X29" s="628"/>
      <c r="Y29" s="631"/>
      <c r="Z29" s="631"/>
      <c r="AA29" s="632"/>
      <c r="AB29" s="628"/>
      <c r="AC29" s="628"/>
      <c r="AD29" s="633"/>
      <c r="AE29" s="633"/>
      <c r="AF29" s="634"/>
    </row>
    <row r="30" spans="2:32" ht="12.75" customHeight="1" x14ac:dyDescent="0.25">
      <c r="B30" s="636"/>
      <c r="C30" s="615"/>
      <c r="D30" s="615"/>
      <c r="E30" s="622" t="s">
        <v>11</v>
      </c>
      <c r="F30" s="622"/>
      <c r="G30" s="623"/>
      <c r="H30" s="615"/>
      <c r="I30" s="615"/>
      <c r="J30" s="622" t="s">
        <v>11</v>
      </c>
      <c r="K30" s="622"/>
      <c r="L30" s="623"/>
      <c r="M30" s="615"/>
      <c r="N30" s="615"/>
      <c r="O30" s="622" t="s">
        <v>11</v>
      </c>
      <c r="P30" s="622"/>
      <c r="Q30" s="623"/>
      <c r="R30" s="615"/>
      <c r="S30" s="615"/>
      <c r="T30" s="622" t="s">
        <v>11</v>
      </c>
      <c r="U30" s="622"/>
      <c r="V30" s="623"/>
      <c r="W30" s="615"/>
      <c r="X30" s="615"/>
      <c r="Y30" s="622" t="s">
        <v>11</v>
      </c>
      <c r="Z30" s="622"/>
      <c r="AA30" s="624"/>
      <c r="AB30" s="615"/>
      <c r="AC30" s="615"/>
      <c r="AD30" s="622" t="s">
        <v>11</v>
      </c>
      <c r="AE30" s="622"/>
      <c r="AF30" s="624"/>
    </row>
    <row r="31" spans="2:32" ht="12.75" customHeight="1" x14ac:dyDescent="0.25">
      <c r="B31" s="637"/>
      <c r="C31" s="615"/>
      <c r="D31" s="615"/>
      <c r="E31" s="99" t="s">
        <v>101</v>
      </c>
      <c r="F31" s="616" t="s">
        <v>11</v>
      </c>
      <c r="G31" s="618"/>
      <c r="H31" s="615"/>
      <c r="I31" s="615"/>
      <c r="J31" s="99" t="s">
        <v>101</v>
      </c>
      <c r="K31" s="616" t="s">
        <v>11</v>
      </c>
      <c r="L31" s="618"/>
      <c r="M31" s="615"/>
      <c r="N31" s="615"/>
      <c r="O31" s="99" t="s">
        <v>101</v>
      </c>
      <c r="P31" s="616" t="s">
        <v>11</v>
      </c>
      <c r="Q31" s="618"/>
      <c r="R31" s="615"/>
      <c r="S31" s="615"/>
      <c r="T31" s="99" t="s">
        <v>101</v>
      </c>
      <c r="U31" s="616" t="s">
        <v>11</v>
      </c>
      <c r="V31" s="618"/>
      <c r="W31" s="615"/>
      <c r="X31" s="615"/>
      <c r="Y31" s="97" t="s">
        <v>101</v>
      </c>
      <c r="Z31" s="616" t="s">
        <v>11</v>
      </c>
      <c r="AA31" s="617"/>
      <c r="AB31" s="615"/>
      <c r="AC31" s="615"/>
      <c r="AD31" s="97" t="s">
        <v>101</v>
      </c>
      <c r="AE31" s="616" t="s">
        <v>11</v>
      </c>
      <c r="AF31" s="617"/>
    </row>
    <row r="32" spans="2:32" ht="12.75" customHeight="1" x14ac:dyDescent="0.25">
      <c r="B32" s="652"/>
      <c r="C32" s="614"/>
      <c r="D32" s="608"/>
      <c r="E32" s="100" t="s">
        <v>102</v>
      </c>
      <c r="F32" s="609" t="s">
        <v>11</v>
      </c>
      <c r="G32" s="610"/>
      <c r="H32" s="608"/>
      <c r="I32" s="608"/>
      <c r="J32" s="100" t="s">
        <v>102</v>
      </c>
      <c r="K32" s="609" t="s">
        <v>11</v>
      </c>
      <c r="L32" s="610"/>
      <c r="M32" s="608"/>
      <c r="N32" s="608"/>
      <c r="O32" s="100" t="s">
        <v>102</v>
      </c>
      <c r="P32" s="609" t="s">
        <v>11</v>
      </c>
      <c r="Q32" s="610"/>
      <c r="R32" s="608"/>
      <c r="S32" s="608"/>
      <c r="T32" s="100" t="s">
        <v>102</v>
      </c>
      <c r="U32" s="609" t="s">
        <v>11</v>
      </c>
      <c r="V32" s="610"/>
      <c r="W32" s="608"/>
      <c r="X32" s="608"/>
      <c r="Y32" s="98" t="s">
        <v>102</v>
      </c>
      <c r="Z32" s="609" t="s">
        <v>11</v>
      </c>
      <c r="AA32" s="613"/>
      <c r="AB32" s="608"/>
      <c r="AC32" s="608"/>
      <c r="AD32" s="98" t="s">
        <v>102</v>
      </c>
      <c r="AE32" s="609" t="s">
        <v>11</v>
      </c>
      <c r="AF32" s="613"/>
    </row>
    <row r="33" spans="1:32" ht="18" customHeight="1" x14ac:dyDescent="0.25">
      <c r="B33" s="651">
        <v>0</v>
      </c>
      <c r="C33" s="639" t="s">
        <v>100</v>
      </c>
      <c r="D33" s="640"/>
      <c r="E33" s="629" t="s">
        <v>11</v>
      </c>
      <c r="F33" s="629"/>
      <c r="G33" s="643"/>
      <c r="H33" s="645" t="s">
        <v>100</v>
      </c>
      <c r="I33" s="626"/>
      <c r="J33" s="629" t="s">
        <v>11</v>
      </c>
      <c r="K33" s="629"/>
      <c r="L33" s="643"/>
      <c r="M33" s="625" t="s">
        <v>100</v>
      </c>
      <c r="N33" s="626"/>
      <c r="O33" s="629" t="s">
        <v>11</v>
      </c>
      <c r="P33" s="629"/>
      <c r="Q33" s="643"/>
      <c r="R33" s="625" t="s">
        <v>100</v>
      </c>
      <c r="S33" s="626"/>
      <c r="T33" s="629" t="s">
        <v>11</v>
      </c>
      <c r="U33" s="629"/>
      <c r="V33" s="643"/>
      <c r="W33" s="625" t="s">
        <v>100</v>
      </c>
      <c r="X33" s="626"/>
      <c r="Y33" s="629" t="s">
        <v>11</v>
      </c>
      <c r="Z33" s="629"/>
      <c r="AA33" s="630"/>
      <c r="AB33" s="626" t="s">
        <v>100</v>
      </c>
      <c r="AC33" s="626"/>
      <c r="AD33" s="629" t="s">
        <v>11</v>
      </c>
      <c r="AE33" s="629"/>
      <c r="AF33" s="630"/>
    </row>
    <row r="34" spans="1:32" ht="18" customHeight="1" x14ac:dyDescent="0.25">
      <c r="B34" s="635"/>
      <c r="C34" s="641"/>
      <c r="D34" s="642"/>
      <c r="E34" s="633"/>
      <c r="F34" s="633"/>
      <c r="G34" s="644"/>
      <c r="H34" s="627"/>
      <c r="I34" s="628"/>
      <c r="J34" s="631"/>
      <c r="K34" s="631"/>
      <c r="L34" s="646"/>
      <c r="M34" s="627"/>
      <c r="N34" s="628"/>
      <c r="O34" s="631"/>
      <c r="P34" s="631"/>
      <c r="Q34" s="646"/>
      <c r="R34" s="647"/>
      <c r="S34" s="648"/>
      <c r="T34" s="631"/>
      <c r="U34" s="631"/>
      <c r="V34" s="646"/>
      <c r="W34" s="627"/>
      <c r="X34" s="628"/>
      <c r="Y34" s="631"/>
      <c r="Z34" s="631"/>
      <c r="AA34" s="632"/>
      <c r="AB34" s="628"/>
      <c r="AC34" s="628"/>
      <c r="AD34" s="633"/>
      <c r="AE34" s="633"/>
      <c r="AF34" s="634"/>
    </row>
    <row r="35" spans="1:32" ht="12.75" customHeight="1" x14ac:dyDescent="0.25">
      <c r="B35" s="636"/>
      <c r="C35" s="615"/>
      <c r="D35" s="615"/>
      <c r="E35" s="622" t="s">
        <v>11</v>
      </c>
      <c r="F35" s="622"/>
      <c r="G35" s="623"/>
      <c r="H35" s="615"/>
      <c r="I35" s="615"/>
      <c r="J35" s="622" t="s">
        <v>11</v>
      </c>
      <c r="K35" s="622"/>
      <c r="L35" s="623"/>
      <c r="M35" s="615"/>
      <c r="N35" s="615"/>
      <c r="O35" s="622" t="s">
        <v>11</v>
      </c>
      <c r="P35" s="622"/>
      <c r="Q35" s="623"/>
      <c r="R35" s="615"/>
      <c r="S35" s="615"/>
      <c r="T35" s="622" t="s">
        <v>11</v>
      </c>
      <c r="U35" s="622"/>
      <c r="V35" s="623"/>
      <c r="W35" s="615"/>
      <c r="X35" s="615"/>
      <c r="Y35" s="622" t="s">
        <v>11</v>
      </c>
      <c r="Z35" s="622"/>
      <c r="AA35" s="624"/>
      <c r="AB35" s="615"/>
      <c r="AC35" s="615"/>
      <c r="AD35" s="622" t="s">
        <v>11</v>
      </c>
      <c r="AE35" s="622"/>
      <c r="AF35" s="624"/>
    </row>
    <row r="36" spans="1:32" ht="12.75" customHeight="1" x14ac:dyDescent="0.25">
      <c r="B36" s="637"/>
      <c r="C36" s="615"/>
      <c r="D36" s="615"/>
      <c r="E36" s="97" t="s">
        <v>101</v>
      </c>
      <c r="F36" s="616" t="s">
        <v>11</v>
      </c>
      <c r="G36" s="618"/>
      <c r="H36" s="615"/>
      <c r="I36" s="615"/>
      <c r="J36" s="97" t="s">
        <v>101</v>
      </c>
      <c r="K36" s="616" t="s">
        <v>11</v>
      </c>
      <c r="L36" s="618"/>
      <c r="M36" s="615"/>
      <c r="N36" s="615"/>
      <c r="O36" s="97" t="s">
        <v>101</v>
      </c>
      <c r="P36" s="616" t="s">
        <v>11</v>
      </c>
      <c r="Q36" s="618"/>
      <c r="R36" s="615"/>
      <c r="S36" s="615"/>
      <c r="T36" s="97" t="s">
        <v>101</v>
      </c>
      <c r="U36" s="616" t="s">
        <v>11</v>
      </c>
      <c r="V36" s="618"/>
      <c r="W36" s="615"/>
      <c r="X36" s="615"/>
      <c r="Y36" s="97" t="s">
        <v>101</v>
      </c>
      <c r="Z36" s="611" t="s">
        <v>11</v>
      </c>
      <c r="AA36" s="612"/>
      <c r="AB36" s="615"/>
      <c r="AC36" s="615"/>
      <c r="AD36" s="97" t="s">
        <v>101</v>
      </c>
      <c r="AE36" s="616" t="s">
        <v>11</v>
      </c>
      <c r="AF36" s="617"/>
    </row>
    <row r="37" spans="1:32" ht="12.75" customHeight="1" thickBot="1" x14ac:dyDescent="0.3">
      <c r="B37" s="652"/>
      <c r="C37" s="614"/>
      <c r="D37" s="608"/>
      <c r="E37" s="98" t="s">
        <v>102</v>
      </c>
      <c r="F37" s="609" t="s">
        <v>11</v>
      </c>
      <c r="G37" s="610"/>
      <c r="H37" s="608"/>
      <c r="I37" s="608"/>
      <c r="J37" s="98" t="s">
        <v>102</v>
      </c>
      <c r="K37" s="609" t="s">
        <v>11</v>
      </c>
      <c r="L37" s="610"/>
      <c r="M37" s="608"/>
      <c r="N37" s="608"/>
      <c r="O37" s="98" t="s">
        <v>102</v>
      </c>
      <c r="P37" s="609" t="s">
        <v>11</v>
      </c>
      <c r="Q37" s="610"/>
      <c r="R37" s="608"/>
      <c r="S37" s="608"/>
      <c r="T37" s="98" t="s">
        <v>102</v>
      </c>
      <c r="U37" s="609" t="s">
        <v>11</v>
      </c>
      <c r="V37" s="610"/>
      <c r="W37" s="608"/>
      <c r="X37" s="608"/>
      <c r="Y37" s="98" t="s">
        <v>102</v>
      </c>
      <c r="Z37" s="649" t="s">
        <v>11</v>
      </c>
      <c r="AA37" s="650"/>
      <c r="AB37" s="608"/>
      <c r="AC37" s="608"/>
      <c r="AD37" s="98" t="s">
        <v>102</v>
      </c>
      <c r="AE37" s="609" t="s">
        <v>11</v>
      </c>
      <c r="AF37" s="613"/>
    </row>
    <row r="38" spans="1:32" ht="18" customHeight="1" x14ac:dyDescent="0.25">
      <c r="B38" s="619" t="s">
        <v>108</v>
      </c>
      <c r="C38" s="639" t="s">
        <v>100</v>
      </c>
      <c r="D38" s="640"/>
      <c r="E38" s="629" t="s">
        <v>11</v>
      </c>
      <c r="F38" s="629"/>
      <c r="G38" s="643"/>
      <c r="H38" s="645" t="s">
        <v>100</v>
      </c>
      <c r="I38" s="626"/>
      <c r="J38" s="629" t="s">
        <v>11</v>
      </c>
      <c r="K38" s="629"/>
      <c r="L38" s="643"/>
      <c r="M38" s="625" t="s">
        <v>100</v>
      </c>
      <c r="N38" s="626"/>
      <c r="O38" s="629" t="s">
        <v>11</v>
      </c>
      <c r="P38" s="629"/>
      <c r="Q38" s="643"/>
      <c r="R38" s="625" t="s">
        <v>100</v>
      </c>
      <c r="S38" s="626"/>
      <c r="T38" s="629" t="s">
        <v>11</v>
      </c>
      <c r="U38" s="629"/>
      <c r="V38" s="643"/>
      <c r="W38" s="625" t="s">
        <v>100</v>
      </c>
      <c r="X38" s="626"/>
      <c r="Y38" s="629" t="s">
        <v>11</v>
      </c>
      <c r="Z38" s="629"/>
      <c r="AA38" s="630"/>
      <c r="AB38" s="626" t="s">
        <v>100</v>
      </c>
      <c r="AC38" s="626"/>
      <c r="AD38" s="629" t="s">
        <v>11</v>
      </c>
      <c r="AE38" s="629"/>
      <c r="AF38" s="630"/>
    </row>
    <row r="39" spans="1:32" ht="18" customHeight="1" x14ac:dyDescent="0.25">
      <c r="B39" s="620"/>
      <c r="C39" s="641"/>
      <c r="D39" s="642"/>
      <c r="E39" s="633"/>
      <c r="F39" s="633"/>
      <c r="G39" s="644"/>
      <c r="H39" s="627"/>
      <c r="I39" s="628"/>
      <c r="J39" s="631"/>
      <c r="K39" s="631"/>
      <c r="L39" s="646"/>
      <c r="M39" s="627"/>
      <c r="N39" s="628"/>
      <c r="O39" s="631"/>
      <c r="P39" s="631"/>
      <c r="Q39" s="646"/>
      <c r="R39" s="647"/>
      <c r="S39" s="648"/>
      <c r="T39" s="631"/>
      <c r="U39" s="631"/>
      <c r="V39" s="646"/>
      <c r="W39" s="627"/>
      <c r="X39" s="628"/>
      <c r="Y39" s="631"/>
      <c r="Z39" s="631"/>
      <c r="AA39" s="632"/>
      <c r="AB39" s="628"/>
      <c r="AC39" s="628"/>
      <c r="AD39" s="633"/>
      <c r="AE39" s="633"/>
      <c r="AF39" s="634"/>
    </row>
    <row r="40" spans="1:32" ht="12.75" customHeight="1" x14ac:dyDescent="0.25">
      <c r="B40" s="620"/>
      <c r="C40" s="615"/>
      <c r="D40" s="615"/>
      <c r="E40" s="622" t="s">
        <v>11</v>
      </c>
      <c r="F40" s="622"/>
      <c r="G40" s="623"/>
      <c r="H40" s="615"/>
      <c r="I40" s="615"/>
      <c r="J40" s="622" t="s">
        <v>11</v>
      </c>
      <c r="K40" s="622"/>
      <c r="L40" s="623"/>
      <c r="M40" s="615"/>
      <c r="N40" s="615"/>
      <c r="O40" s="622" t="s">
        <v>11</v>
      </c>
      <c r="P40" s="622"/>
      <c r="Q40" s="623"/>
      <c r="R40" s="615"/>
      <c r="S40" s="615"/>
      <c r="T40" s="622" t="s">
        <v>11</v>
      </c>
      <c r="U40" s="622"/>
      <c r="V40" s="623"/>
      <c r="W40" s="615"/>
      <c r="X40" s="615"/>
      <c r="Y40" s="622" t="s">
        <v>11</v>
      </c>
      <c r="Z40" s="622"/>
      <c r="AA40" s="624"/>
      <c r="AB40" s="615"/>
      <c r="AC40" s="615"/>
      <c r="AD40" s="622" t="s">
        <v>11</v>
      </c>
      <c r="AE40" s="622"/>
      <c r="AF40" s="624"/>
    </row>
    <row r="41" spans="1:32" ht="12.75" customHeight="1" x14ac:dyDescent="0.25">
      <c r="B41" s="620"/>
      <c r="C41" s="615"/>
      <c r="D41" s="615"/>
      <c r="E41" s="97" t="s">
        <v>101</v>
      </c>
      <c r="F41" s="616" t="s">
        <v>11</v>
      </c>
      <c r="G41" s="618"/>
      <c r="H41" s="615"/>
      <c r="I41" s="615"/>
      <c r="J41" s="97" t="s">
        <v>101</v>
      </c>
      <c r="K41" s="616" t="s">
        <v>11</v>
      </c>
      <c r="L41" s="618"/>
      <c r="M41" s="615"/>
      <c r="N41" s="615"/>
      <c r="O41" s="97" t="s">
        <v>101</v>
      </c>
      <c r="P41" s="616" t="s">
        <v>11</v>
      </c>
      <c r="Q41" s="618"/>
      <c r="R41" s="615"/>
      <c r="S41" s="615"/>
      <c r="T41" s="97" t="s">
        <v>101</v>
      </c>
      <c r="U41" s="616" t="s">
        <v>11</v>
      </c>
      <c r="V41" s="618"/>
      <c r="W41" s="615"/>
      <c r="X41" s="615"/>
      <c r="Y41" s="97" t="s">
        <v>101</v>
      </c>
      <c r="Z41" s="611" t="s">
        <v>11</v>
      </c>
      <c r="AA41" s="612"/>
      <c r="AB41" s="615"/>
      <c r="AC41" s="615"/>
      <c r="AD41" s="97" t="s">
        <v>101</v>
      </c>
      <c r="AE41" s="616" t="s">
        <v>11</v>
      </c>
      <c r="AF41" s="617"/>
    </row>
    <row r="42" spans="1:32" ht="12.75" customHeight="1" x14ac:dyDescent="0.25">
      <c r="B42" s="621"/>
      <c r="C42" s="614"/>
      <c r="D42" s="608"/>
      <c r="E42" s="98" t="s">
        <v>102</v>
      </c>
      <c r="F42" s="609" t="s">
        <v>11</v>
      </c>
      <c r="G42" s="610"/>
      <c r="H42" s="608"/>
      <c r="I42" s="608"/>
      <c r="J42" s="98" t="s">
        <v>102</v>
      </c>
      <c r="K42" s="609" t="s">
        <v>11</v>
      </c>
      <c r="L42" s="610"/>
      <c r="M42" s="608"/>
      <c r="N42" s="608"/>
      <c r="O42" s="98" t="s">
        <v>102</v>
      </c>
      <c r="P42" s="609" t="s">
        <v>11</v>
      </c>
      <c r="Q42" s="610"/>
      <c r="R42" s="608"/>
      <c r="S42" s="608"/>
      <c r="T42" s="98" t="s">
        <v>102</v>
      </c>
      <c r="U42" s="609" t="s">
        <v>11</v>
      </c>
      <c r="V42" s="610"/>
      <c r="W42" s="608"/>
      <c r="X42" s="608"/>
      <c r="Y42" s="98" t="s">
        <v>102</v>
      </c>
      <c r="Z42" s="649" t="s">
        <v>11</v>
      </c>
      <c r="AA42" s="650"/>
      <c r="AB42" s="608"/>
      <c r="AC42" s="608"/>
      <c r="AD42" s="98" t="s">
        <v>102</v>
      </c>
      <c r="AE42" s="609" t="s">
        <v>11</v>
      </c>
      <c r="AF42" s="613"/>
    </row>
    <row r="43" spans="1:32" ht="18" customHeight="1" x14ac:dyDescent="0.25">
      <c r="B43" s="635" t="s">
        <v>108</v>
      </c>
      <c r="C43" s="639" t="s">
        <v>100</v>
      </c>
      <c r="D43" s="640"/>
      <c r="E43" s="629" t="s">
        <v>11</v>
      </c>
      <c r="F43" s="629"/>
      <c r="G43" s="643"/>
      <c r="H43" s="645" t="s">
        <v>100</v>
      </c>
      <c r="I43" s="626"/>
      <c r="J43" s="629" t="s">
        <v>11</v>
      </c>
      <c r="K43" s="629"/>
      <c r="L43" s="643"/>
      <c r="M43" s="625" t="s">
        <v>100</v>
      </c>
      <c r="N43" s="626"/>
      <c r="O43" s="629" t="s">
        <v>11</v>
      </c>
      <c r="P43" s="629"/>
      <c r="Q43" s="643"/>
      <c r="R43" s="625" t="s">
        <v>100</v>
      </c>
      <c r="S43" s="626"/>
      <c r="T43" s="629" t="s">
        <v>11</v>
      </c>
      <c r="U43" s="629"/>
      <c r="V43" s="643"/>
      <c r="W43" s="625" t="s">
        <v>100</v>
      </c>
      <c r="X43" s="626"/>
      <c r="Y43" s="629" t="s">
        <v>11</v>
      </c>
      <c r="Z43" s="629"/>
      <c r="AA43" s="630"/>
      <c r="AB43" s="626" t="s">
        <v>100</v>
      </c>
      <c r="AC43" s="626"/>
      <c r="AD43" s="629" t="s">
        <v>11</v>
      </c>
      <c r="AE43" s="629"/>
      <c r="AF43" s="630"/>
    </row>
    <row r="44" spans="1:32" ht="18" customHeight="1" x14ac:dyDescent="0.25">
      <c r="B44" s="635"/>
      <c r="C44" s="641"/>
      <c r="D44" s="642"/>
      <c r="E44" s="633"/>
      <c r="F44" s="633"/>
      <c r="G44" s="644"/>
      <c r="H44" s="627"/>
      <c r="I44" s="628"/>
      <c r="J44" s="631"/>
      <c r="K44" s="631"/>
      <c r="L44" s="646"/>
      <c r="M44" s="627"/>
      <c r="N44" s="628"/>
      <c r="O44" s="631"/>
      <c r="P44" s="631"/>
      <c r="Q44" s="646"/>
      <c r="R44" s="647"/>
      <c r="S44" s="648"/>
      <c r="T44" s="631"/>
      <c r="U44" s="631"/>
      <c r="V44" s="646"/>
      <c r="W44" s="627"/>
      <c r="X44" s="628"/>
      <c r="Y44" s="631"/>
      <c r="Z44" s="631"/>
      <c r="AA44" s="632"/>
      <c r="AB44" s="628"/>
      <c r="AC44" s="628"/>
      <c r="AD44" s="633"/>
      <c r="AE44" s="633"/>
      <c r="AF44" s="634"/>
    </row>
    <row r="45" spans="1:32" ht="12.75" customHeight="1" x14ac:dyDescent="0.25">
      <c r="B45" s="636"/>
      <c r="C45" s="615"/>
      <c r="D45" s="615"/>
      <c r="E45" s="622" t="s">
        <v>11</v>
      </c>
      <c r="F45" s="622"/>
      <c r="G45" s="623"/>
      <c r="H45" s="615"/>
      <c r="I45" s="615"/>
      <c r="J45" s="622" t="s">
        <v>11</v>
      </c>
      <c r="K45" s="622"/>
      <c r="L45" s="623"/>
      <c r="M45" s="615"/>
      <c r="N45" s="615"/>
      <c r="O45" s="622" t="s">
        <v>11</v>
      </c>
      <c r="P45" s="622"/>
      <c r="Q45" s="623"/>
      <c r="R45" s="615"/>
      <c r="S45" s="615"/>
      <c r="T45" s="622" t="s">
        <v>11</v>
      </c>
      <c r="U45" s="622"/>
      <c r="V45" s="623"/>
      <c r="W45" s="615"/>
      <c r="X45" s="615"/>
      <c r="Y45" s="622" t="s">
        <v>11</v>
      </c>
      <c r="Z45" s="622"/>
      <c r="AA45" s="624"/>
      <c r="AB45" s="615"/>
      <c r="AC45" s="615"/>
      <c r="AD45" s="622" t="s">
        <v>11</v>
      </c>
      <c r="AE45" s="622"/>
      <c r="AF45" s="624"/>
    </row>
    <row r="46" spans="1:32" ht="12.75" customHeight="1" x14ac:dyDescent="0.25">
      <c r="B46" s="637"/>
      <c r="C46" s="615"/>
      <c r="D46" s="615"/>
      <c r="E46" s="97" t="s">
        <v>101</v>
      </c>
      <c r="F46" s="616" t="s">
        <v>11</v>
      </c>
      <c r="G46" s="618"/>
      <c r="H46" s="615"/>
      <c r="I46" s="615"/>
      <c r="J46" s="97" t="s">
        <v>101</v>
      </c>
      <c r="K46" s="616" t="s">
        <v>11</v>
      </c>
      <c r="L46" s="618"/>
      <c r="M46" s="615"/>
      <c r="N46" s="615"/>
      <c r="O46" s="97" t="s">
        <v>101</v>
      </c>
      <c r="P46" s="616" t="s">
        <v>11</v>
      </c>
      <c r="Q46" s="618"/>
      <c r="R46" s="615"/>
      <c r="S46" s="615"/>
      <c r="T46" s="97" t="s">
        <v>101</v>
      </c>
      <c r="U46" s="616" t="s">
        <v>11</v>
      </c>
      <c r="V46" s="618"/>
      <c r="W46" s="615"/>
      <c r="X46" s="615"/>
      <c r="Y46" s="97" t="s">
        <v>101</v>
      </c>
      <c r="Z46" s="611" t="s">
        <v>11</v>
      </c>
      <c r="AA46" s="612"/>
      <c r="AB46" s="615"/>
      <c r="AC46" s="615"/>
      <c r="AD46" s="97" t="s">
        <v>101</v>
      </c>
      <c r="AE46" s="616" t="s">
        <v>11</v>
      </c>
      <c r="AF46" s="617"/>
    </row>
    <row r="47" spans="1:32" ht="12.75" customHeight="1" thickBot="1" x14ac:dyDescent="0.3">
      <c r="B47" s="638"/>
      <c r="C47" s="614"/>
      <c r="D47" s="608"/>
      <c r="E47" s="101" t="s">
        <v>102</v>
      </c>
      <c r="F47" s="609" t="s">
        <v>11</v>
      </c>
      <c r="G47" s="610"/>
      <c r="H47" s="608"/>
      <c r="I47" s="608"/>
      <c r="J47" s="101" t="s">
        <v>102</v>
      </c>
      <c r="K47" s="609" t="s">
        <v>11</v>
      </c>
      <c r="L47" s="610"/>
      <c r="M47" s="608"/>
      <c r="N47" s="608"/>
      <c r="O47" s="101" t="s">
        <v>102</v>
      </c>
      <c r="P47" s="609" t="s">
        <v>11</v>
      </c>
      <c r="Q47" s="610"/>
      <c r="R47" s="608"/>
      <c r="S47" s="608"/>
      <c r="T47" s="101" t="s">
        <v>102</v>
      </c>
      <c r="U47" s="609" t="s">
        <v>11</v>
      </c>
      <c r="V47" s="610"/>
      <c r="W47" s="608"/>
      <c r="X47" s="608"/>
      <c r="Y47" s="101" t="s">
        <v>102</v>
      </c>
      <c r="Z47" s="611" t="s">
        <v>11</v>
      </c>
      <c r="AA47" s="612"/>
      <c r="AB47" s="608"/>
      <c r="AC47" s="608"/>
      <c r="AD47" s="101" t="s">
        <v>102</v>
      </c>
      <c r="AE47" s="609" t="s">
        <v>11</v>
      </c>
      <c r="AF47" s="613"/>
    </row>
    <row r="48" spans="1:32" s="6" customFormat="1" ht="12" customHeight="1" x14ac:dyDescent="0.35">
      <c r="A48" s="602" t="s">
        <v>109</v>
      </c>
      <c r="B48" s="604" t="e">
        <v>#REF!</v>
      </c>
      <c r="C48" s="102" t="e">
        <v>#REF!</v>
      </c>
      <c r="D48" s="103"/>
      <c r="E48" s="104" t="e">
        <v>#REF!</v>
      </c>
      <c r="F48" s="103"/>
      <c r="G48" s="103"/>
      <c r="H48" s="105" t="e">
        <v>#REF!</v>
      </c>
      <c r="I48" s="103"/>
      <c r="J48" s="104" t="e">
        <v>#REF!</v>
      </c>
      <c r="K48" s="106"/>
      <c r="L48" s="103"/>
      <c r="M48" s="105" t="e">
        <v>#REF!</v>
      </c>
      <c r="N48" s="107"/>
      <c r="O48" s="104" t="e">
        <v>#REF!</v>
      </c>
      <c r="P48" s="107"/>
      <c r="Q48" s="107"/>
      <c r="R48" s="105" t="e">
        <v>#REF!</v>
      </c>
      <c r="S48" s="107"/>
      <c r="T48" s="104" t="e">
        <v>#REF!</v>
      </c>
      <c r="U48" s="107"/>
      <c r="V48" s="107"/>
      <c r="W48" s="105" t="e">
        <v>#REF!</v>
      </c>
      <c r="X48" s="107"/>
      <c r="Y48" s="104" t="e">
        <v>#REF!</v>
      </c>
      <c r="Z48" s="107"/>
      <c r="AA48" s="108"/>
      <c r="AB48" s="109" t="e">
        <v>#REF!</v>
      </c>
      <c r="AC48" s="106"/>
      <c r="AD48" s="104" t="e">
        <v>#REF!</v>
      </c>
      <c r="AE48" s="103"/>
      <c r="AF48" s="110"/>
    </row>
    <row r="49" spans="1:32" s="6" customFormat="1" ht="12" customHeight="1" x14ac:dyDescent="0.35">
      <c r="A49" s="603"/>
      <c r="B49" s="605"/>
      <c r="C49" s="111" t="e">
        <v>#REF!</v>
      </c>
      <c r="D49" s="112"/>
      <c r="E49" s="113" t="e">
        <v>#REF!</v>
      </c>
      <c r="F49" s="112"/>
      <c r="G49" s="112"/>
      <c r="H49" s="114" t="e">
        <v>#REF!</v>
      </c>
      <c r="I49" s="112"/>
      <c r="J49" s="113" t="e">
        <v>#REF!</v>
      </c>
      <c r="K49" s="115"/>
      <c r="L49" s="112"/>
      <c r="M49" s="114" t="e">
        <v>#REF!</v>
      </c>
      <c r="N49" s="116"/>
      <c r="O49" s="113" t="e">
        <v>#REF!</v>
      </c>
      <c r="P49" s="116"/>
      <c r="Q49" s="116"/>
      <c r="R49" s="114" t="e">
        <v>#REF!</v>
      </c>
      <c r="S49" s="116"/>
      <c r="T49" s="113" t="e">
        <v>#REF!</v>
      </c>
      <c r="U49" s="116"/>
      <c r="V49" s="116"/>
      <c r="W49" s="114" t="e">
        <v>#REF!</v>
      </c>
      <c r="X49" s="116"/>
      <c r="Y49" s="113" t="e">
        <v>#REF!</v>
      </c>
      <c r="Z49" s="116"/>
      <c r="AA49" s="117"/>
      <c r="AB49" s="112" t="e">
        <v>#REF!</v>
      </c>
      <c r="AC49" s="115"/>
      <c r="AD49" s="113" t="e">
        <v>#REF!</v>
      </c>
      <c r="AE49" s="112"/>
      <c r="AF49" s="118"/>
    </row>
    <row r="50" spans="1:32" s="6" customFormat="1" ht="12" customHeight="1" x14ac:dyDescent="0.35">
      <c r="A50" s="119"/>
      <c r="B50" s="606" t="s">
        <v>110</v>
      </c>
      <c r="C50" s="120" t="s">
        <v>46</v>
      </c>
      <c r="D50" s="121"/>
      <c r="E50" s="122" t="s">
        <v>46</v>
      </c>
      <c r="F50" s="121"/>
      <c r="G50" s="121"/>
      <c r="H50" s="123" t="s">
        <v>46</v>
      </c>
      <c r="I50" s="121"/>
      <c r="J50" s="122" t="s">
        <v>46</v>
      </c>
      <c r="K50" s="124"/>
      <c r="L50" s="121"/>
      <c r="M50" s="123" t="s">
        <v>46</v>
      </c>
      <c r="N50" s="124"/>
      <c r="O50" s="122" t="s">
        <v>46</v>
      </c>
      <c r="P50" s="121"/>
      <c r="Q50" s="124"/>
      <c r="R50" s="123" t="s">
        <v>46</v>
      </c>
      <c r="S50" s="121"/>
      <c r="T50" s="122" t="s">
        <v>46</v>
      </c>
      <c r="U50" s="125"/>
      <c r="V50" s="125"/>
      <c r="W50" s="123" t="s">
        <v>46</v>
      </c>
      <c r="X50" s="125"/>
      <c r="Y50" s="122" t="s">
        <v>46</v>
      </c>
      <c r="Z50" s="125"/>
      <c r="AA50" s="126"/>
      <c r="AB50" s="121" t="s">
        <v>46</v>
      </c>
      <c r="AC50" s="125"/>
      <c r="AD50" s="122" t="s">
        <v>46</v>
      </c>
      <c r="AE50" s="125"/>
      <c r="AF50" s="126"/>
    </row>
    <row r="51" spans="1:32" s="6" customFormat="1" ht="12" customHeight="1" thickBot="1" x14ac:dyDescent="0.4">
      <c r="A51" s="119"/>
      <c r="B51" s="607"/>
      <c r="C51" s="127" t="s">
        <v>46</v>
      </c>
      <c r="D51" s="128"/>
      <c r="E51" s="129" t="s">
        <v>46</v>
      </c>
      <c r="F51" s="128"/>
      <c r="G51" s="128"/>
      <c r="H51" s="130" t="s">
        <v>46</v>
      </c>
      <c r="I51" s="128"/>
      <c r="J51" s="129" t="s">
        <v>46</v>
      </c>
      <c r="K51" s="131"/>
      <c r="L51" s="128"/>
      <c r="M51" s="130" t="s">
        <v>46</v>
      </c>
      <c r="N51" s="131"/>
      <c r="O51" s="129" t="s">
        <v>46</v>
      </c>
      <c r="P51" s="128"/>
      <c r="Q51" s="131"/>
      <c r="R51" s="130" t="s">
        <v>46</v>
      </c>
      <c r="S51" s="128"/>
      <c r="T51" s="129" t="s">
        <v>46</v>
      </c>
      <c r="U51" s="132"/>
      <c r="V51" s="132"/>
      <c r="W51" s="130" t="s">
        <v>46</v>
      </c>
      <c r="X51" s="132"/>
      <c r="Y51" s="129" t="s">
        <v>46</v>
      </c>
      <c r="Z51" s="132"/>
      <c r="AA51" s="133"/>
      <c r="AB51" s="128" t="s">
        <v>46</v>
      </c>
      <c r="AC51" s="132"/>
      <c r="AD51" s="129" t="s">
        <v>46</v>
      </c>
      <c r="AE51" s="132"/>
      <c r="AF51" s="133"/>
    </row>
    <row r="52" spans="1:32" s="134" customFormat="1" ht="12.75" customHeight="1" x14ac:dyDescent="0.3">
      <c r="B52" s="135" t="s">
        <v>111</v>
      </c>
      <c r="C52" s="136"/>
      <c r="E52" s="137"/>
      <c r="F52" s="137"/>
      <c r="G52" s="137"/>
      <c r="H52" s="138"/>
      <c r="I52" s="137"/>
      <c r="J52" s="137"/>
      <c r="K52" s="137"/>
      <c r="L52" s="137"/>
      <c r="M52" s="138"/>
      <c r="N52" s="137"/>
      <c r="O52" s="137"/>
      <c r="P52" s="137"/>
      <c r="Q52" s="137"/>
      <c r="R52" s="138"/>
      <c r="S52" s="137"/>
      <c r="T52" s="137"/>
      <c r="U52" s="137"/>
      <c r="V52" s="137"/>
      <c r="W52" s="138"/>
      <c r="X52" s="137"/>
      <c r="Y52" s="137"/>
      <c r="Z52" s="137"/>
      <c r="AA52" s="139"/>
      <c r="AB52" s="140"/>
      <c r="AC52" s="137"/>
      <c r="AD52" s="137"/>
      <c r="AE52" s="137"/>
      <c r="AF52" s="139"/>
    </row>
    <row r="53" spans="1:32" s="134" customFormat="1" ht="12.75" customHeight="1" x14ac:dyDescent="0.25">
      <c r="B53" s="141"/>
      <c r="C53" s="136"/>
      <c r="H53" s="142"/>
      <c r="M53" s="142"/>
      <c r="R53" s="142"/>
      <c r="W53" s="142"/>
      <c r="AA53" s="143"/>
      <c r="AB53" s="136"/>
      <c r="AF53" s="143"/>
    </row>
    <row r="54" spans="1:32" s="134" customFormat="1" ht="12.75" customHeight="1" x14ac:dyDescent="0.25">
      <c r="B54" s="141"/>
      <c r="C54" s="136"/>
      <c r="H54" s="142"/>
      <c r="I54" s="144"/>
      <c r="M54" s="142"/>
      <c r="R54" s="142"/>
      <c r="W54" s="142"/>
      <c r="AA54" s="143"/>
      <c r="AB54" s="136"/>
      <c r="AF54" s="143"/>
    </row>
    <row r="55" spans="1:32" s="134" customFormat="1" ht="12.75" customHeight="1" x14ac:dyDescent="0.25">
      <c r="B55" s="141"/>
      <c r="C55" s="136"/>
      <c r="H55" s="142"/>
      <c r="M55" s="142"/>
      <c r="R55" s="142"/>
      <c r="W55" s="142"/>
      <c r="AA55" s="143"/>
      <c r="AB55" s="136"/>
      <c r="AF55" s="143"/>
    </row>
    <row r="56" spans="1:32" s="134" customFormat="1" ht="12.75" customHeight="1" x14ac:dyDescent="0.25">
      <c r="B56" s="141"/>
      <c r="C56" s="136"/>
      <c r="H56" s="142"/>
      <c r="M56" s="142"/>
      <c r="R56" s="142"/>
      <c r="W56" s="142"/>
      <c r="AA56" s="143"/>
      <c r="AB56" s="136"/>
      <c r="AF56" s="143"/>
    </row>
    <row r="57" spans="1:32" s="134" customFormat="1" ht="12.75" hidden="1" customHeight="1" x14ac:dyDescent="0.25">
      <c r="B57" s="141"/>
      <c r="C57" s="136"/>
      <c r="H57" s="142"/>
      <c r="I57" s="144"/>
      <c r="M57" s="142"/>
      <c r="R57" s="142"/>
      <c r="W57" s="142"/>
      <c r="AA57" s="143"/>
      <c r="AB57" s="136"/>
      <c r="AF57" s="143"/>
    </row>
    <row r="58" spans="1:32" s="134" customFormat="1" ht="12.75" hidden="1" customHeight="1" x14ac:dyDescent="0.25">
      <c r="B58" s="141"/>
      <c r="C58" s="136"/>
      <c r="H58" s="142"/>
      <c r="I58" s="144"/>
      <c r="M58" s="142"/>
      <c r="R58" s="142"/>
      <c r="W58" s="142"/>
      <c r="AA58" s="143"/>
      <c r="AB58" s="136"/>
      <c r="AF58" s="143"/>
    </row>
    <row r="59" spans="1:32" s="134" customFormat="1" ht="12.75" customHeight="1" x14ac:dyDescent="0.25">
      <c r="B59" s="141"/>
      <c r="C59" s="136"/>
      <c r="H59" s="142"/>
      <c r="I59" s="144"/>
      <c r="M59" s="142"/>
      <c r="R59" s="142"/>
      <c r="W59" s="142"/>
      <c r="AA59" s="143"/>
      <c r="AB59" s="136"/>
      <c r="AF59" s="143"/>
    </row>
    <row r="60" spans="1:32" s="134" customFormat="1" ht="12.75" customHeight="1" x14ac:dyDescent="0.25">
      <c r="B60" s="141"/>
      <c r="C60" s="136"/>
      <c r="H60" s="142"/>
      <c r="M60" s="142"/>
      <c r="R60" s="142"/>
      <c r="W60" s="142"/>
      <c r="AA60" s="143"/>
      <c r="AB60" s="136"/>
      <c r="AF60" s="143"/>
    </row>
    <row r="61" spans="1:32" s="134" customFormat="1" ht="12.75" hidden="1" customHeight="1" x14ac:dyDescent="0.25">
      <c r="B61" s="141"/>
      <c r="C61" s="136"/>
      <c r="H61" s="142"/>
      <c r="M61" s="142"/>
      <c r="R61" s="142"/>
      <c r="W61" s="142"/>
      <c r="AA61" s="143"/>
      <c r="AB61" s="136"/>
      <c r="AF61" s="143"/>
    </row>
    <row r="62" spans="1:32" s="134" customFormat="1" ht="12.75" hidden="1" customHeight="1" x14ac:dyDescent="0.25">
      <c r="B62" s="141"/>
      <c r="C62" s="136"/>
      <c r="H62" s="142"/>
      <c r="I62" s="144"/>
      <c r="J62" s="144"/>
      <c r="M62" s="142"/>
      <c r="R62" s="142"/>
      <c r="W62" s="142"/>
      <c r="AA62" s="143"/>
      <c r="AB62" s="136"/>
      <c r="AF62" s="143"/>
    </row>
    <row r="63" spans="1:32" s="134" customFormat="1" ht="12.75" hidden="1" customHeight="1" x14ac:dyDescent="0.25">
      <c r="B63" s="141"/>
      <c r="C63" s="136"/>
      <c r="H63" s="142"/>
      <c r="I63" s="144"/>
      <c r="J63" s="144"/>
      <c r="M63" s="142"/>
      <c r="R63" s="142"/>
      <c r="W63" s="142"/>
      <c r="AA63" s="143"/>
      <c r="AB63" s="136"/>
      <c r="AF63" s="143"/>
    </row>
    <row r="64" spans="1:32" s="134" customFormat="1" ht="12.75" hidden="1" customHeight="1" x14ac:dyDescent="0.25">
      <c r="B64" s="141"/>
      <c r="C64" s="136"/>
      <c r="H64" s="142"/>
      <c r="I64" s="144"/>
      <c r="J64" s="144"/>
      <c r="M64" s="142"/>
      <c r="R64" s="142"/>
      <c r="W64" s="142"/>
      <c r="AA64" s="143"/>
      <c r="AB64" s="136"/>
      <c r="AF64" s="143"/>
    </row>
    <row r="65" spans="2:32" s="134" customFormat="1" ht="12.75" customHeight="1" thickBot="1" x14ac:dyDescent="0.3">
      <c r="B65" s="145"/>
      <c r="C65" s="146"/>
      <c r="D65" s="147"/>
      <c r="E65" s="148"/>
      <c r="F65" s="147"/>
      <c r="G65" s="147"/>
      <c r="H65" s="149"/>
      <c r="I65" s="148"/>
      <c r="J65" s="148"/>
      <c r="K65" s="147"/>
      <c r="L65" s="147"/>
      <c r="M65" s="149"/>
      <c r="N65" s="147"/>
      <c r="O65" s="147"/>
      <c r="P65" s="147"/>
      <c r="Q65" s="147"/>
      <c r="R65" s="149"/>
      <c r="S65" s="147"/>
      <c r="T65" s="147"/>
      <c r="U65" s="147"/>
      <c r="V65" s="147"/>
      <c r="W65" s="149"/>
      <c r="X65" s="147"/>
      <c r="Y65" s="147"/>
      <c r="Z65" s="147"/>
      <c r="AA65" s="150"/>
      <c r="AB65" s="146"/>
      <c r="AC65" s="147"/>
      <c r="AD65" s="147"/>
      <c r="AE65" s="147"/>
      <c r="AF65" s="150"/>
    </row>
    <row r="66" spans="2:32" ht="18" customHeight="1" x14ac:dyDescent="0.25">
      <c r="D66" s="136"/>
    </row>
    <row r="67" spans="2:32" x14ac:dyDescent="0.25">
      <c r="D67" s="151"/>
    </row>
    <row r="68" spans="2:32" x14ac:dyDescent="0.25">
      <c r="D68" s="136" t="s">
        <v>112</v>
      </c>
      <c r="F68" s="91">
        <f t="shared" ref="F68:F80" si="0">COUNTIF(C$3:C$65,D68)</f>
        <v>0</v>
      </c>
      <c r="H68" s="152"/>
      <c r="I68" s="136" t="s">
        <v>112</v>
      </c>
      <c r="K68" s="91">
        <f t="shared" ref="K68:K80" si="1">COUNTIF(H$3:H$65,I68)</f>
        <v>0</v>
      </c>
      <c r="N68" s="136" t="s">
        <v>112</v>
      </c>
      <c r="P68" s="91">
        <f t="shared" ref="P68:P80" si="2">COUNTIF(M$3:M$65,N68)</f>
        <v>0</v>
      </c>
      <c r="S68" s="136" t="s">
        <v>112</v>
      </c>
      <c r="U68" s="91">
        <f t="shared" ref="U68:U80" si="3">COUNTIF(R$3:R$65,S68)</f>
        <v>0</v>
      </c>
      <c r="X68" s="136" t="s">
        <v>112</v>
      </c>
      <c r="Z68" s="91">
        <f t="shared" ref="Z68:Z80" si="4">COUNTIF(W$3:W$65,X68)</f>
        <v>0</v>
      </c>
      <c r="AC68" s="136" t="s">
        <v>112</v>
      </c>
      <c r="AE68" s="91">
        <f t="shared" ref="AE68:AE80" si="5">COUNTIF(AB$3:AB$65,AC68)</f>
        <v>0</v>
      </c>
    </row>
    <row r="69" spans="2:32" x14ac:dyDescent="0.25">
      <c r="D69" s="136" t="s">
        <v>113</v>
      </c>
      <c r="F69" s="91">
        <f t="shared" si="0"/>
        <v>0</v>
      </c>
      <c r="H69" s="153"/>
      <c r="I69" s="136" t="s">
        <v>113</v>
      </c>
      <c r="K69" s="91">
        <f t="shared" si="1"/>
        <v>0</v>
      </c>
      <c r="N69" s="136" t="s">
        <v>113</v>
      </c>
      <c r="P69" s="91">
        <f t="shared" si="2"/>
        <v>0</v>
      </c>
      <c r="S69" s="136" t="s">
        <v>113</v>
      </c>
      <c r="U69" s="91">
        <f t="shared" si="3"/>
        <v>0</v>
      </c>
      <c r="X69" s="136" t="s">
        <v>113</v>
      </c>
      <c r="Z69" s="91">
        <f t="shared" si="4"/>
        <v>0</v>
      </c>
      <c r="AC69" s="136" t="s">
        <v>113</v>
      </c>
      <c r="AE69" s="91">
        <f t="shared" si="5"/>
        <v>0</v>
      </c>
    </row>
    <row r="70" spans="2:32" x14ac:dyDescent="0.25">
      <c r="D70" s="136" t="s">
        <v>114</v>
      </c>
      <c r="F70" s="91">
        <f t="shared" si="0"/>
        <v>0</v>
      </c>
      <c r="H70" s="153"/>
      <c r="I70" s="136" t="s">
        <v>114</v>
      </c>
      <c r="K70" s="91">
        <f t="shared" si="1"/>
        <v>0</v>
      </c>
      <c r="N70" s="136" t="s">
        <v>114</v>
      </c>
      <c r="P70" s="91">
        <f t="shared" si="2"/>
        <v>0</v>
      </c>
      <c r="S70" s="136" t="s">
        <v>114</v>
      </c>
      <c r="U70" s="91">
        <f t="shared" si="3"/>
        <v>0</v>
      </c>
      <c r="X70" s="136" t="s">
        <v>114</v>
      </c>
      <c r="Z70" s="91">
        <f t="shared" si="4"/>
        <v>0</v>
      </c>
      <c r="AC70" s="136" t="s">
        <v>114</v>
      </c>
      <c r="AE70" s="91">
        <f t="shared" si="5"/>
        <v>0</v>
      </c>
    </row>
    <row r="71" spans="2:32" x14ac:dyDescent="0.25">
      <c r="D71" s="136" t="s">
        <v>115</v>
      </c>
      <c r="F71" s="91">
        <f t="shared" si="0"/>
        <v>0</v>
      </c>
      <c r="H71" s="153"/>
      <c r="I71" s="136" t="s">
        <v>115</v>
      </c>
      <c r="K71" s="91">
        <f t="shared" si="1"/>
        <v>0</v>
      </c>
      <c r="N71" s="136" t="s">
        <v>115</v>
      </c>
      <c r="P71" s="91">
        <f t="shared" si="2"/>
        <v>0</v>
      </c>
      <c r="S71" s="136" t="s">
        <v>115</v>
      </c>
      <c r="U71" s="91">
        <f t="shared" si="3"/>
        <v>0</v>
      </c>
      <c r="X71" s="136" t="s">
        <v>115</v>
      </c>
      <c r="Z71" s="91">
        <f t="shared" si="4"/>
        <v>0</v>
      </c>
      <c r="AC71" s="136" t="s">
        <v>115</v>
      </c>
      <c r="AE71" s="91">
        <f t="shared" si="5"/>
        <v>0</v>
      </c>
    </row>
    <row r="72" spans="2:32" x14ac:dyDescent="0.25">
      <c r="D72" s="136" t="s">
        <v>116</v>
      </c>
      <c r="F72" s="91">
        <f t="shared" si="0"/>
        <v>0</v>
      </c>
      <c r="H72" s="153"/>
      <c r="I72" s="136" t="s">
        <v>116</v>
      </c>
      <c r="K72" s="91">
        <f t="shared" si="1"/>
        <v>0</v>
      </c>
      <c r="N72" s="136" t="s">
        <v>116</v>
      </c>
      <c r="P72" s="91">
        <f t="shared" si="2"/>
        <v>0</v>
      </c>
      <c r="S72" s="136" t="s">
        <v>116</v>
      </c>
      <c r="U72" s="91">
        <f t="shared" si="3"/>
        <v>0</v>
      </c>
      <c r="X72" s="136" t="s">
        <v>116</v>
      </c>
      <c r="Z72" s="91">
        <f t="shared" si="4"/>
        <v>0</v>
      </c>
      <c r="AC72" s="136" t="s">
        <v>116</v>
      </c>
      <c r="AE72" s="91">
        <f t="shared" si="5"/>
        <v>0</v>
      </c>
    </row>
    <row r="73" spans="2:32" x14ac:dyDescent="0.25">
      <c r="D73" s="136" t="s">
        <v>117</v>
      </c>
      <c r="F73" s="91">
        <f t="shared" si="0"/>
        <v>0</v>
      </c>
      <c r="I73" s="136" t="s">
        <v>117</v>
      </c>
      <c r="K73" s="91">
        <f t="shared" si="1"/>
        <v>0</v>
      </c>
      <c r="N73" s="136" t="s">
        <v>117</v>
      </c>
      <c r="P73" s="91">
        <f t="shared" si="2"/>
        <v>0</v>
      </c>
      <c r="S73" s="136" t="s">
        <v>117</v>
      </c>
      <c r="U73" s="91">
        <f t="shared" si="3"/>
        <v>0</v>
      </c>
      <c r="X73" s="136" t="s">
        <v>117</v>
      </c>
      <c r="Z73" s="91">
        <f t="shared" si="4"/>
        <v>0</v>
      </c>
      <c r="AC73" s="136" t="s">
        <v>117</v>
      </c>
      <c r="AE73" s="91">
        <f t="shared" si="5"/>
        <v>0</v>
      </c>
    </row>
    <row r="74" spans="2:32" x14ac:dyDescent="0.25">
      <c r="D74" s="136" t="s">
        <v>118</v>
      </c>
      <c r="F74" s="91">
        <f t="shared" si="0"/>
        <v>0</v>
      </c>
      <c r="I74" s="136" t="s">
        <v>118</v>
      </c>
      <c r="K74" s="91">
        <f t="shared" si="1"/>
        <v>0</v>
      </c>
      <c r="N74" s="136" t="s">
        <v>118</v>
      </c>
      <c r="P74" s="91">
        <f t="shared" si="2"/>
        <v>0</v>
      </c>
      <c r="S74" s="136" t="s">
        <v>118</v>
      </c>
      <c r="U74" s="91">
        <f t="shared" si="3"/>
        <v>0</v>
      </c>
      <c r="X74" s="136" t="s">
        <v>118</v>
      </c>
      <c r="Z74" s="91">
        <f t="shared" si="4"/>
        <v>0</v>
      </c>
      <c r="AC74" s="136" t="s">
        <v>118</v>
      </c>
      <c r="AE74" s="91">
        <f t="shared" si="5"/>
        <v>0</v>
      </c>
    </row>
    <row r="75" spans="2:32" x14ac:dyDescent="0.25">
      <c r="D75" s="136" t="s">
        <v>119</v>
      </c>
      <c r="F75" s="91">
        <f t="shared" si="0"/>
        <v>0</v>
      </c>
      <c r="I75" s="136" t="s">
        <v>119</v>
      </c>
      <c r="K75" s="91">
        <f t="shared" si="1"/>
        <v>0</v>
      </c>
      <c r="N75" s="136" t="s">
        <v>119</v>
      </c>
      <c r="P75" s="91">
        <f t="shared" si="2"/>
        <v>0</v>
      </c>
      <c r="S75" s="136" t="s">
        <v>119</v>
      </c>
      <c r="U75" s="91">
        <f t="shared" si="3"/>
        <v>0</v>
      </c>
      <c r="X75" s="136" t="s">
        <v>119</v>
      </c>
      <c r="Z75" s="91">
        <f t="shared" si="4"/>
        <v>0</v>
      </c>
      <c r="AC75" s="136" t="s">
        <v>119</v>
      </c>
      <c r="AE75" s="91">
        <f t="shared" si="5"/>
        <v>0</v>
      </c>
    </row>
    <row r="76" spans="2:32" x14ac:dyDescent="0.25">
      <c r="D76" s="136" t="s">
        <v>120</v>
      </c>
      <c r="F76" s="91">
        <f t="shared" si="0"/>
        <v>0</v>
      </c>
      <c r="I76" s="136" t="s">
        <v>120</v>
      </c>
      <c r="K76" s="91">
        <f t="shared" si="1"/>
        <v>0</v>
      </c>
      <c r="N76" s="136" t="s">
        <v>120</v>
      </c>
      <c r="P76" s="91">
        <f t="shared" si="2"/>
        <v>0</v>
      </c>
      <c r="S76" s="136" t="s">
        <v>120</v>
      </c>
      <c r="U76" s="91">
        <f t="shared" si="3"/>
        <v>0</v>
      </c>
      <c r="X76" s="136" t="s">
        <v>120</v>
      </c>
      <c r="Z76" s="91">
        <f t="shared" si="4"/>
        <v>0</v>
      </c>
      <c r="AC76" s="136" t="s">
        <v>120</v>
      </c>
      <c r="AE76" s="91">
        <f t="shared" si="5"/>
        <v>0</v>
      </c>
    </row>
    <row r="77" spans="2:32" x14ac:dyDescent="0.25">
      <c r="D77" s="136" t="s">
        <v>121</v>
      </c>
      <c r="F77" s="91">
        <f t="shared" si="0"/>
        <v>0</v>
      </c>
      <c r="I77" s="136" t="s">
        <v>121</v>
      </c>
      <c r="K77" s="91">
        <f t="shared" si="1"/>
        <v>0</v>
      </c>
      <c r="N77" s="136" t="s">
        <v>121</v>
      </c>
      <c r="P77" s="91">
        <f t="shared" si="2"/>
        <v>0</v>
      </c>
      <c r="S77" s="136" t="s">
        <v>121</v>
      </c>
      <c r="U77" s="91">
        <f t="shared" si="3"/>
        <v>0</v>
      </c>
      <c r="X77" s="136" t="s">
        <v>121</v>
      </c>
      <c r="Z77" s="91">
        <f t="shared" si="4"/>
        <v>0</v>
      </c>
      <c r="AC77" s="136" t="s">
        <v>121</v>
      </c>
      <c r="AE77" s="91">
        <f t="shared" si="5"/>
        <v>0</v>
      </c>
    </row>
    <row r="78" spans="2:32" x14ac:dyDescent="0.25">
      <c r="D78" s="136" t="s">
        <v>122</v>
      </c>
      <c r="F78" s="91">
        <f t="shared" si="0"/>
        <v>0</v>
      </c>
      <c r="I78" s="136" t="s">
        <v>122</v>
      </c>
      <c r="K78" s="91">
        <f t="shared" si="1"/>
        <v>0</v>
      </c>
      <c r="N78" s="136" t="s">
        <v>122</v>
      </c>
      <c r="P78" s="91">
        <f t="shared" si="2"/>
        <v>0</v>
      </c>
      <c r="S78" s="136" t="s">
        <v>122</v>
      </c>
      <c r="U78" s="91">
        <f t="shared" si="3"/>
        <v>0</v>
      </c>
      <c r="X78" s="136" t="s">
        <v>122</v>
      </c>
      <c r="Z78" s="91">
        <f t="shared" si="4"/>
        <v>0</v>
      </c>
      <c r="AC78" s="136" t="s">
        <v>122</v>
      </c>
      <c r="AE78" s="91">
        <f t="shared" si="5"/>
        <v>0</v>
      </c>
    </row>
    <row r="79" spans="2:32" x14ac:dyDescent="0.25">
      <c r="D79" s="136" t="s">
        <v>123</v>
      </c>
      <c r="F79" s="91">
        <f t="shared" si="0"/>
        <v>0</v>
      </c>
      <c r="I79" s="136" t="s">
        <v>123</v>
      </c>
      <c r="K79" s="91">
        <f t="shared" si="1"/>
        <v>0</v>
      </c>
      <c r="N79" s="136" t="s">
        <v>123</v>
      </c>
      <c r="P79" s="91">
        <f t="shared" si="2"/>
        <v>0</v>
      </c>
      <c r="S79" s="136" t="s">
        <v>123</v>
      </c>
      <c r="U79" s="91">
        <f t="shared" si="3"/>
        <v>0</v>
      </c>
      <c r="X79" s="136" t="s">
        <v>123</v>
      </c>
      <c r="Z79" s="91">
        <f t="shared" si="4"/>
        <v>0</v>
      </c>
      <c r="AC79" s="136" t="s">
        <v>123</v>
      </c>
      <c r="AE79" s="91">
        <f t="shared" si="5"/>
        <v>0</v>
      </c>
    </row>
    <row r="80" spans="2:32" ht="13" x14ac:dyDescent="0.25">
      <c r="D80" s="136" t="s">
        <v>124</v>
      </c>
      <c r="F80" s="91">
        <f t="shared" si="0"/>
        <v>0</v>
      </c>
      <c r="I80" s="136" t="s">
        <v>124</v>
      </c>
      <c r="K80" s="91">
        <f t="shared" si="1"/>
        <v>0</v>
      </c>
      <c r="M80" s="154"/>
      <c r="N80" s="136" t="s">
        <v>124</v>
      </c>
      <c r="P80" s="91">
        <f t="shared" si="2"/>
        <v>0</v>
      </c>
      <c r="S80" s="136" t="s">
        <v>124</v>
      </c>
      <c r="U80" s="91">
        <f t="shared" si="3"/>
        <v>0</v>
      </c>
      <c r="X80" s="136" t="s">
        <v>124</v>
      </c>
      <c r="Z80" s="91">
        <f t="shared" si="4"/>
        <v>0</v>
      </c>
      <c r="AC80" s="136" t="s">
        <v>124</v>
      </c>
      <c r="AE80" s="91">
        <f t="shared" si="5"/>
        <v>0</v>
      </c>
    </row>
    <row r="81" spans="4:29" ht="13" x14ac:dyDescent="0.25">
      <c r="D81" s="136"/>
      <c r="I81" s="136"/>
      <c r="M81" s="155"/>
      <c r="N81" s="136"/>
      <c r="S81" s="136"/>
      <c r="X81" s="136"/>
      <c r="AC81" s="136"/>
    </row>
    <row r="82" spans="4:29" ht="13" x14ac:dyDescent="0.25">
      <c r="D82" s="136"/>
      <c r="I82" s="136"/>
      <c r="M82" s="155"/>
      <c r="N82" s="136"/>
      <c r="S82" s="136"/>
      <c r="X82" s="136"/>
      <c r="AC82" s="136"/>
    </row>
    <row r="83" spans="4:29" ht="13" x14ac:dyDescent="0.25">
      <c r="M83" s="155"/>
    </row>
    <row r="84" spans="4:29" ht="13" x14ac:dyDescent="0.25">
      <c r="M84" s="155"/>
    </row>
    <row r="85" spans="4:29" ht="13.5" thickBot="1" x14ac:dyDescent="0.3">
      <c r="M85" s="155"/>
    </row>
    <row r="86" spans="4:29" ht="12.75" customHeight="1" x14ac:dyDescent="0.25">
      <c r="D86" s="156" t="s">
        <v>112</v>
      </c>
      <c r="F86" s="157" t="s">
        <v>62</v>
      </c>
    </row>
    <row r="87" spans="4:29" x14ac:dyDescent="0.25">
      <c r="D87" s="158" t="s">
        <v>113</v>
      </c>
      <c r="F87" s="159" t="s">
        <v>125</v>
      </c>
    </row>
    <row r="88" spans="4:29" x14ac:dyDescent="0.25">
      <c r="D88" s="158" t="s">
        <v>114</v>
      </c>
      <c r="F88" s="159" t="s">
        <v>126</v>
      </c>
    </row>
    <row r="89" spans="4:29" x14ac:dyDescent="0.25">
      <c r="D89" s="158" t="s">
        <v>117</v>
      </c>
      <c r="F89" s="159" t="s">
        <v>127</v>
      </c>
    </row>
    <row r="90" spans="4:29" x14ac:dyDescent="0.25">
      <c r="D90" s="158" t="s">
        <v>116</v>
      </c>
      <c r="F90" s="159" t="s">
        <v>128</v>
      </c>
    </row>
    <row r="91" spans="4:29" x14ac:dyDescent="0.25">
      <c r="D91" s="158" t="s">
        <v>115</v>
      </c>
      <c r="F91" s="159"/>
    </row>
    <row r="92" spans="4:29" x14ac:dyDescent="0.25">
      <c r="D92" s="158" t="s">
        <v>118</v>
      </c>
      <c r="F92" s="159"/>
    </row>
    <row r="93" spans="4:29" ht="13" thickBot="1" x14ac:dyDescent="0.3">
      <c r="D93" s="160" t="s">
        <v>119</v>
      </c>
      <c r="F93" s="159"/>
    </row>
    <row r="94" spans="4:29" x14ac:dyDescent="0.25">
      <c r="D94" s="158" t="s">
        <v>120</v>
      </c>
      <c r="F94" s="159"/>
    </row>
    <row r="95" spans="4:29" x14ac:dyDescent="0.25">
      <c r="D95" s="158" t="s">
        <v>121</v>
      </c>
      <c r="F95" s="159"/>
    </row>
    <row r="96" spans="4:29" x14ac:dyDescent="0.25">
      <c r="D96" s="158" t="s">
        <v>122</v>
      </c>
      <c r="F96" s="159"/>
    </row>
    <row r="97" spans="4:6" x14ac:dyDescent="0.25">
      <c r="D97" s="158" t="s">
        <v>123</v>
      </c>
      <c r="F97" s="159"/>
    </row>
    <row r="98" spans="4:6" x14ac:dyDescent="0.25">
      <c r="D98" s="158" t="s">
        <v>124</v>
      </c>
      <c r="F98" s="159"/>
    </row>
    <row r="99" spans="4:6" x14ac:dyDescent="0.25">
      <c r="D99" s="158" t="s">
        <v>129</v>
      </c>
      <c r="F99" s="159"/>
    </row>
    <row r="100" spans="4:6" x14ac:dyDescent="0.25">
      <c r="D100" s="158" t="s">
        <v>130</v>
      </c>
      <c r="F100" s="159"/>
    </row>
    <row r="101" spans="4:6" x14ac:dyDescent="0.25">
      <c r="D101" s="158" t="s">
        <v>131</v>
      </c>
      <c r="F101" s="159"/>
    </row>
    <row r="102" spans="4:6" x14ac:dyDescent="0.25">
      <c r="D102" s="158" t="s">
        <v>132</v>
      </c>
      <c r="F102" s="159"/>
    </row>
    <row r="103" spans="4:6" x14ac:dyDescent="0.25">
      <c r="D103" s="158" t="s">
        <v>133</v>
      </c>
      <c r="F103" s="159"/>
    </row>
    <row r="104" spans="4:6" x14ac:dyDescent="0.25">
      <c r="D104" s="158" t="s">
        <v>134</v>
      </c>
      <c r="F104" s="159"/>
    </row>
    <row r="105" spans="4:6" x14ac:dyDescent="0.25">
      <c r="D105" s="158" t="s">
        <v>135</v>
      </c>
      <c r="F105" s="159"/>
    </row>
    <row r="106" spans="4:6" ht="12.75" customHeight="1" thickBot="1" x14ac:dyDescent="0.3">
      <c r="D106" s="160" t="s">
        <v>136</v>
      </c>
      <c r="F106" s="161"/>
    </row>
    <row r="108" spans="4:6" ht="12.75" customHeight="1" x14ac:dyDescent="0.25"/>
    <row r="109" spans="4:6" ht="12.75" customHeight="1" x14ac:dyDescent="0.25"/>
    <row r="112" spans="4:6" ht="13" x14ac:dyDescent="0.25">
      <c r="D112" s="155"/>
    </row>
    <row r="113" spans="4:4" ht="12.75" customHeight="1" x14ac:dyDescent="0.25">
      <c r="D113" s="155"/>
    </row>
    <row r="114" spans="4:4" ht="12.75" customHeight="1" x14ac:dyDescent="0.25">
      <c r="D114" s="155"/>
    </row>
    <row r="115" spans="4:4" ht="13" x14ac:dyDescent="0.25">
      <c r="D115" s="155"/>
    </row>
    <row r="116" spans="4:4" ht="13" x14ac:dyDescent="0.25">
      <c r="D116" s="155"/>
    </row>
    <row r="117" spans="4:4" ht="13" x14ac:dyDescent="0.25">
      <c r="D117" s="155"/>
    </row>
    <row r="118" spans="4:4" ht="13" x14ac:dyDescent="0.25">
      <c r="D118" s="155"/>
    </row>
    <row r="119" spans="4:4" ht="12.75" customHeight="1" x14ac:dyDescent="0.25">
      <c r="D119" s="155"/>
    </row>
    <row r="120" spans="4:4" ht="13" x14ac:dyDescent="0.25">
      <c r="D120" s="155"/>
    </row>
    <row r="121" spans="4:4" ht="13" x14ac:dyDescent="0.25">
      <c r="D121" s="155"/>
    </row>
    <row r="122" spans="4:4" ht="13" x14ac:dyDescent="0.25">
      <c r="D122" s="155"/>
    </row>
    <row r="123" spans="4:4" ht="13" x14ac:dyDescent="0.25">
      <c r="D123" s="155"/>
    </row>
    <row r="124" spans="4:4" ht="13" x14ac:dyDescent="0.25">
      <c r="D124" s="155"/>
    </row>
    <row r="125" spans="4:4" ht="13" x14ac:dyDescent="0.25">
      <c r="D125" s="155"/>
    </row>
    <row r="126" spans="4:4" ht="13" x14ac:dyDescent="0.25">
      <c r="D126" s="155"/>
    </row>
    <row r="127" spans="4:4" ht="13" x14ac:dyDescent="0.25">
      <c r="D127" s="155"/>
    </row>
    <row r="128" spans="4:4" ht="13" x14ac:dyDescent="0.25">
      <c r="D128" s="155"/>
    </row>
    <row r="129" spans="4:4" ht="13" x14ac:dyDescent="0.25">
      <c r="D129" s="155"/>
    </row>
    <row r="130" spans="4:4" ht="13" x14ac:dyDescent="0.25">
      <c r="D130" s="155"/>
    </row>
    <row r="131" spans="4:4" ht="13" x14ac:dyDescent="0.25">
      <c r="D131" s="155"/>
    </row>
    <row r="132" spans="4:4" ht="13" x14ac:dyDescent="0.25">
      <c r="D132" s="155"/>
    </row>
    <row r="133" spans="4:4" ht="13" x14ac:dyDescent="0.25">
      <c r="D133" s="155"/>
    </row>
    <row r="136" spans="4:4" ht="13" x14ac:dyDescent="0.25">
      <c r="D136" s="155"/>
    </row>
    <row r="137" spans="4:4" ht="13" x14ac:dyDescent="0.25">
      <c r="D137" s="155"/>
    </row>
    <row r="138" spans="4:4" ht="13" x14ac:dyDescent="0.25">
      <c r="D138" s="155"/>
    </row>
    <row r="139" spans="4:4" ht="13" x14ac:dyDescent="0.25">
      <c r="D139" s="155"/>
    </row>
    <row r="140" spans="4:4" ht="13" x14ac:dyDescent="0.25">
      <c r="D140" s="155"/>
    </row>
    <row r="141" spans="4:4" ht="13" x14ac:dyDescent="0.25">
      <c r="D141" s="155"/>
    </row>
    <row r="142" spans="4:4" ht="13" x14ac:dyDescent="0.25">
      <c r="D142" s="155"/>
    </row>
    <row r="143" spans="4:4" ht="13" x14ac:dyDescent="0.25">
      <c r="D143" s="155"/>
    </row>
    <row r="144" spans="4:4" ht="13" x14ac:dyDescent="0.25">
      <c r="D144" s="155"/>
    </row>
    <row r="145" spans="4:4" ht="13" x14ac:dyDescent="0.25">
      <c r="D145" s="155"/>
    </row>
    <row r="146" spans="4:4" ht="13" x14ac:dyDescent="0.25">
      <c r="D146" s="155"/>
    </row>
    <row r="147" spans="4:4" ht="13" x14ac:dyDescent="0.25">
      <c r="D147" s="155"/>
    </row>
    <row r="148" spans="4:4" ht="13" x14ac:dyDescent="0.25">
      <c r="D148" s="155"/>
    </row>
    <row r="149" spans="4:4" ht="13" x14ac:dyDescent="0.25">
      <c r="D149" s="155"/>
    </row>
    <row r="150" spans="4:4" ht="13" x14ac:dyDescent="0.25">
      <c r="D150" s="155"/>
    </row>
  </sheetData>
  <customSheetViews>
    <customSheetView guid="{AF731A35-9978-4A72-829F-F3E8771EE2D4}" scale="90" fitToPage="1" hiddenRows="1" hiddenColumns="1" topLeftCell="B1">
      <pane xSplit="1" ySplit="2" topLeftCell="C3" activePane="bottomRight" state="frozen"/>
      <selection pane="bottomRight" activeCell="H11" sqref="H11:I11"/>
      <pageMargins left="0" right="0" top="0" bottom="0" header="0" footer="0"/>
      <printOptions horizontalCentered="1" verticalCentered="1"/>
      <pageSetup paperSize="8" scale="77" orientation="landscape" r:id="rId1"/>
      <headerFooter alignWithMargins="0">
        <oddFooter>&amp;Lerstellt/freigegeben: M. Mayrhofer&amp;CTourenplan vom:&amp;D&amp;RAusgabedatum: 27.06.06</oddFooter>
      </headerFooter>
    </customSheetView>
  </customSheetViews>
  <mergeCells count="451">
    <mergeCell ref="W6:X6"/>
    <mergeCell ref="Z6:AA6"/>
    <mergeCell ref="C1:AA1"/>
    <mergeCell ref="E2:G2"/>
    <mergeCell ref="J2:L2"/>
    <mergeCell ref="O2:Q2"/>
    <mergeCell ref="T2:V2"/>
    <mergeCell ref="Y2:AA2"/>
    <mergeCell ref="C5:D5"/>
    <mergeCell ref="E5:G5"/>
    <mergeCell ref="H5:I5"/>
    <mergeCell ref="J5:L5"/>
    <mergeCell ref="M5:N5"/>
    <mergeCell ref="O5:Q5"/>
    <mergeCell ref="M7:N7"/>
    <mergeCell ref="P7:Q7"/>
    <mergeCell ref="AD2:AF2"/>
    <mergeCell ref="B3:B7"/>
    <mergeCell ref="C3:D4"/>
    <mergeCell ref="E3:G4"/>
    <mergeCell ref="H3:I4"/>
    <mergeCell ref="J3:L4"/>
    <mergeCell ref="M3:N4"/>
    <mergeCell ref="O3:Q4"/>
    <mergeCell ref="R3:S4"/>
    <mergeCell ref="T3:V4"/>
    <mergeCell ref="R5:S5"/>
    <mergeCell ref="T5:V5"/>
    <mergeCell ref="W5:X5"/>
    <mergeCell ref="Y5:AA5"/>
    <mergeCell ref="AB5:AC5"/>
    <mergeCell ref="AD5:AF5"/>
    <mergeCell ref="W3:X4"/>
    <mergeCell ref="Y3:AA4"/>
    <mergeCell ref="AB3:AC4"/>
    <mergeCell ref="AD3:AF4"/>
    <mergeCell ref="R6:S6"/>
    <mergeCell ref="U6:V6"/>
    <mergeCell ref="H8:I9"/>
    <mergeCell ref="J8:L9"/>
    <mergeCell ref="M8:N9"/>
    <mergeCell ref="Y10:AA10"/>
    <mergeCell ref="AB10:AC10"/>
    <mergeCell ref="AD10:AF10"/>
    <mergeCell ref="AB6:AC6"/>
    <mergeCell ref="AE6:AF6"/>
    <mergeCell ref="C6:D6"/>
    <mergeCell ref="F6:G6"/>
    <mergeCell ref="H6:I6"/>
    <mergeCell ref="K6:L6"/>
    <mergeCell ref="M6:N6"/>
    <mergeCell ref="P6:Q6"/>
    <mergeCell ref="R7:S7"/>
    <mergeCell ref="U7:V7"/>
    <mergeCell ref="W7:X7"/>
    <mergeCell ref="Z7:AA7"/>
    <mergeCell ref="AB7:AC7"/>
    <mergeCell ref="AE7:AF7"/>
    <mergeCell ref="C7:D7"/>
    <mergeCell ref="F7:G7"/>
    <mergeCell ref="H7:I7"/>
    <mergeCell ref="K7:L7"/>
    <mergeCell ref="K11:L11"/>
    <mergeCell ref="M11:N11"/>
    <mergeCell ref="P11:Q11"/>
    <mergeCell ref="R11:S11"/>
    <mergeCell ref="U11:V11"/>
    <mergeCell ref="W11:X11"/>
    <mergeCell ref="AD8:AF9"/>
    <mergeCell ref="C10:D10"/>
    <mergeCell ref="E10:G10"/>
    <mergeCell ref="H10:I10"/>
    <mergeCell ref="J10:L10"/>
    <mergeCell ref="M10:N10"/>
    <mergeCell ref="O10:Q10"/>
    <mergeCell ref="R10:S10"/>
    <mergeCell ref="T10:V10"/>
    <mergeCell ref="W10:X10"/>
    <mergeCell ref="O8:Q9"/>
    <mergeCell ref="R8:S9"/>
    <mergeCell ref="T8:V9"/>
    <mergeCell ref="W8:X9"/>
    <mergeCell ref="Y8:AA9"/>
    <mergeCell ref="AB8:AC9"/>
    <mergeCell ref="C8:D9"/>
    <mergeCell ref="E8:G9"/>
    <mergeCell ref="Z11:AA11"/>
    <mergeCell ref="AB11:AC11"/>
    <mergeCell ref="AE11:AF11"/>
    <mergeCell ref="C12:D12"/>
    <mergeCell ref="F12:G12"/>
    <mergeCell ref="H12:I12"/>
    <mergeCell ref="K12:L12"/>
    <mergeCell ref="M12:N12"/>
    <mergeCell ref="C15:D15"/>
    <mergeCell ref="E15:G15"/>
    <mergeCell ref="H15:I15"/>
    <mergeCell ref="J15:L15"/>
    <mergeCell ref="M15:N15"/>
    <mergeCell ref="O15:Q15"/>
    <mergeCell ref="AE12:AF12"/>
    <mergeCell ref="P12:Q12"/>
    <mergeCell ref="R12:S12"/>
    <mergeCell ref="U12:V12"/>
    <mergeCell ref="W12:X12"/>
    <mergeCell ref="Z12:AA12"/>
    <mergeCell ref="AB12:AC12"/>
    <mergeCell ref="C11:D11"/>
    <mergeCell ref="F11:G11"/>
    <mergeCell ref="H11:I11"/>
    <mergeCell ref="B8:B12"/>
    <mergeCell ref="R15:S15"/>
    <mergeCell ref="T15:V15"/>
    <mergeCell ref="W15:X15"/>
    <mergeCell ref="Y15:AA15"/>
    <mergeCell ref="AB15:AC15"/>
    <mergeCell ref="AD15:AF15"/>
    <mergeCell ref="W13:X14"/>
    <mergeCell ref="Y13:AA14"/>
    <mergeCell ref="AB13:AC14"/>
    <mergeCell ref="AD13:AF14"/>
    <mergeCell ref="B13:B17"/>
    <mergeCell ref="C13:D14"/>
    <mergeCell ref="E13:G14"/>
    <mergeCell ref="H13:I14"/>
    <mergeCell ref="J13:L14"/>
    <mergeCell ref="M13:N14"/>
    <mergeCell ref="O13:Q14"/>
    <mergeCell ref="R13:S14"/>
    <mergeCell ref="T13:V14"/>
    <mergeCell ref="R16:S16"/>
    <mergeCell ref="U16:V16"/>
    <mergeCell ref="R17:S17"/>
    <mergeCell ref="U17:V17"/>
    <mergeCell ref="W16:X16"/>
    <mergeCell ref="Z16:AA16"/>
    <mergeCell ref="AB16:AC16"/>
    <mergeCell ref="AE16:AF16"/>
    <mergeCell ref="C16:D16"/>
    <mergeCell ref="F16:G16"/>
    <mergeCell ref="H16:I16"/>
    <mergeCell ref="K16:L16"/>
    <mergeCell ref="M16:N16"/>
    <mergeCell ref="P16:Q16"/>
    <mergeCell ref="W17:X17"/>
    <mergeCell ref="Z17:AA17"/>
    <mergeCell ref="AB17:AC17"/>
    <mergeCell ref="AE17:AF17"/>
    <mergeCell ref="C17:D17"/>
    <mergeCell ref="F17:G17"/>
    <mergeCell ref="H17:I17"/>
    <mergeCell ref="K17:L17"/>
    <mergeCell ref="M17:N17"/>
    <mergeCell ref="P17:Q17"/>
    <mergeCell ref="AD18:AF19"/>
    <mergeCell ref="C20:D20"/>
    <mergeCell ref="E20:G20"/>
    <mergeCell ref="H20:I20"/>
    <mergeCell ref="J20:L20"/>
    <mergeCell ref="M20:N20"/>
    <mergeCell ref="O20:Q20"/>
    <mergeCell ref="R20:S20"/>
    <mergeCell ref="T20:V20"/>
    <mergeCell ref="W20:X20"/>
    <mergeCell ref="O18:Q19"/>
    <mergeCell ref="R18:S19"/>
    <mergeCell ref="T18:V19"/>
    <mergeCell ref="W18:X19"/>
    <mergeCell ref="Y18:AA19"/>
    <mergeCell ref="AB18:AC19"/>
    <mergeCell ref="C18:D19"/>
    <mergeCell ref="E18:G19"/>
    <mergeCell ref="H18:I19"/>
    <mergeCell ref="J18:L19"/>
    <mergeCell ref="M18:N19"/>
    <mergeCell ref="Y20:AA20"/>
    <mergeCell ref="AB20:AC20"/>
    <mergeCell ref="AD20:AF20"/>
    <mergeCell ref="AE21:AF21"/>
    <mergeCell ref="C22:D22"/>
    <mergeCell ref="F22:G22"/>
    <mergeCell ref="H22:I22"/>
    <mergeCell ref="K22:L22"/>
    <mergeCell ref="M22:N22"/>
    <mergeCell ref="C25:D25"/>
    <mergeCell ref="E25:G25"/>
    <mergeCell ref="H25:I25"/>
    <mergeCell ref="J25:L25"/>
    <mergeCell ref="M25:N25"/>
    <mergeCell ref="O25:Q25"/>
    <mergeCell ref="AE22:AF22"/>
    <mergeCell ref="P22:Q22"/>
    <mergeCell ref="R22:S22"/>
    <mergeCell ref="U22:V22"/>
    <mergeCell ref="W22:X22"/>
    <mergeCell ref="Z22:AA22"/>
    <mergeCell ref="AB22:AC22"/>
    <mergeCell ref="C21:D21"/>
    <mergeCell ref="F21:G21"/>
    <mergeCell ref="H21:I21"/>
    <mergeCell ref="K21:L21"/>
    <mergeCell ref="M21:N21"/>
    <mergeCell ref="O23:Q24"/>
    <mergeCell ref="R23:S24"/>
    <mergeCell ref="T23:V24"/>
    <mergeCell ref="R26:S26"/>
    <mergeCell ref="U26:V26"/>
    <mergeCell ref="R27:S27"/>
    <mergeCell ref="U27:V27"/>
    <mergeCell ref="Z21:AA21"/>
    <mergeCell ref="AB21:AC21"/>
    <mergeCell ref="P21:Q21"/>
    <mergeCell ref="R21:S21"/>
    <mergeCell ref="U21:V21"/>
    <mergeCell ref="W21:X21"/>
    <mergeCell ref="AE26:AF26"/>
    <mergeCell ref="C26:D26"/>
    <mergeCell ref="F26:G26"/>
    <mergeCell ref="H26:I26"/>
    <mergeCell ref="K26:L26"/>
    <mergeCell ref="M26:N26"/>
    <mergeCell ref="P26:Q26"/>
    <mergeCell ref="B18:B22"/>
    <mergeCell ref="R25:S25"/>
    <mergeCell ref="T25:V25"/>
    <mergeCell ref="W25:X25"/>
    <mergeCell ref="Y25:AA25"/>
    <mergeCell ref="AB25:AC25"/>
    <mergeCell ref="AD25:AF25"/>
    <mergeCell ref="W23:X24"/>
    <mergeCell ref="Y23:AA24"/>
    <mergeCell ref="AB23:AC24"/>
    <mergeCell ref="AD23:AF24"/>
    <mergeCell ref="B23:B27"/>
    <mergeCell ref="C23:D24"/>
    <mergeCell ref="E23:G24"/>
    <mergeCell ref="H23:I24"/>
    <mergeCell ref="J23:L24"/>
    <mergeCell ref="M23:N24"/>
    <mergeCell ref="C27:D27"/>
    <mergeCell ref="F27:G27"/>
    <mergeCell ref="H27:I27"/>
    <mergeCell ref="K27:L27"/>
    <mergeCell ref="M27:N27"/>
    <mergeCell ref="P27:Q27"/>
    <mergeCell ref="W26:X26"/>
    <mergeCell ref="Z26:AA26"/>
    <mergeCell ref="AB26:AC26"/>
    <mergeCell ref="H28:I29"/>
    <mergeCell ref="J28:L29"/>
    <mergeCell ref="M28:N29"/>
    <mergeCell ref="Y30:AA30"/>
    <mergeCell ref="AB30:AC30"/>
    <mergeCell ref="AD30:AF30"/>
    <mergeCell ref="W27:X27"/>
    <mergeCell ref="Z27:AA27"/>
    <mergeCell ref="AB27:AC27"/>
    <mergeCell ref="AE27:AF27"/>
    <mergeCell ref="K31:L31"/>
    <mergeCell ref="M31:N31"/>
    <mergeCell ref="P31:Q31"/>
    <mergeCell ref="R31:S31"/>
    <mergeCell ref="U31:V31"/>
    <mergeCell ref="W31:X31"/>
    <mergeCell ref="AD28:AF29"/>
    <mergeCell ref="C30:D30"/>
    <mergeCell ref="E30:G30"/>
    <mergeCell ref="H30:I30"/>
    <mergeCell ref="J30:L30"/>
    <mergeCell ref="M30:N30"/>
    <mergeCell ref="O30:Q30"/>
    <mergeCell ref="R30:S30"/>
    <mergeCell ref="T30:V30"/>
    <mergeCell ref="W30:X30"/>
    <mergeCell ref="O28:Q29"/>
    <mergeCell ref="R28:S29"/>
    <mergeCell ref="T28:V29"/>
    <mergeCell ref="W28:X29"/>
    <mergeCell ref="Y28:AA29"/>
    <mergeCell ref="AB28:AC29"/>
    <mergeCell ref="C28:D29"/>
    <mergeCell ref="E28:G29"/>
    <mergeCell ref="Z31:AA31"/>
    <mergeCell ref="AB31:AC31"/>
    <mergeCell ref="AE31:AF31"/>
    <mergeCell ref="C32:D32"/>
    <mergeCell ref="F32:G32"/>
    <mergeCell ref="H32:I32"/>
    <mergeCell ref="K32:L32"/>
    <mergeCell ref="M32:N32"/>
    <mergeCell ref="C35:D35"/>
    <mergeCell ref="E35:G35"/>
    <mergeCell ref="H35:I35"/>
    <mergeCell ref="J35:L35"/>
    <mergeCell ref="M35:N35"/>
    <mergeCell ref="O35:Q35"/>
    <mergeCell ref="AE32:AF32"/>
    <mergeCell ref="P32:Q32"/>
    <mergeCell ref="R32:S32"/>
    <mergeCell ref="U32:V32"/>
    <mergeCell ref="W32:X32"/>
    <mergeCell ref="Z32:AA32"/>
    <mergeCell ref="AB32:AC32"/>
    <mergeCell ref="C31:D31"/>
    <mergeCell ref="F31:G31"/>
    <mergeCell ref="H31:I31"/>
    <mergeCell ref="B28:B32"/>
    <mergeCell ref="R35:S35"/>
    <mergeCell ref="T35:V35"/>
    <mergeCell ref="W35:X35"/>
    <mergeCell ref="Y35:AA35"/>
    <mergeCell ref="AB35:AC35"/>
    <mergeCell ref="AD35:AF35"/>
    <mergeCell ref="W33:X34"/>
    <mergeCell ref="Y33:AA34"/>
    <mergeCell ref="AB33:AC34"/>
    <mergeCell ref="AD33:AF34"/>
    <mergeCell ref="B33:B37"/>
    <mergeCell ref="C33:D34"/>
    <mergeCell ref="E33:G34"/>
    <mergeCell ref="H33:I34"/>
    <mergeCell ref="J33:L34"/>
    <mergeCell ref="M33:N34"/>
    <mergeCell ref="O33:Q34"/>
    <mergeCell ref="R33:S34"/>
    <mergeCell ref="T33:V34"/>
    <mergeCell ref="R36:S36"/>
    <mergeCell ref="U36:V36"/>
    <mergeCell ref="R37:S37"/>
    <mergeCell ref="U37:V37"/>
    <mergeCell ref="W36:X36"/>
    <mergeCell ref="Z36:AA36"/>
    <mergeCell ref="AB36:AC36"/>
    <mergeCell ref="AE36:AF36"/>
    <mergeCell ref="C36:D36"/>
    <mergeCell ref="F36:G36"/>
    <mergeCell ref="H36:I36"/>
    <mergeCell ref="K36:L36"/>
    <mergeCell ref="M36:N36"/>
    <mergeCell ref="P36:Q36"/>
    <mergeCell ref="M38:N39"/>
    <mergeCell ref="Y40:AA40"/>
    <mergeCell ref="AB40:AC40"/>
    <mergeCell ref="AD40:AF40"/>
    <mergeCell ref="W37:X37"/>
    <mergeCell ref="Z37:AA37"/>
    <mergeCell ref="AB37:AC37"/>
    <mergeCell ref="AE37:AF37"/>
    <mergeCell ref="C37:D37"/>
    <mergeCell ref="F37:G37"/>
    <mergeCell ref="H37:I37"/>
    <mergeCell ref="K37:L37"/>
    <mergeCell ref="M37:N37"/>
    <mergeCell ref="P37:Q37"/>
    <mergeCell ref="P41:Q41"/>
    <mergeCell ref="R41:S41"/>
    <mergeCell ref="U41:V41"/>
    <mergeCell ref="W41:X41"/>
    <mergeCell ref="AD38:AF39"/>
    <mergeCell ref="C40:D40"/>
    <mergeCell ref="E40:G40"/>
    <mergeCell ref="H40:I40"/>
    <mergeCell ref="J40:L40"/>
    <mergeCell ref="M40:N40"/>
    <mergeCell ref="O40:Q40"/>
    <mergeCell ref="R40:S40"/>
    <mergeCell ref="T40:V40"/>
    <mergeCell ref="W40:X40"/>
    <mergeCell ref="O38:Q39"/>
    <mergeCell ref="R38:S39"/>
    <mergeCell ref="T38:V39"/>
    <mergeCell ref="W38:X39"/>
    <mergeCell ref="Y38:AA39"/>
    <mergeCell ref="AB38:AC39"/>
    <mergeCell ref="C38:D39"/>
    <mergeCell ref="E38:G39"/>
    <mergeCell ref="H38:I39"/>
    <mergeCell ref="J38:L39"/>
    <mergeCell ref="AE41:AF41"/>
    <mergeCell ref="C42:D42"/>
    <mergeCell ref="F42:G42"/>
    <mergeCell ref="H42:I42"/>
    <mergeCell ref="K42:L42"/>
    <mergeCell ref="M42:N42"/>
    <mergeCell ref="C45:D45"/>
    <mergeCell ref="E45:G45"/>
    <mergeCell ref="H45:I45"/>
    <mergeCell ref="J45:L45"/>
    <mergeCell ref="M45:N45"/>
    <mergeCell ref="O45:Q45"/>
    <mergeCell ref="AE42:AF42"/>
    <mergeCell ref="P42:Q42"/>
    <mergeCell ref="R42:S42"/>
    <mergeCell ref="U42:V42"/>
    <mergeCell ref="W42:X42"/>
    <mergeCell ref="Z42:AA42"/>
    <mergeCell ref="AB42:AC42"/>
    <mergeCell ref="C41:D41"/>
    <mergeCell ref="F41:G41"/>
    <mergeCell ref="H41:I41"/>
    <mergeCell ref="K41:L41"/>
    <mergeCell ref="M41:N41"/>
    <mergeCell ref="B38:B42"/>
    <mergeCell ref="R45:S45"/>
    <mergeCell ref="T45:V45"/>
    <mergeCell ref="W45:X45"/>
    <mergeCell ref="Y45:AA45"/>
    <mergeCell ref="AB45:AC45"/>
    <mergeCell ref="AD45:AF45"/>
    <mergeCell ref="W43:X44"/>
    <mergeCell ref="Y43:AA44"/>
    <mergeCell ref="AB43:AC44"/>
    <mergeCell ref="AD43:AF44"/>
    <mergeCell ref="B43:B47"/>
    <mergeCell ref="C43:D44"/>
    <mergeCell ref="E43:G44"/>
    <mergeCell ref="H43:I44"/>
    <mergeCell ref="J43:L44"/>
    <mergeCell ref="M43:N44"/>
    <mergeCell ref="O43:Q44"/>
    <mergeCell ref="R43:S44"/>
    <mergeCell ref="T43:V44"/>
    <mergeCell ref="R46:S46"/>
    <mergeCell ref="U46:V46"/>
    <mergeCell ref="Z41:AA41"/>
    <mergeCell ref="AB41:AC41"/>
    <mergeCell ref="W46:X46"/>
    <mergeCell ref="Z46:AA46"/>
    <mergeCell ref="AB46:AC46"/>
    <mergeCell ref="AE46:AF46"/>
    <mergeCell ref="C46:D46"/>
    <mergeCell ref="F46:G46"/>
    <mergeCell ref="H46:I46"/>
    <mergeCell ref="K46:L46"/>
    <mergeCell ref="M46:N46"/>
    <mergeCell ref="P46:Q46"/>
    <mergeCell ref="A48:A49"/>
    <mergeCell ref="B48:B49"/>
    <mergeCell ref="B50:B51"/>
    <mergeCell ref="R47:S47"/>
    <mergeCell ref="U47:V47"/>
    <mergeCell ref="W47:X47"/>
    <mergeCell ref="Z47:AA47"/>
    <mergeCell ref="AB47:AC47"/>
    <mergeCell ref="AE47:AF47"/>
    <mergeCell ref="C47:D47"/>
    <mergeCell ref="F47:G47"/>
    <mergeCell ref="H47:I47"/>
    <mergeCell ref="K47:L47"/>
    <mergeCell ref="M47:N47"/>
    <mergeCell ref="P47:Q47"/>
  </mergeCells>
  <conditionalFormatting sqref="C52:C65 H52:H65 M52:M65 R52:R65 W52:W65 AB52:AB65 D68:D82">
    <cfRule type="expression" dxfId="24" priority="6" stopIfTrue="1">
      <formula>IF(E52=0,1,0)</formula>
    </cfRule>
  </conditionalFormatting>
  <conditionalFormatting sqref="I68:I82">
    <cfRule type="expression" dxfId="23" priority="5" stopIfTrue="1">
      <formula>IF(K68=0,1,0)</formula>
    </cfRule>
  </conditionalFormatting>
  <conditionalFormatting sqref="N68:N82">
    <cfRule type="expression" dxfId="22" priority="4" stopIfTrue="1">
      <formula>IF(P68=0,1,0)</formula>
    </cfRule>
  </conditionalFormatting>
  <conditionalFormatting sqref="S68:S82">
    <cfRule type="expression" dxfId="21" priority="3" stopIfTrue="1">
      <formula>IF(U68=0,1,0)</formula>
    </cfRule>
  </conditionalFormatting>
  <conditionalFormatting sqref="X68:X82">
    <cfRule type="expression" dxfId="20" priority="2" stopIfTrue="1">
      <formula>IF(Z68=0,1,0)</formula>
    </cfRule>
  </conditionalFormatting>
  <conditionalFormatting sqref="AC68:AC82">
    <cfRule type="expression" dxfId="19" priority="1" stopIfTrue="1">
      <formula>IF(AE68=0,1,0)</formula>
    </cfRule>
  </conditionalFormatting>
  <dataValidations count="4">
    <dataValidation type="list" allowBlank="1" showInputMessage="1" showErrorMessage="1" sqref="AD52:AD65 J52:J65 O52:O65 T52:T65 Y52:Y65 E52:E65" xr:uid="{40CF35A9-BD46-441A-AD97-79C003A5AFB1}">
      <formula1>$F$86:$F$107</formula1>
    </dataValidation>
    <dataValidation type="list" allowBlank="1" showInputMessage="1" showErrorMessage="1" sqref="X55:X59 X62:X65" xr:uid="{1D1BFDC7-BD5A-4291-8F19-D5E569271146}">
      <formula1>$D$59:$D$72</formula1>
    </dataValidation>
    <dataValidation type="list" operator="equal" allowBlank="1" showErrorMessage="1" prompt="asldkfjhakldf_x000a_" sqref="H35:I37 R40:S42 H40:I42 C40:D42 W40:X42 AB40:AC42 C35:D37 M45:N47 R45:S47 H45:I47 C45:D47 W45:X47 C5:D7 AB30:AC32 W30:X32 AB35:AC37 W35:X37 R30:S32 M30:N32 H30:I32 M35:N37 R35:S37 M40:N42 AB25:AC27 W25:X27 R25:S27 M25:N27 H25:I27 C25:D27 C20:D22 H20:I22 M20:N22 W20:X22 AB20:AC22 AB15:AC17 W15:X17 M15:N17 H15:I17 C15:D17 C10:D12 AB5:AC7 AB10:AC12 W10:X12 R10:S12 M10:N12 H10:I12 W5:X7 R5:S7 M5:N7 H5:I7 R15:S22 AB45:AC47" xr:uid="{EE9DD93A-A2A1-45C2-B80C-2F28CEDA24B2}">
      <formula1>$D$86:$D$106</formula1>
    </dataValidation>
    <dataValidation type="list" allowBlank="1" showInputMessage="1" showErrorMessage="1" sqref="H52:H65 C52:C65 AB52:AB65 W52:W65 R52:R65 M52:M65" xr:uid="{6878A7C8-BAD2-4D10-A4C9-7AEBF05625D2}">
      <formula1>$D$86:$D$106</formula1>
    </dataValidation>
  </dataValidations>
  <printOptions horizontalCentered="1" verticalCentered="1"/>
  <pageMargins left="0.59055118110236227" right="0.59055118110236227" top="0.19685039370078741" bottom="0.19685039370078741" header="0.19685039370078741" footer="0.19685039370078741"/>
  <pageSetup paperSize="8" scale="77" orientation="landscape" r:id="rId2"/>
  <headerFooter alignWithMargins="0">
    <oddFooter>&amp;Lerstellt/freigegeben: M. Mayrhofer&amp;CTourenplan vom:&amp;D&amp;RAusgabedatum: 27.06.06</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7E87BC25DC702F4B9597B84D8C0169AF" ma:contentTypeVersion="11" ma:contentTypeDescription="Ein neues Dokument erstellen." ma:contentTypeScope="" ma:versionID="6aae313fb96afbb070056bcf5cb3e3c4">
  <xsd:schema xmlns:xsd="http://www.w3.org/2001/XMLSchema" xmlns:xs="http://www.w3.org/2001/XMLSchema" xmlns:p="http://schemas.microsoft.com/office/2006/metadata/properties" xmlns:ns2="81321236-30d4-4c44-ad33-21383f59b884" targetNamespace="http://schemas.microsoft.com/office/2006/metadata/properties" ma:root="true" ma:fieldsID="38a9940647411159706d890c456cf87c" ns2:_="">
    <xsd:import namespace="81321236-30d4-4c44-ad33-21383f59b88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1321236-30d4-4c44-ad33-21383f59b88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Bildmarkierungen" ma:readOnly="false" ma:fieldId="{5cf76f15-5ced-4ddc-b409-7134ff3c332f}" ma:taxonomyMulti="true" ma:sspId="fdd0ed1d-c717-4483-8842-e4e93f781d13" ma:termSetId="09814cd3-568e-fe90-9814-8d621ff8fb84" ma:anchorId="fba54fb3-c3e1-fe81-a776-ca4b69148c4d" ma:open="true" ma:isKeyword="false">
      <xsd:complexType>
        <xsd:sequence>
          <xsd:element ref="pc:Terms" minOccurs="0" maxOccurs="1"/>
        </xsd:sequence>
      </xsd:complex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81321236-30d4-4c44-ad33-21383f59b884">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9BDA3099-DE4E-45FC-A30C-5F0D635AAC9A}">
  <ds:schemaRefs>
    <ds:schemaRef ds:uri="http://schemas.microsoft.com/sharepoint/v3/contenttype/forms"/>
  </ds:schemaRefs>
</ds:datastoreItem>
</file>

<file path=customXml/itemProps2.xml><?xml version="1.0" encoding="utf-8"?>
<ds:datastoreItem xmlns:ds="http://schemas.openxmlformats.org/officeDocument/2006/customXml" ds:itemID="{F9A58397-92E8-4A35-A2E0-EDB3733F581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1321236-30d4-4c44-ad33-21383f59b88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77C205-B99F-4CBC-885A-953E154D8458}">
  <ds:schemaRefs>
    <ds:schemaRef ds:uri="http://schemas.microsoft.com/office/2006/metadata/properties"/>
    <ds:schemaRef ds:uri="http://schemas.microsoft.com/office/infopath/2007/PartnerControls"/>
    <ds:schemaRef ds:uri="81321236-30d4-4c44-ad33-21383f59b884"/>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10</vt:i4>
      </vt:variant>
      <vt:variant>
        <vt:lpstr>Benannte Bereiche</vt:lpstr>
      </vt:variant>
      <vt:variant>
        <vt:i4>8</vt:i4>
      </vt:variant>
    </vt:vector>
  </HeadingPairs>
  <TitlesOfParts>
    <vt:vector size="18" baseType="lpstr">
      <vt:lpstr>NOS_Tourenkonzept</vt:lpstr>
      <vt:lpstr>Tourenplan_BML_WNeudorf</vt:lpstr>
      <vt:lpstr>Tourenplan_BML_Graz</vt:lpstr>
      <vt:lpstr>Tourenplan_BML_Klagenfurt</vt:lpstr>
      <vt:lpstr>Tourenplan_BML_Innsbruck</vt:lpstr>
      <vt:lpstr>Tourenplan_BML_Linz</vt:lpstr>
      <vt:lpstr>Tourenplan_BML_Dornbirn</vt:lpstr>
      <vt:lpstr>Tourenplan_BML_Deutschland</vt:lpstr>
      <vt:lpstr>NOS_Tourenkonzept_Print</vt:lpstr>
      <vt:lpstr>Wochenplan_BML</vt:lpstr>
      <vt:lpstr>Tourenplan_BML_Deutschland!Druckbereich</vt:lpstr>
      <vt:lpstr>Tourenplan_BML_Dornbirn!Druckbereich</vt:lpstr>
      <vt:lpstr>Tourenplan_BML_Graz!Druckbereich</vt:lpstr>
      <vt:lpstr>Tourenplan_BML_Innsbruck!Druckbereich</vt:lpstr>
      <vt:lpstr>Tourenplan_BML_Klagenfurt!Druckbereich</vt:lpstr>
      <vt:lpstr>Tourenplan_BML_Linz!Druckbereich</vt:lpstr>
      <vt:lpstr>Tourenplan_BML_WNeudorf!Druckbereich</vt:lpstr>
      <vt:lpstr>Wochenplan_BML!Druckbereich</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Zellhofer Erik</dc:creator>
  <cp:keywords/>
  <dc:description/>
  <cp:lastModifiedBy>Zellhofer Erik</cp:lastModifiedBy>
  <cp:revision/>
  <cp:lastPrinted>2025-03-22T22:33:35Z</cp:lastPrinted>
  <dcterms:created xsi:type="dcterms:W3CDTF">2025-03-12T10:33:24Z</dcterms:created>
  <dcterms:modified xsi:type="dcterms:W3CDTF">2025-03-23T21:34:41Z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0x0101007E87BC25DC702F4B9597B84D8C0169AF</vt:lpwstr>
  </property>
  <property fmtid="{D5CDD505-2E9C-101B-9397-08002B2CF9AE}" pid="3" name="MediaServiceImageTags">
    <vt:lpwstr/>
  </property>
</Properties>
</file>
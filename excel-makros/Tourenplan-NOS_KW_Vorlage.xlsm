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https://bgoworks-my.sharepoint.com/personal/erik_zellhofer_bgo-montage_com/Documents/Dokumente/BGO_Holding/Vorlagen_BGO/NOS/"/>
    </mc:Choice>
  </mc:AlternateContent>
  <xr:revisionPtr revIDLastSave="79576" documentId="8_{D2FD23ED-18B9-483B-9D12-662C684FEC24}" xr6:coauthVersionLast="47" xr6:coauthVersionMax="47" xr10:uidLastSave="{5DC5E8C1-4ACB-455B-A9F3-AC4A03F401F6}"/>
  <bookViews>
    <workbookView xWindow="-28920" yWindow="5235" windowWidth="29040" windowHeight="15720" tabRatio="901" xr2:uid="{00000000-000D-0000-FFFF-FFFF00000000}"/>
  </bookViews>
  <sheets>
    <sheet name="Tourenplan Dispo" sheetId="16" r:id="rId1"/>
    <sheet name="Wochenplan SC Graz" sheetId="27" r:id="rId2"/>
    <sheet name="Wochenplan SC Klagenfurt" sheetId="28" r:id="rId3"/>
    <sheet name="Wochenplan SC Innsbruck" sheetId="29" r:id="rId4"/>
    <sheet name="Wochenplan SC Bregenz" sheetId="30" r:id="rId5"/>
    <sheet name="SYWA-KW12_fein" sheetId="31" r:id="rId6"/>
    <sheet name="TempCalcSheet" sheetId="21" state="veryHidden" r:id="rId7"/>
  </sheets>
  <functionGroups builtInGroupCount="19"/>
  <definedNames>
    <definedName name="_xleta.DATE" hidden="1" xlm="1">#NAME?</definedName>
    <definedName name="_xlnm.Print_Area" localSheetId="0">'Tourenplan Dispo'!$A$1:$S$38</definedName>
    <definedName name="_xlnm.Print_Area" localSheetId="4">'Wochenplan SC Bregenz'!$A$1:$AF$64</definedName>
    <definedName name="_xlnm.Print_Area" localSheetId="1">'Wochenplan SC Graz'!$B$1:$AF$65</definedName>
    <definedName name="_xlnm.Print_Area" localSheetId="3">'Wochenplan SC Innsbruck'!$A$1:$AF$70</definedName>
    <definedName name="_xlnm.Print_Area" localSheetId="2">'Wochenplan SC Klagenfurt'!$B$1:$AF$60</definedName>
  </definedNames>
  <calcPr calcId="191028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71" i="30" l="1"/>
  <c r="Z75" i="30"/>
  <c r="P68" i="30"/>
  <c r="F72" i="30"/>
  <c r="AE68" i="30"/>
  <c r="U75" i="30"/>
  <c r="Z72" i="30"/>
  <c r="K68" i="30"/>
  <c r="U70" i="30"/>
  <c r="P70" i="30"/>
  <c r="K69" i="30"/>
  <c r="F74" i="30"/>
  <c r="Z87" i="29"/>
  <c r="F84" i="29"/>
  <c r="U82" i="29"/>
  <c r="Z74" i="29"/>
  <c r="U74" i="29"/>
  <c r="P86" i="29"/>
  <c r="K75" i="29"/>
  <c r="Z80" i="29"/>
  <c r="P80" i="29"/>
  <c r="K84" i="29"/>
  <c r="F88" i="29"/>
  <c r="I2" i="29"/>
  <c r="I2" i="28"/>
  <c r="I2" i="27"/>
  <c r="I2" i="30"/>
  <c r="F83" i="29"/>
  <c r="K80" i="29"/>
  <c r="U75" i="29"/>
  <c r="F77" i="29"/>
  <c r="AE76" i="30" l="1"/>
  <c r="Z86" i="29"/>
  <c r="F82" i="29"/>
  <c r="P78" i="29"/>
  <c r="K78" i="29"/>
  <c r="AC2" i="28"/>
  <c r="P74" i="30"/>
  <c r="P84" i="29"/>
  <c r="Z70" i="30"/>
  <c r="X2" i="28"/>
  <c r="N2" i="28"/>
  <c r="S2" i="28"/>
  <c r="AE81" i="29"/>
  <c r="AE69" i="27"/>
  <c r="AC2" i="29"/>
  <c r="S2" i="30"/>
  <c r="K66" i="28"/>
  <c r="U80" i="27"/>
  <c r="S2" i="29"/>
  <c r="N2" i="29"/>
  <c r="F66" i="28"/>
  <c r="K77" i="27"/>
  <c r="X2" i="29"/>
  <c r="X2" i="30"/>
  <c r="AC2" i="30"/>
  <c r="K65" i="28"/>
  <c r="AE75" i="29"/>
  <c r="N2" i="30"/>
  <c r="U73" i="27"/>
  <c r="F65" i="28"/>
  <c r="AE80" i="27"/>
  <c r="AE63" i="28"/>
  <c r="U69" i="27"/>
  <c r="AE74" i="27"/>
  <c r="Z63" i="28"/>
  <c r="K71" i="27"/>
  <c r="AE76" i="27"/>
  <c r="F71" i="27"/>
  <c r="AE65" i="28"/>
  <c r="AE64" i="28"/>
  <c r="K73" i="27"/>
  <c r="Z74" i="27"/>
  <c r="U78" i="27"/>
  <c r="P65" i="28"/>
  <c r="F64" i="28"/>
  <c r="U64" i="28"/>
  <c r="P64" i="28"/>
  <c r="P69" i="27"/>
  <c r="F73" i="27"/>
  <c r="K64" i="28"/>
  <c r="AE78" i="27"/>
  <c r="P78" i="27"/>
  <c r="Z80" i="27"/>
  <c r="F77" i="27"/>
  <c r="Z69" i="27"/>
  <c r="AE76" i="29"/>
  <c r="U87" i="29"/>
  <c r="F76" i="27"/>
  <c r="K83" i="29"/>
  <c r="K73" i="30"/>
  <c r="U68" i="27"/>
  <c r="P79" i="29"/>
  <c r="F72" i="27"/>
  <c r="AE82" i="29"/>
  <c r="K78" i="27"/>
  <c r="U74" i="27"/>
  <c r="P85" i="29"/>
  <c r="F78" i="29"/>
  <c r="P75" i="30"/>
  <c r="F68" i="30"/>
  <c r="F78" i="27"/>
  <c r="Z70" i="27"/>
  <c r="P63" i="28"/>
  <c r="K85" i="29"/>
  <c r="K74" i="29"/>
  <c r="K75" i="30"/>
  <c r="K74" i="27"/>
  <c r="K63" i="28"/>
  <c r="F85" i="29"/>
  <c r="Z77" i="29"/>
  <c r="F75" i="30"/>
  <c r="F74" i="27"/>
  <c r="Z66" i="28"/>
  <c r="U88" i="29"/>
  <c r="K81" i="29"/>
  <c r="K71" i="30"/>
  <c r="U77" i="27"/>
  <c r="AE73" i="27"/>
  <c r="K70" i="27"/>
  <c r="U66" i="28"/>
  <c r="P88" i="29"/>
  <c r="Z84" i="29"/>
  <c r="F81" i="29"/>
  <c r="P77" i="29"/>
  <c r="Z74" i="30"/>
  <c r="F71" i="30"/>
  <c r="U80" i="29"/>
  <c r="K74" i="30"/>
  <c r="AE83" i="29"/>
  <c r="AE73" i="30"/>
  <c r="Z79" i="27"/>
  <c r="U79" i="29"/>
  <c r="U69" i="30"/>
  <c r="U79" i="27"/>
  <c r="Z75" i="29"/>
  <c r="Z75" i="27"/>
  <c r="K79" i="29"/>
  <c r="AE70" i="27"/>
  <c r="U63" i="28"/>
  <c r="Z81" i="29"/>
  <c r="P74" i="29"/>
  <c r="Z71" i="30"/>
  <c r="P74" i="27"/>
  <c r="AE88" i="29"/>
  <c r="U81" i="29"/>
  <c r="AE77" i="29"/>
  <c r="U71" i="30"/>
  <c r="AE77" i="27"/>
  <c r="U70" i="27"/>
  <c r="AE66" i="28"/>
  <c r="Z88" i="29"/>
  <c r="P81" i="29"/>
  <c r="F74" i="29"/>
  <c r="P71" i="30"/>
  <c r="Z77" i="27"/>
  <c r="P70" i="27"/>
  <c r="F63" i="28"/>
  <c r="AE84" i="29"/>
  <c r="U77" i="29"/>
  <c r="AE74" i="30"/>
  <c r="P77" i="27"/>
  <c r="Z73" i="27"/>
  <c r="F70" i="27"/>
  <c r="P66" i="28"/>
  <c r="K88" i="29"/>
  <c r="U84" i="29"/>
  <c r="AE80" i="29"/>
  <c r="K77" i="29"/>
  <c r="U74" i="30"/>
  <c r="AE70" i="30"/>
  <c r="K70" i="30"/>
  <c r="U76" i="27"/>
  <c r="U65" i="28"/>
  <c r="P87" i="29"/>
  <c r="Z83" i="29"/>
  <c r="F80" i="29"/>
  <c r="P76" i="29"/>
  <c r="Z73" i="30"/>
  <c r="F70" i="30"/>
  <c r="AE72" i="27"/>
  <c r="F80" i="27"/>
  <c r="F69" i="27"/>
  <c r="K87" i="29"/>
  <c r="AE79" i="29"/>
  <c r="K76" i="29"/>
  <c r="U73" i="30"/>
  <c r="AE69" i="30"/>
  <c r="K80" i="27"/>
  <c r="K69" i="27"/>
  <c r="P76" i="27"/>
  <c r="Z72" i="27"/>
  <c r="U83" i="29"/>
  <c r="AE79" i="27"/>
  <c r="K76" i="27"/>
  <c r="U72" i="27"/>
  <c r="AE68" i="27"/>
  <c r="F87" i="29"/>
  <c r="P83" i="29"/>
  <c r="Z79" i="29"/>
  <c r="F76" i="29"/>
  <c r="P73" i="30"/>
  <c r="Z69" i="30"/>
  <c r="P80" i="27"/>
  <c r="P72" i="27"/>
  <c r="Z76" i="30"/>
  <c r="F69" i="30"/>
  <c r="Z76" i="29"/>
  <c r="AE72" i="30"/>
  <c r="F79" i="29"/>
  <c r="P75" i="27"/>
  <c r="AE71" i="27"/>
  <c r="P76" i="30"/>
  <c r="AE78" i="29"/>
  <c r="P82" i="29"/>
  <c r="K82" i="29"/>
  <c r="U78" i="29"/>
  <c r="AE74" i="29"/>
  <c r="AE75" i="30"/>
  <c r="K72" i="30"/>
  <c r="U68" i="30"/>
  <c r="P73" i="27"/>
  <c r="AE75" i="27"/>
  <c r="K79" i="27"/>
  <c r="Z82" i="29"/>
  <c r="AE87" i="29"/>
  <c r="Z76" i="27"/>
  <c r="Z65" i="28"/>
  <c r="U76" i="29"/>
  <c r="Z68" i="27"/>
  <c r="AE86" i="29"/>
  <c r="K72" i="27"/>
  <c r="F73" i="30"/>
  <c r="P69" i="30"/>
  <c r="P79" i="27"/>
  <c r="P68" i="27"/>
  <c r="Z64" i="28"/>
  <c r="U86" i="29"/>
  <c r="U76" i="30"/>
  <c r="U75" i="27"/>
  <c r="K68" i="27"/>
  <c r="P75" i="29"/>
  <c r="F79" i="27"/>
  <c r="Z71" i="27"/>
  <c r="F68" i="27"/>
  <c r="AC2" i="27"/>
  <c r="K86" i="29"/>
  <c r="K76" i="30"/>
  <c r="U72" i="30"/>
  <c r="K75" i="27"/>
  <c r="U71" i="27"/>
  <c r="X2" i="27"/>
  <c r="F86" i="29"/>
  <c r="Z78" i="29"/>
  <c r="F75" i="29"/>
  <c r="F76" i="30"/>
  <c r="P72" i="30"/>
  <c r="Z68" i="30"/>
  <c r="Z78" i="27"/>
  <c r="F75" i="27"/>
  <c r="P71" i="27"/>
  <c r="S2" i="27"/>
  <c r="AE85" i="29"/>
  <c r="N2" i="27"/>
  <c r="Z85" i="29"/>
  <c r="U85" i="29"/>
  <c r="C115" i="16" l="1"/>
  <c r="F115" i="16"/>
  <c r="I115" i="16"/>
  <c r="L115" i="16"/>
  <c r="O115" i="16"/>
  <c r="R115" i="16"/>
  <c r="E74" i="16"/>
  <c r="H74" i="16" s="1"/>
  <c r="K74" i="16" s="1"/>
  <c r="N74" i="16" s="1"/>
  <c r="Q74" i="16" s="1"/>
  <c r="E41" i="16"/>
  <c r="H41" i="16" s="1"/>
  <c r="K41" i="16" s="1"/>
  <c r="N41" i="16" s="1"/>
  <c r="Q41" i="16" s="1"/>
  <c r="N40" i="16"/>
  <c r="N1" i="16"/>
  <c r="E114" i="16" l="1"/>
  <c r="B114" i="16"/>
  <c r="E2" i="16"/>
  <c r="H2" i="16" s="1"/>
  <c r="K2" i="16" s="1"/>
  <c r="N2" i="16" s="1"/>
  <c r="Q2" i="16" s="1"/>
  <c r="N141" i="16"/>
  <c r="K141" i="16"/>
  <c r="H141" i="16"/>
  <c r="E141" i="16"/>
  <c r="N106" i="16"/>
  <c r="K106" i="16"/>
  <c r="H106" i="16"/>
  <c r="E106" i="16"/>
  <c r="E40" i="16" l="1"/>
  <c r="E73" i="16" s="1"/>
  <c r="B40" i="16"/>
  <c r="B73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Morawetz</author>
  </authors>
  <commentList>
    <comment ref="A67" authorId="0" shapeId="0" xr:uid="{93BC3032-F699-497E-B4E9-6BCA5CED5363}">
      <text>
        <r>
          <rPr>
            <b/>
            <sz val="9"/>
            <color indexed="81"/>
            <rFont val="Tahoma"/>
            <family val="2"/>
          </rPr>
          <t>Peter Morawetz:</t>
        </r>
        <r>
          <rPr>
            <sz val="9"/>
            <color indexed="81"/>
            <rFont val="Tahoma"/>
            <family val="2"/>
          </rPr>
          <t xml:space="preserve">
SOLL: vom SC gemeldete Personalkapazität
IST: von Dispo benötigte Personalkapazität</t>
        </r>
      </text>
    </comment>
    <comment ref="A106" authorId="0" shapeId="0" xr:uid="{C201C410-5AE8-4933-A651-F8AC5C793A43}">
      <text>
        <r>
          <rPr>
            <b/>
            <sz val="9"/>
            <color indexed="81"/>
            <rFont val="Tahoma"/>
            <family val="2"/>
          </rPr>
          <t>Peter Morawetz:</t>
        </r>
        <r>
          <rPr>
            <sz val="9"/>
            <color indexed="81"/>
            <rFont val="Tahoma"/>
            <family val="2"/>
          </rPr>
          <t xml:space="preserve">
SOLL: vom SC gemeldete Personalkapazität
IST: von Dispo benötigte Personalkapazität</t>
        </r>
      </text>
    </comment>
    <comment ref="A141" authorId="0" shapeId="0" xr:uid="{43136556-E69F-4643-9575-521738CC91E5}">
      <text>
        <r>
          <rPr>
            <b/>
            <sz val="9"/>
            <color indexed="81"/>
            <rFont val="Tahoma"/>
            <family val="2"/>
          </rPr>
          <t>Peter Morawetz:</t>
        </r>
        <r>
          <rPr>
            <sz val="9"/>
            <color indexed="81"/>
            <rFont val="Tahoma"/>
            <family val="2"/>
          </rPr>
          <t xml:space="preserve">
SOLL: vom SC gemeldete Personalkapazität
IST: von Dispo benötigte Personalkapazität</t>
        </r>
      </text>
    </comment>
  </commentList>
</comments>
</file>

<file path=xl/sharedStrings.xml><?xml version="1.0" encoding="utf-8"?>
<sst xmlns="http://schemas.openxmlformats.org/spreadsheetml/2006/main" count="1708" uniqueCount="157">
  <si>
    <t>MO</t>
  </si>
  <si>
    <t>DI</t>
  </si>
  <si>
    <t>MI</t>
  </si>
  <si>
    <t>DO</t>
  </si>
  <si>
    <t>FR</t>
  </si>
  <si>
    <t>SA</t>
  </si>
  <si>
    <t>BGO Bus 1
WY-152AX</t>
  </si>
  <si>
    <t>BGO Bus 2
WY-154AX</t>
  </si>
  <si>
    <t>BGO Bus 3
WY-685AW</t>
  </si>
  <si>
    <t>LKW - Kesic</t>
  </si>
  <si>
    <t>PARTIE - KLF</t>
  </si>
  <si>
    <t>Sped. Winkler</t>
  </si>
  <si>
    <t>Personal Hali</t>
  </si>
  <si>
    <t xml:space="preserve">SOLL: </t>
  </si>
  <si>
    <t xml:space="preserve">IST: </t>
  </si>
  <si>
    <t>Überstellung Spedition Winkler</t>
  </si>
  <si>
    <t>BGO Bus 1
WY-155AX</t>
  </si>
  <si>
    <t>PARTIE - GRAZ</t>
  </si>
  <si>
    <t>LKW - Riegler</t>
  </si>
  <si>
    <t>T</t>
  </si>
  <si>
    <t>BGO 1 3,5T
WY-980 AY</t>
  </si>
  <si>
    <t>BGO LKW 7,5T
WY-647 AN</t>
  </si>
  <si>
    <t>BGO Bus 2 
WY-457 AV</t>
  </si>
  <si>
    <t>LKW - Kapeller</t>
  </si>
  <si>
    <t>Direkt - Lieferungen</t>
  </si>
  <si>
    <t>IST:</t>
  </si>
  <si>
    <t>ULGB -BOX</t>
  </si>
  <si>
    <t>Montag</t>
  </si>
  <si>
    <t>EAUF+ Cont.-Anz.</t>
  </si>
  <si>
    <t>Dienstag</t>
  </si>
  <si>
    <t>Mittwoch</t>
  </si>
  <si>
    <t>Donnerstag</t>
  </si>
  <si>
    <t>Freitag</t>
  </si>
  <si>
    <t>Samstag</t>
  </si>
  <si>
    <t>Abfahrt:</t>
  </si>
  <si>
    <t>Ankunft:</t>
  </si>
  <si>
    <t>Überstellung</t>
  </si>
  <si>
    <t>Abwesend</t>
  </si>
  <si>
    <t>Bauer</t>
  </si>
  <si>
    <t>Mazzoleni</t>
  </si>
  <si>
    <t>Hofmarcher</t>
  </si>
  <si>
    <t>Grill</t>
  </si>
  <si>
    <t>Petrovic</t>
  </si>
  <si>
    <t>Kropfitsch</t>
  </si>
  <si>
    <t>Almer</t>
  </si>
  <si>
    <t>Rabensteiner</t>
  </si>
  <si>
    <t>Lelic</t>
  </si>
  <si>
    <t>Kovacevic</t>
  </si>
  <si>
    <t>Nadarevic</t>
  </si>
  <si>
    <t>Zivaljevic</t>
  </si>
  <si>
    <t>Tutic</t>
  </si>
  <si>
    <t>Frei</t>
  </si>
  <si>
    <t>Krank</t>
  </si>
  <si>
    <t>Reserve</t>
  </si>
  <si>
    <t>Urlaub</t>
  </si>
  <si>
    <t>ZA</t>
  </si>
  <si>
    <t>Helfer Kesic 1</t>
  </si>
  <si>
    <t>Helfer Kesic 2</t>
  </si>
  <si>
    <t>Helfer Kesic 3</t>
  </si>
  <si>
    <t>Helfer Kesic 4</t>
  </si>
  <si>
    <t>Helfer Jobcreativ 1</t>
  </si>
  <si>
    <t>Helfer Jobcreativ 2</t>
  </si>
  <si>
    <t>Helfer Actief Jobm. 1</t>
  </si>
  <si>
    <t>Helfer Actief Jobm. 2</t>
  </si>
  <si>
    <t>Bader</t>
  </si>
  <si>
    <t>Rösch</t>
  </si>
  <si>
    <t>Lang</t>
  </si>
  <si>
    <t>Wuzzela</t>
  </si>
  <si>
    <t>Riegler Monteur 1</t>
  </si>
  <si>
    <t>Riegler Monteur 2</t>
  </si>
  <si>
    <t>Riegler Monteur 3</t>
  </si>
  <si>
    <t>Riegler Monteur 4</t>
  </si>
  <si>
    <t>SYWA-Montagen KW 12 / 2016 SC Graz</t>
  </si>
  <si>
    <t>Monteure</t>
  </si>
  <si>
    <t>AB-Nr.</t>
  </si>
  <si>
    <t>Kunde</t>
  </si>
  <si>
    <t>Ort</t>
  </si>
  <si>
    <t>Art.</t>
  </si>
  <si>
    <t>Std.</t>
  </si>
  <si>
    <t>E-AUF</t>
  </si>
  <si>
    <t>Lief.</t>
  </si>
  <si>
    <t>MB</t>
  </si>
  <si>
    <t>Fert.</t>
  </si>
  <si>
    <t>Sonstiges</t>
  </si>
  <si>
    <t>SYWA-Montagen KW 12 / 2016 SC Klagenfurt</t>
  </si>
  <si>
    <t>SYWA-Montagen KW 12 / 2016 SC Innsbruck</t>
  </si>
  <si>
    <t>SYWA-Montagen KW 12 / 2016 SC Bregenz</t>
  </si>
  <si>
    <t>SC Klagenfurt</t>
  </si>
  <si>
    <t>SC Tirol</t>
  </si>
  <si>
    <t xml:space="preserve">KW 02 / 2025 </t>
  </si>
  <si>
    <t>SC VORB.- CZ-FL</t>
  </si>
  <si>
    <t/>
  </si>
  <si>
    <t>Container</t>
  </si>
  <si>
    <t>Date</t>
  </si>
  <si>
    <t>Time</t>
  </si>
  <si>
    <t>CellRow</t>
  </si>
  <si>
    <t>CellCol</t>
  </si>
  <si>
    <t>FractionCol</t>
  </si>
  <si>
    <t>SortKey</t>
  </si>
  <si>
    <t>1899-12-30 08:00:00</t>
  </si>
  <si>
    <t>1899-12-30 00:00:00</t>
  </si>
  <si>
    <t>1899-12-30 09:00:00</t>
  </si>
  <si>
    <t>1899-12-30 08:30:00</t>
  </si>
  <si>
    <t>1899-12-30 08:15:00</t>
  </si>
  <si>
    <t>1899-12-30 08:45:00</t>
  </si>
  <si>
    <t>SC TEST TOUR 80</t>
  </si>
  <si>
    <t>SC TEST TOUR 10</t>
  </si>
  <si>
    <t>SC TEST TOUR 40</t>
  </si>
  <si>
    <t>SC TEST TOUR 50</t>
  </si>
  <si>
    <t>2 BML</t>
  </si>
  <si>
    <r>
      <t xml:space="preserve">Tourenplan </t>
    </r>
    <r>
      <rPr>
        <b/>
        <sz val="36"/>
        <color rgb="FF00B0F0"/>
        <rFont val="Arial"/>
        <family val="2"/>
      </rPr>
      <t xml:space="preserve"> </t>
    </r>
    <r>
      <rPr>
        <b/>
        <sz val="36"/>
        <rFont val="Arial"/>
        <family val="2"/>
      </rPr>
      <t>für</t>
    </r>
  </si>
  <si>
    <t>BML - NOS</t>
  </si>
  <si>
    <t>SC Graz</t>
  </si>
  <si>
    <t>SC TEST TOUR 20</t>
  </si>
  <si>
    <t>SC TEST TOUR 90</t>
  </si>
  <si>
    <t>2 BML + 2 LP</t>
  </si>
  <si>
    <t>4 BML</t>
  </si>
  <si>
    <t>3 BML</t>
  </si>
  <si>
    <t>FirmaABC Innsbruck 31</t>
  </si>
  <si>
    <t>FirmaDEF Innsbruck 32</t>
  </si>
  <si>
    <t>2 BML + 4 LP</t>
  </si>
  <si>
    <t>5 BML</t>
  </si>
  <si>
    <t>Agostini T.</t>
  </si>
  <si>
    <t>Breidenbach G.</t>
  </si>
  <si>
    <t>Prilmüller N.</t>
  </si>
  <si>
    <t>Unterlechner C.</t>
  </si>
  <si>
    <t>Fremdmonteur 1</t>
  </si>
  <si>
    <t>Fremdmonteur 2</t>
  </si>
  <si>
    <t>Fremdmonteur 3</t>
  </si>
  <si>
    <t>Fremdmonteur 4</t>
  </si>
  <si>
    <t>Fremdmonteur 5</t>
  </si>
  <si>
    <t>Fremdmonteur 6</t>
  </si>
  <si>
    <t>Fremdmonteur 7</t>
  </si>
  <si>
    <t>Fremdmonteur 8</t>
  </si>
  <si>
    <t>Fremdmonteur 9</t>
  </si>
  <si>
    <t>Fremdmonteur 10</t>
  </si>
  <si>
    <t>Dür M.</t>
  </si>
  <si>
    <t>Mathis E.</t>
  </si>
  <si>
    <t>Scheffknecht D.</t>
  </si>
  <si>
    <t>Vollweiter W.</t>
  </si>
  <si>
    <t>1/2</t>
  </si>
  <si>
    <t>2/2</t>
  </si>
  <si>
    <t>Date Error</t>
  </si>
  <si>
    <t>1/4</t>
  </si>
  <si>
    <t>2/4</t>
  </si>
  <si>
    <t>3/4</t>
  </si>
  <si>
    <t>4/4</t>
  </si>
  <si>
    <t>1/1</t>
  </si>
  <si>
    <t>1/3</t>
  </si>
  <si>
    <t>2/3</t>
  </si>
  <si>
    <t>3/3</t>
  </si>
  <si>
    <t>11+4</t>
  </si>
  <si>
    <t>6+4</t>
  </si>
  <si>
    <t>Tourenplan BML - Hali für KW 02 / 2025 SC Graz</t>
  </si>
  <si>
    <t>STEHT</t>
  </si>
  <si>
    <t xml:space="preserve"> </t>
  </si>
  <si>
    <t xml:space="preserve">STEHT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</si>
</sst>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407]d/\ mmm/\ yy;@"/>
    <numFmt numFmtId="165" formatCode="00000"/>
    <numFmt numFmtId="166" formatCode="0.00&quot; LE m³&quot;"/>
    <numFmt numFmtId="167" formatCode="&quot;Cont.:&quot;\ 000"/>
    <numFmt numFmtId="168" formatCode="&quot;T-Nr.:&quot;\ 000000"/>
    <numFmt numFmtId="169" formatCode="#####0&quot; kg&quot;"/>
    <numFmt numFmtId="170" formatCode="[$-407]dddd\,\ d/\ mmmm\ yyyy"/>
    <numFmt numFmtId="171" formatCode="&quot;KW&quot;\ 0&quot; / 2025&quot;"/>
  </numFmts>
  <fonts count="36" x14ac:knownFonts="1">
    <font>
      <sz val="12"/>
      <name val="Arial"/>
    </font>
    <font>
      <sz val="12"/>
      <name val="Arial"/>
      <family val="2"/>
    </font>
    <font>
      <b/>
      <sz val="24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8"/>
      <name val="Arial"/>
      <family val="2"/>
    </font>
    <font>
      <b/>
      <sz val="1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36"/>
      <name val="Arial"/>
      <family val="2"/>
    </font>
    <font>
      <b/>
      <sz val="9"/>
      <color indexed="1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sz val="8"/>
      <name val="Arial"/>
      <family val="2"/>
    </font>
    <font>
      <sz val="16"/>
      <color rgb="FF008000"/>
      <name val="Arial"/>
      <family val="2"/>
    </font>
    <font>
      <sz val="16"/>
      <color rgb="FFFF0000"/>
      <name val="Arial"/>
      <family val="2"/>
    </font>
    <font>
      <sz val="20"/>
      <color rgb="FFFF0000"/>
      <name val="Arial"/>
      <family val="2"/>
    </font>
    <font>
      <b/>
      <sz val="16"/>
      <color rgb="FFFF0000"/>
      <name val="Arial"/>
      <family val="2"/>
    </font>
    <font>
      <b/>
      <sz val="36"/>
      <color rgb="FF009900"/>
      <name val="Arial"/>
      <family val="2"/>
    </font>
    <font>
      <sz val="16"/>
      <name val="Arial"/>
      <family val="2"/>
    </font>
    <font>
      <b/>
      <sz val="36"/>
      <color rgb="FF00B0F0"/>
      <name val="Arial"/>
      <family val="2"/>
    </font>
    <font>
      <sz val="16"/>
      <color rgb="FFFFFFFF"/>
      <name val="Arial"/>
      <family val="2"/>
    </font>
    <font>
      <sz val="16"/>
      <color rgb="FF000000"/>
      <name val="Arial"/>
      <family val="2"/>
    </font>
    <font>
      <b/>
      <sz val="16"/>
      <color rgb="FF000000"/>
      <name val="Arial"/>
      <family val="2"/>
    </font>
    <font>
      <sz val="8"/>
      <color indexed="10"/>
      <name val="Arial"/>
      <family val="2"/>
    </font>
    <font>
      <b/>
      <sz val="10"/>
      <color rgb="FFFF0000"/>
      <name val="Arial"/>
      <family val="2"/>
    </font>
    <font>
      <sz val="12"/>
      <color rgb="FF000000"/>
      <name val="Arial"/>
      <family val="2"/>
    </font>
    <font>
      <b/>
      <sz val="16"/>
      <color rgb="FFFFFFFF"/>
      <name val="Arial"/>
      <family val="2"/>
    </font>
    <font>
      <sz val="12"/>
      <color rgb="FFFFFFFF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4ABDC1"/>
        <bgColor indexed="64"/>
      </patternFill>
    </fill>
    <fill>
      <patternFill patternType="solid">
        <fgColor rgb="FF46381B"/>
        <bgColor indexed="64"/>
      </patternFill>
    </fill>
    <fill>
      <patternFill patternType="solid">
        <fgColor rgb="FF63C77B"/>
        <bgColor indexed="64"/>
      </patternFill>
    </fill>
    <fill>
      <patternFill patternType="solid">
        <fgColor rgb="FF9BEB3C"/>
        <bgColor indexed="64"/>
      </patternFill>
    </fill>
    <fill>
      <patternFill patternType="solid">
        <fgColor rgb="FF273523"/>
        <bgColor indexed="64"/>
      </patternFill>
    </fill>
    <fill>
      <patternFill patternType="solid">
        <fgColor rgb="FF3D7803"/>
        <bgColor indexed="64"/>
      </patternFill>
    </fill>
    <fill>
      <patternFill patternType="solid">
        <fgColor rgb="FF7A5406"/>
        <bgColor indexed="64"/>
      </patternFill>
    </fill>
    <fill>
      <patternFill patternType="solid">
        <fgColor rgb="FF6A69FD"/>
        <bgColor indexed="64"/>
      </patternFill>
    </fill>
    <fill>
      <patternFill patternType="solid">
        <fgColor rgb="FFD08F25"/>
        <bgColor indexed="64"/>
      </patternFill>
    </fill>
    <fill>
      <patternFill patternType="solid">
        <fgColor rgb="FF19AB85"/>
        <bgColor indexed="64"/>
      </patternFill>
    </fill>
    <fill>
      <patternFill patternType="solid">
        <fgColor rgb="FF437BE5"/>
        <bgColor indexed="64"/>
      </patternFill>
    </fill>
    <fill>
      <patternFill patternType="solid">
        <fgColor rgb="FFBCA249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660">
    <xf numFmtId="0" fontId="0" fillId="0" borderId="0" xfId="0"/>
    <xf numFmtId="0" fontId="0" fillId="0" borderId="0" xfId="0" applyAlignment="1">
      <alignment horizontal="center" vertical="center"/>
    </xf>
    <xf numFmtId="49" fontId="5" fillId="0" borderId="36" xfId="0" applyNumberFormat="1" applyFont="1" applyBorder="1" applyAlignment="1">
      <alignment horizontal="left" vertical="center" shrinkToFit="1"/>
    </xf>
    <xf numFmtId="0" fontId="5" fillId="0" borderId="0" xfId="0" applyFont="1"/>
    <xf numFmtId="49" fontId="5" fillId="0" borderId="36" xfId="0" applyNumberFormat="1" applyFont="1" applyBorder="1" applyAlignment="1">
      <alignment horizontal="left" vertical="center"/>
    </xf>
    <xf numFmtId="49" fontId="5" fillId="0" borderId="37" xfId="0" applyNumberFormat="1" applyFont="1" applyBorder="1" applyAlignment="1">
      <alignment horizontal="center" vertical="center"/>
    </xf>
    <xf numFmtId="49" fontId="5" fillId="0" borderId="37" xfId="0" applyNumberFormat="1" applyFont="1" applyBorder="1" applyAlignment="1">
      <alignment horizontal="left" vertical="center"/>
    </xf>
    <xf numFmtId="49" fontId="5" fillId="0" borderId="38" xfId="0" applyNumberFormat="1" applyFont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left" vertical="center"/>
    </xf>
    <xf numFmtId="49" fontId="5" fillId="0" borderId="39" xfId="0" applyNumberFormat="1" applyFont="1" applyBorder="1" applyAlignment="1">
      <alignment horizontal="center" vertical="center"/>
    </xf>
    <xf numFmtId="49" fontId="5" fillId="0" borderId="39" xfId="0" applyNumberFormat="1" applyFont="1" applyBorder="1" applyAlignment="1">
      <alignment horizontal="left" vertical="center"/>
    </xf>
    <xf numFmtId="49" fontId="5" fillId="0" borderId="39" xfId="0" applyNumberFormat="1" applyFont="1" applyBorder="1" applyAlignment="1">
      <alignment horizontal="left" vertical="center" shrinkToFit="1"/>
    </xf>
    <xf numFmtId="49" fontId="5" fillId="0" borderId="36" xfId="0" applyNumberFormat="1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0" fillId="0" borderId="38" xfId="0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22" xfId="0" applyNumberFormat="1" applyFont="1" applyBorder="1" applyAlignment="1">
      <alignment horizontal="left" vertical="center"/>
    </xf>
    <xf numFmtId="49" fontId="5" fillId="0" borderId="38" xfId="0" applyNumberFormat="1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49" fontId="5" fillId="0" borderId="38" xfId="0" applyNumberFormat="1" applyFont="1" applyBorder="1" applyAlignment="1">
      <alignment horizontal="left" vertical="center"/>
    </xf>
    <xf numFmtId="49" fontId="8" fillId="0" borderId="38" xfId="0" applyNumberFormat="1" applyFont="1" applyBorder="1" applyAlignment="1">
      <alignment horizontal="left" vertical="center"/>
    </xf>
    <xf numFmtId="0" fontId="5" fillId="0" borderId="37" xfId="0" applyFont="1" applyBorder="1" applyAlignment="1">
      <alignment horizontal="center" vertical="center"/>
    </xf>
    <xf numFmtId="49" fontId="5" fillId="0" borderId="37" xfId="0" applyNumberFormat="1" applyFont="1" applyBorder="1" applyAlignment="1">
      <alignment horizontal="left" vertical="center" shrinkToFit="1"/>
    </xf>
    <xf numFmtId="0" fontId="0" fillId="8" borderId="6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0" borderId="0" xfId="2"/>
    <xf numFmtId="0" fontId="6" fillId="0" borderId="9" xfId="2" applyFont="1" applyBorder="1" applyAlignment="1">
      <alignment horizontal="center"/>
    </xf>
    <xf numFmtId="20" fontId="8" fillId="0" borderId="0" xfId="2" applyNumberFormat="1" applyFont="1" applyAlignment="1">
      <alignment horizontal="left"/>
    </xf>
    <xf numFmtId="0" fontId="8" fillId="0" borderId="0" xfId="2" applyFont="1" applyAlignment="1">
      <alignment horizontal="center" shrinkToFit="1"/>
    </xf>
    <xf numFmtId="0" fontId="12" fillId="0" borderId="0" xfId="1" applyFont="1"/>
    <xf numFmtId="0" fontId="8" fillId="0" borderId="0" xfId="2" applyFont="1"/>
    <xf numFmtId="0" fontId="5" fillId="5" borderId="2" xfId="2" applyFill="1" applyBorder="1"/>
    <xf numFmtId="0" fontId="5" fillId="5" borderId="3" xfId="2" applyFill="1" applyBorder="1"/>
    <xf numFmtId="0" fontId="5" fillId="5" borderId="22" xfId="2" applyFill="1" applyBorder="1"/>
    <xf numFmtId="0" fontId="3" fillId="9" borderId="7" xfId="1" applyFont="1" applyFill="1" applyBorder="1" applyAlignment="1">
      <alignment horizontal="right" vertical="center"/>
    </xf>
    <xf numFmtId="0" fontId="3" fillId="9" borderId="10" xfId="1" applyFont="1" applyFill="1" applyBorder="1" applyAlignment="1">
      <alignment horizontal="right" vertical="center"/>
    </xf>
    <xf numFmtId="15" fontId="3" fillId="9" borderId="10" xfId="1" applyNumberFormat="1" applyFont="1" applyFill="1" applyBorder="1" applyAlignment="1">
      <alignment horizontal="right" vertical="center"/>
    </xf>
    <xf numFmtId="49" fontId="2" fillId="2" borderId="6" xfId="1" applyNumberFormat="1" applyFont="1" applyFill="1" applyBorder="1" applyAlignment="1">
      <alignment horizontal="left" wrapText="1"/>
    </xf>
    <xf numFmtId="49" fontId="2" fillId="0" borderId="6" xfId="1" applyNumberFormat="1" applyFont="1" applyBorder="1" applyAlignment="1">
      <alignment vertical="center"/>
    </xf>
    <xf numFmtId="0" fontId="1" fillId="3" borderId="9" xfId="1" applyFill="1" applyBorder="1" applyAlignment="1">
      <alignment horizontal="center"/>
    </xf>
    <xf numFmtId="0" fontId="3" fillId="9" borderId="9" xfId="1" applyFont="1" applyFill="1" applyBorder="1" applyAlignment="1">
      <alignment horizontal="right" vertical="center"/>
    </xf>
    <xf numFmtId="0" fontId="1" fillId="0" borderId="4" xfId="1" applyBorder="1"/>
    <xf numFmtId="0" fontId="4" fillId="0" borderId="0" xfId="2" applyFont="1"/>
    <xf numFmtId="16" fontId="7" fillId="3" borderId="7" xfId="1" applyNumberFormat="1" applyFont="1" applyFill="1" applyBorder="1" applyAlignment="1">
      <alignment vertical="center"/>
    </xf>
    <xf numFmtId="16" fontId="7" fillId="3" borderId="5" xfId="1" applyNumberFormat="1" applyFont="1" applyFill="1" applyBorder="1" applyAlignment="1">
      <alignment vertical="center"/>
    </xf>
    <xf numFmtId="0" fontId="6" fillId="0" borderId="1" xfId="2" applyFont="1" applyBorder="1"/>
    <xf numFmtId="15" fontId="11" fillId="4" borderId="5" xfId="1" applyNumberFormat="1" applyFont="1" applyFill="1" applyBorder="1" applyAlignment="1">
      <alignment horizontal="center" vertical="center"/>
    </xf>
    <xf numFmtId="15" fontId="11" fillId="0" borderId="5" xfId="2" applyNumberFormat="1" applyFont="1" applyBorder="1" applyAlignment="1">
      <alignment horizontal="center"/>
    </xf>
    <xf numFmtId="20" fontId="8" fillId="0" borderId="0" xfId="2" applyNumberFormat="1" applyFont="1" applyAlignment="1">
      <alignment horizontal="left" shrinkToFit="1"/>
    </xf>
    <xf numFmtId="20" fontId="8" fillId="0" borderId="17" xfId="2" applyNumberFormat="1" applyFont="1" applyBorder="1" applyAlignment="1">
      <alignment horizontal="left" shrinkToFit="1"/>
    </xf>
    <xf numFmtId="20" fontId="8" fillId="0" borderId="1" xfId="2" applyNumberFormat="1" applyFont="1" applyBorder="1" applyAlignment="1">
      <alignment horizontal="left" shrinkToFit="1"/>
    </xf>
    <xf numFmtId="0" fontId="8" fillId="0" borderId="12" xfId="1" applyFont="1" applyBorder="1" applyAlignment="1">
      <alignment horizontal="right" vertical="center" shrinkToFit="1"/>
    </xf>
    <xf numFmtId="49" fontId="8" fillId="0" borderId="13" xfId="1" applyNumberFormat="1" applyFont="1" applyBorder="1" applyAlignment="1">
      <alignment horizontal="right" vertical="center" shrinkToFit="1"/>
    </xf>
    <xf numFmtId="0" fontId="8" fillId="0" borderId="13" xfId="1" applyFont="1" applyBorder="1" applyAlignment="1">
      <alignment horizontal="left" vertical="center" shrinkToFit="1"/>
    </xf>
    <xf numFmtId="0" fontId="8" fillId="0" borderId="26" xfId="1" applyFont="1" applyBorder="1" applyAlignment="1">
      <alignment horizontal="right" vertical="center" shrinkToFit="1"/>
    </xf>
    <xf numFmtId="49" fontId="8" fillId="0" borderId="13" xfId="1" applyNumberFormat="1" applyFont="1" applyBorder="1" applyAlignment="1">
      <alignment horizontal="left" vertical="center" shrinkToFit="1"/>
    </xf>
    <xf numFmtId="0" fontId="8" fillId="0" borderId="13" xfId="1" applyFont="1" applyBorder="1"/>
    <xf numFmtId="49" fontId="8" fillId="0" borderId="24" xfId="1" applyNumberFormat="1" applyFont="1" applyBorder="1" applyAlignment="1">
      <alignment horizontal="right" vertical="center" shrinkToFit="1"/>
    </xf>
    <xf numFmtId="0" fontId="8" fillId="0" borderId="13" xfId="1" applyFont="1" applyBorder="1" applyAlignment="1">
      <alignment horizontal="right" vertical="center" shrinkToFit="1"/>
    </xf>
    <xf numFmtId="49" fontId="8" fillId="0" borderId="24" xfId="1" applyNumberFormat="1" applyFont="1" applyBorder="1" applyAlignment="1">
      <alignment horizontal="left" vertical="center" shrinkToFit="1"/>
    </xf>
    <xf numFmtId="49" fontId="8" fillId="0" borderId="16" xfId="1" applyNumberFormat="1" applyFont="1" applyBorder="1" applyAlignment="1">
      <alignment horizontal="right" vertical="center" shrinkToFit="1"/>
    </xf>
    <xf numFmtId="49" fontId="8" fillId="0" borderId="17" xfId="1" applyNumberFormat="1" applyFont="1" applyBorder="1" applyAlignment="1">
      <alignment horizontal="right" vertical="center" shrinkToFit="1"/>
    </xf>
    <xf numFmtId="0" fontId="8" fillId="0" borderId="17" xfId="1" applyFont="1" applyBorder="1" applyAlignment="1">
      <alignment horizontal="left" vertical="center" shrinkToFit="1"/>
    </xf>
    <xf numFmtId="49" fontId="8" fillId="0" borderId="19" xfId="1" applyNumberFormat="1" applyFont="1" applyBorder="1" applyAlignment="1">
      <alignment horizontal="right" vertical="center" shrinkToFit="1"/>
    </xf>
    <xf numFmtId="49" fontId="8" fillId="0" borderId="17" xfId="1" applyNumberFormat="1" applyFont="1" applyBorder="1" applyAlignment="1">
      <alignment horizontal="left" vertical="center" shrinkToFit="1"/>
    </xf>
    <xf numFmtId="0" fontId="8" fillId="0" borderId="17" xfId="1" applyFont="1" applyBorder="1"/>
    <xf numFmtId="49" fontId="8" fillId="0" borderId="28" xfId="1" applyNumberFormat="1" applyFont="1" applyBorder="1" applyAlignment="1">
      <alignment horizontal="right" vertical="center" shrinkToFit="1"/>
    </xf>
    <xf numFmtId="49" fontId="8" fillId="0" borderId="28" xfId="1" applyNumberFormat="1" applyFont="1" applyBorder="1" applyAlignment="1">
      <alignment horizontal="left" vertical="center" shrinkToFit="1"/>
    </xf>
    <xf numFmtId="49" fontId="7" fillId="2" borderId="0" xfId="1" applyNumberFormat="1" applyFont="1" applyFill="1" applyAlignment="1" applyProtection="1">
      <alignment horizontal="left" vertical="center" shrinkToFit="1"/>
      <protection locked="0"/>
    </xf>
    <xf numFmtId="49" fontId="8" fillId="0" borderId="11" xfId="1" applyNumberFormat="1" applyFont="1" applyBorder="1" applyAlignment="1">
      <alignment horizontal="right" vertical="center" shrinkToFit="1"/>
    </xf>
    <xf numFmtId="49" fontId="8" fillId="0" borderId="0" xfId="1" applyNumberFormat="1" applyFont="1" applyAlignment="1">
      <alignment horizontal="right" vertical="center" shrinkToFit="1"/>
    </xf>
    <xf numFmtId="0" fontId="8" fillId="0" borderId="0" xfId="1" applyFont="1" applyAlignment="1">
      <alignment horizontal="left" vertical="center" shrinkToFit="1"/>
    </xf>
    <xf numFmtId="49" fontId="8" fillId="0" borderId="23" xfId="1" applyNumberFormat="1" applyFont="1" applyBorder="1" applyAlignment="1">
      <alignment horizontal="right" vertical="center" shrinkToFit="1"/>
    </xf>
    <xf numFmtId="49" fontId="8" fillId="0" borderId="0" xfId="1" applyNumberFormat="1" applyFont="1" applyAlignment="1">
      <alignment horizontal="left" vertical="center" shrinkToFit="1"/>
    </xf>
    <xf numFmtId="0" fontId="8" fillId="0" borderId="0" xfId="1" applyFont="1"/>
    <xf numFmtId="0" fontId="8" fillId="0" borderId="25" xfId="1" applyFont="1" applyBorder="1"/>
    <xf numFmtId="49" fontId="8" fillId="0" borderId="18" xfId="1" applyNumberFormat="1" applyFont="1" applyBorder="1" applyAlignment="1">
      <alignment horizontal="right" vertical="center" shrinkToFit="1"/>
    </xf>
    <xf numFmtId="49" fontId="8" fillId="0" borderId="1" xfId="1" applyNumberFormat="1" applyFont="1" applyBorder="1" applyAlignment="1">
      <alignment horizontal="right" vertical="center" shrinkToFit="1"/>
    </xf>
    <xf numFmtId="0" fontId="8" fillId="0" borderId="1" xfId="1" applyFont="1" applyBorder="1" applyAlignment="1">
      <alignment horizontal="left" vertical="center" shrinkToFit="1"/>
    </xf>
    <xf numFmtId="49" fontId="8" fillId="0" borderId="8" xfId="1" applyNumberFormat="1" applyFont="1" applyBorder="1" applyAlignment="1">
      <alignment horizontal="right" vertical="center" shrinkToFit="1"/>
    </xf>
    <xf numFmtId="49" fontId="8" fillId="0" borderId="1" xfId="1" applyNumberFormat="1" applyFont="1" applyBorder="1" applyAlignment="1">
      <alignment horizontal="left" vertical="center" shrinkToFit="1"/>
    </xf>
    <xf numFmtId="0" fontId="8" fillId="0" borderId="1" xfId="1" applyFont="1" applyBorder="1"/>
    <xf numFmtId="0" fontId="8" fillId="0" borderId="20" xfId="1" applyFont="1" applyBorder="1"/>
    <xf numFmtId="0" fontId="5" fillId="0" borderId="0" xfId="2" applyAlignment="1">
      <alignment horizontal="left"/>
    </xf>
    <xf numFmtId="0" fontId="6" fillId="2" borderId="12" xfId="2" applyFont="1" applyFill="1" applyBorder="1" applyAlignment="1">
      <alignment horizontal="left"/>
    </xf>
    <xf numFmtId="0" fontId="10" fillId="0" borderId="13" xfId="2" applyFont="1" applyBorder="1" applyAlignment="1">
      <alignment horizontal="left"/>
    </xf>
    <xf numFmtId="0" fontId="12" fillId="0" borderId="26" xfId="1" applyFont="1" applyBorder="1"/>
    <xf numFmtId="0" fontId="10" fillId="0" borderId="24" xfId="2" applyFont="1" applyBorder="1" applyAlignment="1">
      <alignment horizontal="left"/>
    </xf>
    <xf numFmtId="0" fontId="12" fillId="0" borderId="13" xfId="1" applyFont="1" applyBorder="1"/>
    <xf numFmtId="0" fontId="5" fillId="2" borderId="11" xfId="2" applyFill="1" applyBorder="1" applyAlignment="1">
      <alignment horizontal="left"/>
    </xf>
    <xf numFmtId="0" fontId="12" fillId="0" borderId="23" xfId="1" applyFont="1" applyBorder="1"/>
    <xf numFmtId="0" fontId="5" fillId="0" borderId="25" xfId="2" applyBorder="1" applyAlignment="1">
      <alignment horizontal="left"/>
    </xf>
    <xf numFmtId="0" fontId="10" fillId="0" borderId="0" xfId="2" applyFont="1" applyAlignment="1">
      <alignment horizontal="left"/>
    </xf>
    <xf numFmtId="0" fontId="5" fillId="2" borderId="18" xfId="2" applyFill="1" applyBorder="1" applyAlignment="1">
      <alignment horizontal="left"/>
    </xf>
    <xf numFmtId="0" fontId="12" fillId="0" borderId="1" xfId="1" applyFont="1" applyBorder="1"/>
    <xf numFmtId="0" fontId="5" fillId="0" borderId="1" xfId="2" applyBorder="1" applyAlignment="1">
      <alignment horizontal="left"/>
    </xf>
    <xf numFmtId="0" fontId="10" fillId="0" borderId="1" xfId="2" applyFont="1" applyBorder="1" applyAlignment="1">
      <alignment horizontal="left"/>
    </xf>
    <xf numFmtId="0" fontId="12" fillId="0" borderId="8" xfId="1" applyFont="1" applyBorder="1"/>
    <xf numFmtId="0" fontId="5" fillId="0" borderId="20" xfId="2" applyBorder="1" applyAlignment="1">
      <alignment horizontal="left"/>
    </xf>
    <xf numFmtId="0" fontId="5" fillId="0" borderId="0" xfId="1" applyFont="1"/>
    <xf numFmtId="0" fontId="6" fillId="0" borderId="0" xfId="2" applyFont="1" applyAlignment="1">
      <alignment horizontal="left" vertical="center" wrapText="1"/>
    </xf>
    <xf numFmtId="0" fontId="6" fillId="0" borderId="0" xfId="2" applyFont="1" applyAlignment="1">
      <alignment horizontal="left" vertical="center"/>
    </xf>
    <xf numFmtId="0" fontId="12" fillId="5" borderId="2" xfId="1" applyFont="1" applyFill="1" applyBorder="1"/>
    <xf numFmtId="0" fontId="5" fillId="5" borderId="3" xfId="1" applyFont="1" applyFill="1" applyBorder="1"/>
    <xf numFmtId="0" fontId="5" fillId="5" borderId="22" xfId="1" applyFont="1" applyFill="1" applyBorder="1"/>
    <xf numFmtId="49" fontId="5" fillId="0" borderId="0" xfId="2" applyNumberFormat="1"/>
    <xf numFmtId="0" fontId="1" fillId="0" borderId="0" xfId="1"/>
    <xf numFmtId="0" fontId="6" fillId="0" borderId="7" xfId="2" applyFont="1" applyBorder="1" applyAlignment="1">
      <alignment horizontal="center"/>
    </xf>
    <xf numFmtId="0" fontId="8" fillId="0" borderId="17" xfId="2" applyFont="1" applyBorder="1" applyAlignment="1">
      <alignment horizontal="center" shrinkToFit="1"/>
    </xf>
    <xf numFmtId="0" fontId="2" fillId="2" borderId="2" xfId="1" applyFont="1" applyFill="1" applyBorder="1"/>
    <xf numFmtId="49" fontId="2" fillId="0" borderId="5" xfId="1" applyNumberFormat="1" applyFont="1" applyBorder="1" applyAlignment="1">
      <alignment horizontal="left" vertical="center"/>
    </xf>
    <xf numFmtId="49" fontId="21" fillId="0" borderId="17" xfId="1" applyNumberFormat="1" applyFont="1" applyBorder="1" applyAlignment="1">
      <alignment horizontal="left" vertical="center" shrinkToFit="1"/>
    </xf>
    <xf numFmtId="20" fontId="21" fillId="0" borderId="17" xfId="1" quotePrefix="1" applyNumberFormat="1" applyFont="1" applyBorder="1" applyAlignment="1">
      <alignment horizontal="left" vertical="center" shrinkToFit="1"/>
    </xf>
    <xf numFmtId="20" fontId="21" fillId="0" borderId="21" xfId="1" quotePrefix="1" applyNumberFormat="1" applyFont="1" applyBorder="1" applyAlignment="1">
      <alignment horizontal="left" vertical="center" shrinkToFit="1"/>
    </xf>
    <xf numFmtId="20" fontId="21" fillId="0" borderId="17" xfId="1" applyNumberFormat="1" applyFont="1" applyBorder="1" applyAlignment="1">
      <alignment horizontal="left" vertical="center" shrinkToFit="1"/>
    </xf>
    <xf numFmtId="20" fontId="21" fillId="0" borderId="21" xfId="1" applyNumberFormat="1" applyFont="1" applyBorder="1" applyAlignment="1">
      <alignment horizontal="left" vertical="center" shrinkToFit="1"/>
    </xf>
    <xf numFmtId="49" fontId="21" fillId="0" borderId="19" xfId="1" applyNumberFormat="1" applyFont="1" applyBorder="1" applyAlignment="1">
      <alignment horizontal="left" vertical="center" shrinkToFit="1"/>
    </xf>
    <xf numFmtId="20" fontId="21" fillId="0" borderId="28" xfId="1" applyNumberFormat="1" applyFont="1" applyBorder="1" applyAlignment="1">
      <alignment horizontal="left" vertical="center" shrinkToFit="1"/>
    </xf>
    <xf numFmtId="20" fontId="21" fillId="0" borderId="21" xfId="1" applyNumberFormat="1" applyFont="1" applyBorder="1" applyAlignment="1">
      <alignment horizontal="right" vertical="center" shrinkToFit="1"/>
    </xf>
    <xf numFmtId="49" fontId="21" fillId="0" borderId="0" xfId="1" applyNumberFormat="1" applyFont="1" applyAlignment="1">
      <alignment horizontal="left" vertical="center" shrinkToFit="1"/>
    </xf>
    <xf numFmtId="20" fontId="21" fillId="0" borderId="0" xfId="1" applyNumberFormat="1" applyFont="1" applyAlignment="1">
      <alignment horizontal="left" vertical="center" shrinkToFit="1"/>
    </xf>
    <xf numFmtId="20" fontId="21" fillId="0" borderId="30" xfId="1" applyNumberFormat="1" applyFont="1" applyBorder="1" applyAlignment="1">
      <alignment horizontal="left" vertical="center" shrinkToFit="1"/>
    </xf>
    <xf numFmtId="49" fontId="21" fillId="0" borderId="23" xfId="1" applyNumberFormat="1" applyFont="1" applyBorder="1" applyAlignment="1">
      <alignment horizontal="left" vertical="center" shrinkToFit="1"/>
    </xf>
    <xf numFmtId="20" fontId="21" fillId="0" borderId="25" xfId="1" applyNumberFormat="1" applyFont="1" applyBorder="1" applyAlignment="1">
      <alignment horizontal="left" vertical="center" shrinkToFit="1"/>
    </xf>
    <xf numFmtId="49" fontId="21" fillId="0" borderId="1" xfId="1" applyNumberFormat="1" applyFont="1" applyBorder="1" applyAlignment="1">
      <alignment horizontal="left" vertical="center" shrinkToFit="1"/>
    </xf>
    <xf numFmtId="20" fontId="21" fillId="0" borderId="1" xfId="1" applyNumberFormat="1" applyFont="1" applyBorder="1" applyAlignment="1">
      <alignment horizontal="left" vertical="center" shrinkToFit="1"/>
    </xf>
    <xf numFmtId="20" fontId="21" fillId="0" borderId="27" xfId="1" applyNumberFormat="1" applyFont="1" applyBorder="1" applyAlignment="1">
      <alignment horizontal="left" vertical="center" shrinkToFit="1"/>
    </xf>
    <xf numFmtId="49" fontId="21" fillId="0" borderId="8" xfId="1" applyNumberFormat="1" applyFont="1" applyBorder="1" applyAlignment="1">
      <alignment horizontal="left" vertical="center" shrinkToFit="1"/>
    </xf>
    <xf numFmtId="20" fontId="21" fillId="0" borderId="20" xfId="1" applyNumberFormat="1" applyFont="1" applyBorder="1" applyAlignment="1">
      <alignment horizontal="left" vertical="center" shrinkToFit="1"/>
    </xf>
    <xf numFmtId="49" fontId="21" fillId="0" borderId="14" xfId="1" applyNumberFormat="1" applyFont="1" applyBorder="1" applyAlignment="1">
      <alignment horizontal="left" vertical="center" shrinkToFit="1"/>
    </xf>
    <xf numFmtId="49" fontId="21" fillId="0" borderId="18" xfId="1" applyNumberFormat="1" applyFont="1" applyBorder="1" applyAlignment="1">
      <alignment horizontal="left" vertical="center" shrinkToFit="1"/>
    </xf>
    <xf numFmtId="49" fontId="7" fillId="0" borderId="11" xfId="1" applyNumberFormat="1" applyFont="1" applyBorder="1" applyAlignment="1">
      <alignment horizontal="left" vertical="center"/>
    </xf>
    <xf numFmtId="20" fontId="21" fillId="0" borderId="17" xfId="1" applyNumberFormat="1" applyFont="1" applyBorder="1" applyAlignment="1">
      <alignment horizontal="right" vertical="center" shrinkToFit="1"/>
    </xf>
    <xf numFmtId="1" fontId="4" fillId="0" borderId="0" xfId="1" applyNumberFormat="1" applyFont="1"/>
    <xf numFmtId="1" fontId="4" fillId="0" borderId="0" xfId="1" applyNumberFormat="1" applyFont="1" applyAlignment="1">
      <alignment horizontal="center"/>
    </xf>
    <xf numFmtId="49" fontId="21" fillId="0" borderId="15" xfId="1" applyNumberFormat="1" applyFont="1" applyBorder="1" applyAlignment="1">
      <alignment horizontal="left" vertical="center" shrinkToFit="1"/>
    </xf>
    <xf numFmtId="0" fontId="4" fillId="0" borderId="0" xfId="1" applyFont="1"/>
    <xf numFmtId="0" fontId="4" fillId="0" borderId="0" xfId="1" applyFont="1" applyAlignment="1">
      <alignment horizontal="center"/>
    </xf>
    <xf numFmtId="49" fontId="21" fillId="0" borderId="29" xfId="1" applyNumberFormat="1" applyFont="1" applyBorder="1" applyAlignment="1">
      <alignment horizontal="left" vertical="center" shrinkToFit="1"/>
    </xf>
    <xf numFmtId="49" fontId="21" fillId="0" borderId="26" xfId="1" applyNumberFormat="1" applyFont="1" applyBorder="1" applyAlignment="1">
      <alignment horizontal="left" vertical="center" shrinkToFit="1"/>
    </xf>
    <xf numFmtId="49" fontId="21" fillId="0" borderId="16" xfId="1" applyNumberFormat="1" applyFont="1" applyBorder="1" applyAlignment="1">
      <alignment horizontal="left" vertical="center" shrinkToFit="1"/>
    </xf>
    <xf numFmtId="49" fontId="24" fillId="0" borderId="17" xfId="1" applyNumberFormat="1" applyFont="1" applyBorder="1" applyAlignment="1">
      <alignment vertical="center" shrinkToFit="1"/>
    </xf>
    <xf numFmtId="49" fontId="24" fillId="0" borderId="21" xfId="1" applyNumberFormat="1" applyFont="1" applyBorder="1" applyAlignment="1">
      <alignment vertical="center" shrinkToFit="1"/>
    </xf>
    <xf numFmtId="49" fontId="21" fillId="0" borderId="16" xfId="1" applyNumberFormat="1" applyFont="1" applyBorder="1" applyAlignment="1">
      <alignment vertical="center" shrinkToFit="1"/>
    </xf>
    <xf numFmtId="49" fontId="21" fillId="0" borderId="17" xfId="1" applyNumberFormat="1" applyFont="1" applyBorder="1" applyAlignment="1">
      <alignment vertical="center" shrinkToFit="1"/>
    </xf>
    <xf numFmtId="49" fontId="21" fillId="0" borderId="19" xfId="1" applyNumberFormat="1" applyFont="1" applyBorder="1" applyAlignment="1">
      <alignment vertical="center" shrinkToFit="1"/>
    </xf>
    <xf numFmtId="49" fontId="21" fillId="0" borderId="21" xfId="1" applyNumberFormat="1" applyFont="1" applyBorder="1" applyAlignment="1">
      <alignment vertical="center" shrinkToFit="1"/>
    </xf>
    <xf numFmtId="16" fontId="16" fillId="0" borderId="5" xfId="1" applyNumberFormat="1" applyFont="1" applyBorder="1" applyAlignment="1">
      <alignment horizontal="center" vertical="center"/>
    </xf>
    <xf numFmtId="0" fontId="2" fillId="0" borderId="2" xfId="1" applyFont="1" applyBorder="1"/>
    <xf numFmtId="49" fontId="7" fillId="0" borderId="0" xfId="1" applyNumberFormat="1" applyFont="1"/>
    <xf numFmtId="49" fontId="2" fillId="0" borderId="0" xfId="1" applyNumberFormat="1" applyFont="1"/>
    <xf numFmtId="0" fontId="1" fillId="0" borderId="9" xfId="1" applyBorder="1" applyAlignment="1">
      <alignment horizontal="center"/>
    </xf>
    <xf numFmtId="49" fontId="26" fillId="0" borderId="19" xfId="1" applyNumberFormat="1" applyFont="1" applyBorder="1" applyAlignment="1">
      <alignment horizontal="left" vertical="center" shrinkToFit="1"/>
    </xf>
    <xf numFmtId="49" fontId="26" fillId="0" borderId="17" xfId="1" applyNumberFormat="1" applyFont="1" applyBorder="1" applyAlignment="1">
      <alignment horizontal="left" vertical="center" shrinkToFit="1"/>
    </xf>
    <xf numFmtId="20" fontId="26" fillId="0" borderId="17" xfId="1" applyNumberFormat="1" applyFont="1" applyBorder="1" applyAlignment="1">
      <alignment horizontal="left" vertical="center" shrinkToFit="1"/>
    </xf>
    <xf numFmtId="20" fontId="26" fillId="0" borderId="21" xfId="1" applyNumberFormat="1" applyFont="1" applyBorder="1" applyAlignment="1">
      <alignment horizontal="left" vertical="center" shrinkToFit="1"/>
    </xf>
    <xf numFmtId="20" fontId="26" fillId="0" borderId="28" xfId="1" applyNumberFormat="1" applyFont="1" applyBorder="1" applyAlignment="1">
      <alignment horizontal="left" vertical="center" shrinkToFit="1"/>
    </xf>
    <xf numFmtId="49" fontId="26" fillId="0" borderId="16" xfId="1" applyNumberFormat="1" applyFont="1" applyBorder="1" applyAlignment="1">
      <alignment horizontal="left" vertical="center" shrinkToFit="1"/>
    </xf>
    <xf numFmtId="0" fontId="23" fillId="0" borderId="0" xfId="1" applyFont="1"/>
    <xf numFmtId="19" fontId="0" fillId="0" borderId="0" xfId="0" applyNumberFormat="1"/>
    <xf numFmtId="16" fontId="16" fillId="3" borderId="9" xfId="1" applyNumberFormat="1" applyFont="1" applyFill="1" applyBorder="1" applyAlignment="1">
      <alignment vertical="center"/>
    </xf>
    <xf numFmtId="16" fontId="16" fillId="3" borderId="7" xfId="1" applyNumberFormat="1" applyFont="1" applyFill="1" applyBorder="1" applyAlignment="1">
      <alignment vertical="center"/>
    </xf>
    <xf numFmtId="16" fontId="16" fillId="3" borderId="5" xfId="1" applyNumberFormat="1" applyFont="1" applyFill="1" applyBorder="1" applyAlignment="1">
      <alignment vertical="center"/>
    </xf>
    <xf numFmtId="170" fontId="3" fillId="9" borderId="7" xfId="1" applyNumberFormat="1" applyFont="1" applyFill="1" applyBorder="1" applyAlignment="1">
      <alignment horizontal="centerContinuous" vertical="center"/>
    </xf>
    <xf numFmtId="164" fontId="3" fillId="9" borderId="13" xfId="1" applyNumberFormat="1" applyFont="1" applyFill="1" applyBorder="1" applyAlignment="1">
      <alignment horizontal="centerContinuous" vertical="center"/>
    </xf>
    <xf numFmtId="164" fontId="3" fillId="9" borderId="32" xfId="1" applyNumberFormat="1" applyFont="1" applyFill="1" applyBorder="1" applyAlignment="1">
      <alignment horizontal="centerContinuous" vertical="center"/>
    </xf>
    <xf numFmtId="164" fontId="3" fillId="9" borderId="7" xfId="1" applyNumberFormat="1" applyFont="1" applyFill="1" applyBorder="1" applyAlignment="1">
      <alignment horizontal="centerContinuous" vertical="center"/>
    </xf>
    <xf numFmtId="164" fontId="3" fillId="9" borderId="34" xfId="1" applyNumberFormat="1" applyFont="1" applyFill="1" applyBorder="1" applyAlignment="1">
      <alignment horizontal="centerContinuous" vertical="center"/>
    </xf>
    <xf numFmtId="1" fontId="4" fillId="0" borderId="0" xfId="1" applyNumberFormat="1" applyFont="1" applyAlignment="1">
      <alignment vertical="center"/>
    </xf>
    <xf numFmtId="1" fontId="4" fillId="0" borderId="0" xfId="1" applyNumberFormat="1" applyFont="1" applyAlignment="1">
      <alignment horizontal="center" vertical="center"/>
    </xf>
    <xf numFmtId="0" fontId="1" fillId="0" borderId="0" xfId="1" applyAlignment="1">
      <alignment vertical="center"/>
    </xf>
    <xf numFmtId="49" fontId="2" fillId="9" borderId="22" xfId="1" applyNumberFormat="1" applyFont="1" applyFill="1" applyBorder="1" applyAlignment="1">
      <alignment horizontal="left" vertical="center" wrapText="1"/>
    </xf>
    <xf numFmtId="49" fontId="7" fillId="10" borderId="11" xfId="1" applyNumberFormat="1" applyFont="1" applyFill="1" applyBorder="1" applyAlignment="1">
      <alignment horizontal="left" vertical="center"/>
    </xf>
    <xf numFmtId="170" fontId="3" fillId="9" borderId="9" xfId="1" applyNumberFormat="1" applyFont="1" applyFill="1" applyBorder="1" applyAlignment="1">
      <alignment horizontal="centerContinuous" vertical="center"/>
    </xf>
    <xf numFmtId="164" fontId="3" fillId="9" borderId="5" xfId="1" applyNumberFormat="1" applyFont="1" applyFill="1" applyBorder="1" applyAlignment="1">
      <alignment horizontal="centerContinuous" vertical="center"/>
    </xf>
    <xf numFmtId="0" fontId="1" fillId="0" borderId="6" xfId="1" applyBorder="1" applyAlignment="1">
      <alignment horizontal="center"/>
    </xf>
    <xf numFmtId="0" fontId="2" fillId="0" borderId="6" xfId="1" applyFont="1" applyBorder="1"/>
    <xf numFmtId="0" fontId="23" fillId="0" borderId="0" xfId="1" applyFont="1" applyAlignment="1">
      <alignment wrapText="1"/>
    </xf>
    <xf numFmtId="0" fontId="7" fillId="0" borderId="1" xfId="2" applyFont="1" applyBorder="1"/>
    <xf numFmtId="0" fontId="6" fillId="0" borderId="20" xfId="2" applyFont="1" applyBorder="1"/>
    <xf numFmtId="15" fontId="11" fillId="4" borderId="5" xfId="0" applyNumberFormat="1" applyFont="1" applyFill="1" applyBorder="1" applyAlignment="1">
      <alignment horizontal="center" vertical="center"/>
    </xf>
    <xf numFmtId="0" fontId="9" fillId="0" borderId="0" xfId="2" applyFont="1" applyAlignment="1">
      <alignment horizontal="left"/>
    </xf>
    <xf numFmtId="0" fontId="1" fillId="0" borderId="30" xfId="1" applyBorder="1"/>
    <xf numFmtId="20" fontId="8" fillId="0" borderId="17" xfId="2" applyNumberFormat="1" applyFont="1" applyBorder="1" applyAlignment="1">
      <alignment horizontal="left"/>
    </xf>
    <xf numFmtId="20" fontId="8" fillId="0" borderId="1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shrinkToFit="1"/>
    </xf>
    <xf numFmtId="0" fontId="8" fillId="0" borderId="12" xfId="0" applyFont="1" applyBorder="1" applyAlignment="1">
      <alignment horizontal="right" vertical="center" shrinkToFit="1"/>
    </xf>
    <xf numFmtId="49" fontId="8" fillId="0" borderId="13" xfId="0" applyNumberFormat="1" applyFont="1" applyBorder="1" applyAlignment="1">
      <alignment horizontal="right" vertical="center" shrinkToFit="1"/>
    </xf>
    <xf numFmtId="0" fontId="8" fillId="0" borderId="13" xfId="0" applyFont="1" applyBorder="1" applyAlignment="1">
      <alignment horizontal="left" vertical="center" shrinkToFit="1"/>
    </xf>
    <xf numFmtId="0" fontId="8" fillId="0" borderId="26" xfId="0" applyFont="1" applyBorder="1" applyAlignment="1">
      <alignment horizontal="right" vertical="center" shrinkToFit="1"/>
    </xf>
    <xf numFmtId="49" fontId="8" fillId="0" borderId="13" xfId="0" applyNumberFormat="1" applyFont="1" applyBorder="1" applyAlignment="1">
      <alignment horizontal="left" vertical="center" shrinkToFit="1"/>
    </xf>
    <xf numFmtId="0" fontId="8" fillId="0" borderId="13" xfId="0" applyFont="1" applyBorder="1"/>
    <xf numFmtId="49" fontId="8" fillId="0" borderId="24" xfId="0" applyNumberFormat="1" applyFont="1" applyBorder="1" applyAlignment="1">
      <alignment horizontal="left" vertical="center" shrinkToFit="1"/>
    </xf>
    <xf numFmtId="49" fontId="8" fillId="0" borderId="16" xfId="0" applyNumberFormat="1" applyFont="1" applyBorder="1" applyAlignment="1">
      <alignment horizontal="right" vertical="center" shrinkToFit="1"/>
    </xf>
    <xf numFmtId="49" fontId="8" fillId="0" borderId="17" xfId="0" applyNumberFormat="1" applyFont="1" applyBorder="1" applyAlignment="1">
      <alignment horizontal="right" vertical="center" shrinkToFit="1"/>
    </xf>
    <xf numFmtId="0" fontId="8" fillId="0" borderId="17" xfId="0" applyFont="1" applyBorder="1" applyAlignment="1">
      <alignment horizontal="left" vertical="center" shrinkToFit="1"/>
    </xf>
    <xf numFmtId="49" fontId="8" fillId="0" borderId="19" xfId="0" applyNumberFormat="1" applyFont="1" applyBorder="1" applyAlignment="1">
      <alignment horizontal="right" vertical="center" shrinkToFit="1"/>
    </xf>
    <xf numFmtId="49" fontId="8" fillId="0" borderId="17" xfId="0" applyNumberFormat="1" applyFont="1" applyBorder="1" applyAlignment="1">
      <alignment horizontal="left" vertical="center" shrinkToFit="1"/>
    </xf>
    <xf numFmtId="0" fontId="8" fillId="0" borderId="17" xfId="0" applyFont="1" applyBorder="1"/>
    <xf numFmtId="49" fontId="8" fillId="0" borderId="28" xfId="0" applyNumberFormat="1" applyFont="1" applyBorder="1" applyAlignment="1">
      <alignment horizontal="left" vertical="center" shrinkToFit="1"/>
    </xf>
    <xf numFmtId="49" fontId="7" fillId="2" borderId="0" xfId="0" applyNumberFormat="1" applyFont="1" applyFill="1" applyAlignment="1" applyProtection="1">
      <alignment horizontal="left" vertical="center" shrinkToFit="1"/>
      <protection locked="0"/>
    </xf>
    <xf numFmtId="49" fontId="8" fillId="0" borderId="11" xfId="0" applyNumberFormat="1" applyFont="1" applyBorder="1" applyAlignment="1">
      <alignment horizontal="right" vertical="center" shrinkToFit="1"/>
    </xf>
    <xf numFmtId="49" fontId="8" fillId="0" borderId="0" xfId="0" applyNumberFormat="1" applyFont="1" applyAlignment="1">
      <alignment horizontal="right" vertical="center" shrinkToFit="1"/>
    </xf>
    <xf numFmtId="0" fontId="8" fillId="0" borderId="0" xfId="0" applyFont="1" applyAlignment="1">
      <alignment horizontal="left" vertical="center" shrinkToFit="1"/>
    </xf>
    <xf numFmtId="49" fontId="8" fillId="0" borderId="23" xfId="0" applyNumberFormat="1" applyFont="1" applyBorder="1" applyAlignment="1">
      <alignment horizontal="right" vertical="center" shrinkToFit="1"/>
    </xf>
    <xf numFmtId="49" fontId="8" fillId="0" borderId="0" xfId="0" applyNumberFormat="1" applyFont="1" applyAlignment="1">
      <alignment horizontal="left" vertical="center" shrinkToFit="1"/>
    </xf>
    <xf numFmtId="0" fontId="8" fillId="0" borderId="0" xfId="0" applyFont="1"/>
    <xf numFmtId="0" fontId="8" fillId="0" borderId="25" xfId="0" applyFont="1" applyBorder="1"/>
    <xf numFmtId="49" fontId="8" fillId="0" borderId="18" xfId="0" applyNumberFormat="1" applyFont="1" applyBorder="1" applyAlignment="1">
      <alignment horizontal="right" vertical="center" shrinkToFit="1"/>
    </xf>
    <xf numFmtId="49" fontId="8" fillId="0" borderId="1" xfId="0" applyNumberFormat="1" applyFont="1" applyBorder="1" applyAlignment="1">
      <alignment horizontal="right" vertical="center" shrinkToFit="1"/>
    </xf>
    <xf numFmtId="0" fontId="8" fillId="0" borderId="1" xfId="0" applyFont="1" applyBorder="1" applyAlignment="1">
      <alignment horizontal="left" vertical="center" shrinkToFit="1"/>
    </xf>
    <xf numFmtId="49" fontId="8" fillId="0" borderId="8" xfId="0" applyNumberFormat="1" applyFont="1" applyBorder="1" applyAlignment="1">
      <alignment horizontal="right" vertical="center" shrinkToFit="1"/>
    </xf>
    <xf numFmtId="49" fontId="8" fillId="0" borderId="1" xfId="0" applyNumberFormat="1" applyFont="1" applyBorder="1" applyAlignment="1">
      <alignment horizontal="left" vertical="center" shrinkToFit="1"/>
    </xf>
    <xf numFmtId="0" fontId="8" fillId="0" borderId="1" xfId="0" applyFont="1" applyBorder="1"/>
    <xf numFmtId="0" fontId="8" fillId="0" borderId="20" xfId="0" applyFont="1" applyBorder="1"/>
    <xf numFmtId="0" fontId="6" fillId="2" borderId="2" xfId="2" applyFont="1" applyFill="1" applyBorder="1" applyAlignment="1">
      <alignment horizontal="left"/>
    </xf>
    <xf numFmtId="0" fontId="10" fillId="0" borderId="30" xfId="2" applyFont="1" applyBorder="1" applyAlignment="1">
      <alignment horizontal="left"/>
    </xf>
    <xf numFmtId="0" fontId="10" fillId="0" borderId="25" xfId="2" applyFont="1" applyBorder="1" applyAlignment="1">
      <alignment horizontal="left"/>
    </xf>
    <xf numFmtId="0" fontId="5" fillId="2" borderId="3" xfId="2" applyFill="1" applyBorder="1" applyAlignment="1">
      <alignment horizontal="left"/>
    </xf>
    <xf numFmtId="0" fontId="5" fillId="0" borderId="30" xfId="2" applyBorder="1" applyAlignment="1">
      <alignment horizontal="left"/>
    </xf>
    <xf numFmtId="0" fontId="5" fillId="2" borderId="22" xfId="2" applyFill="1" applyBorder="1" applyAlignment="1">
      <alignment horizontal="left"/>
    </xf>
    <xf numFmtId="0" fontId="5" fillId="0" borderId="27" xfId="2" applyBorder="1" applyAlignment="1">
      <alignment horizontal="left"/>
    </xf>
    <xf numFmtId="0" fontId="1" fillId="0" borderId="0" xfId="1" applyAlignment="1">
      <alignment horizontal="left" vertical="center" wrapText="1"/>
    </xf>
    <xf numFmtId="0" fontId="8" fillId="0" borderId="13" xfId="2" applyFont="1" applyBorder="1" applyAlignment="1">
      <alignment horizontal="center" shrinkToFit="1"/>
    </xf>
    <xf numFmtId="0" fontId="9" fillId="0" borderId="13" xfId="2" applyFont="1" applyBorder="1" applyAlignment="1">
      <alignment horizontal="left"/>
    </xf>
    <xf numFmtId="20" fontId="8" fillId="0" borderId="13" xfId="2" applyNumberFormat="1" applyFont="1" applyBorder="1" applyAlignment="1">
      <alignment horizontal="left"/>
    </xf>
    <xf numFmtId="0" fontId="12" fillId="5" borderId="2" xfId="0" applyFont="1" applyFill="1" applyBorder="1"/>
    <xf numFmtId="0" fontId="5" fillId="5" borderId="3" xfId="0" applyFont="1" applyFill="1" applyBorder="1"/>
    <xf numFmtId="0" fontId="5" fillId="5" borderId="22" xfId="0" applyFont="1" applyFill="1" applyBorder="1"/>
    <xf numFmtId="0" fontId="32" fillId="0" borderId="0" xfId="1" applyFont="1"/>
    <xf numFmtId="0" fontId="5" fillId="0" borderId="13" xfId="2" applyBorder="1" applyAlignment="1">
      <alignment horizontal="left"/>
    </xf>
    <xf numFmtId="0" fontId="10" fillId="0" borderId="32" xfId="2" applyFont="1" applyBorder="1" applyAlignment="1">
      <alignment horizontal="left"/>
    </xf>
    <xf numFmtId="0" fontId="12" fillId="0" borderId="0" xfId="0" applyFont="1"/>
    <xf numFmtId="49" fontId="21" fillId="0" borderId="26" xfId="1" applyNumberFormat="1" applyFont="1" applyBorder="1" applyAlignment="1">
      <alignment horizontal="centerContinuous" vertical="center" shrinkToFit="1"/>
    </xf>
    <xf numFmtId="49" fontId="21" fillId="0" borderId="13" xfId="1" applyNumberFormat="1" applyFont="1" applyBorder="1" applyAlignment="1">
      <alignment horizontal="centerContinuous" vertical="center" shrinkToFit="1"/>
    </xf>
    <xf numFmtId="49" fontId="21" fillId="0" borderId="32" xfId="1" applyNumberFormat="1" applyFont="1" applyBorder="1" applyAlignment="1">
      <alignment horizontal="centerContinuous" vertical="center" shrinkToFit="1"/>
    </xf>
    <xf numFmtId="0" fontId="1" fillId="0" borderId="26" xfId="1" applyBorder="1"/>
    <xf numFmtId="0" fontId="1" fillId="0" borderId="13" xfId="1" applyBorder="1"/>
    <xf numFmtId="0" fontId="1" fillId="0" borderId="32" xfId="1" applyBorder="1"/>
    <xf numFmtId="49" fontId="21" fillId="0" borderId="24" xfId="1" applyNumberFormat="1" applyFont="1" applyBorder="1" applyAlignment="1">
      <alignment horizontal="centerContinuous" vertical="center" shrinkToFit="1"/>
    </xf>
    <xf numFmtId="168" fontId="21" fillId="0" borderId="11" xfId="1" applyNumberFormat="1" applyFont="1" applyBorder="1" applyAlignment="1">
      <alignment horizontal="left" vertical="center" shrinkToFit="1"/>
    </xf>
    <xf numFmtId="49" fontId="21" fillId="0" borderId="0" xfId="1" applyNumberFormat="1" applyFont="1" applyAlignment="1">
      <alignment vertical="center" shrinkToFit="1"/>
    </xf>
    <xf numFmtId="49" fontId="21" fillId="0" borderId="23" xfId="1" applyNumberFormat="1" applyFont="1" applyBorder="1" applyAlignment="1">
      <alignment vertical="center" shrinkToFit="1"/>
    </xf>
    <xf numFmtId="49" fontId="21" fillId="0" borderId="30" xfId="1" applyNumberFormat="1" applyFont="1" applyBorder="1" applyAlignment="1">
      <alignment vertical="center" shrinkToFit="1"/>
    </xf>
    <xf numFmtId="168" fontId="21" fillId="0" borderId="23" xfId="1" applyNumberFormat="1" applyFont="1" applyBorder="1" applyAlignment="1">
      <alignment horizontal="left" vertical="center" shrinkToFit="1"/>
    </xf>
    <xf numFmtId="0" fontId="1" fillId="0" borderId="23" xfId="1" applyBorder="1"/>
    <xf numFmtId="168" fontId="21" fillId="0" borderId="0" xfId="1" applyNumberFormat="1" applyFont="1" applyAlignment="1">
      <alignment horizontal="left" vertical="center" shrinkToFit="1"/>
    </xf>
    <xf numFmtId="49" fontId="21" fillId="0" borderId="25" xfId="1" applyNumberFormat="1" applyFont="1" applyBorder="1" applyAlignment="1">
      <alignment vertical="center" shrinkToFit="1"/>
    </xf>
    <xf numFmtId="0" fontId="1" fillId="0" borderId="19" xfId="1" applyBorder="1"/>
    <xf numFmtId="0" fontId="1" fillId="0" borderId="17" xfId="1" applyBorder="1"/>
    <xf numFmtId="0" fontId="1" fillId="0" borderId="21" xfId="1" applyBorder="1"/>
    <xf numFmtId="49" fontId="21" fillId="0" borderId="14" xfId="1" applyNumberFormat="1" applyFont="1" applyBorder="1" applyAlignment="1">
      <alignment horizontal="centerContinuous" vertical="center" shrinkToFit="1"/>
    </xf>
    <xf numFmtId="49" fontId="21" fillId="0" borderId="15" xfId="1" applyNumberFormat="1" applyFont="1" applyBorder="1" applyAlignment="1">
      <alignment vertical="center" shrinkToFit="1"/>
    </xf>
    <xf numFmtId="49" fontId="21" fillId="0" borderId="29" xfId="1" applyNumberFormat="1" applyFont="1" applyBorder="1" applyAlignment="1">
      <alignment vertical="center" shrinkToFit="1"/>
    </xf>
    <xf numFmtId="49" fontId="21" fillId="0" borderId="11" xfId="1" applyNumberFormat="1" applyFont="1" applyBorder="1" applyAlignment="1">
      <alignment vertical="center" shrinkToFit="1"/>
    </xf>
    <xf numFmtId="49" fontId="21" fillId="0" borderId="29" xfId="1" applyNumberFormat="1" applyFont="1" applyBorder="1" applyAlignment="1">
      <alignment horizontal="centerContinuous" vertical="center" shrinkToFit="1"/>
    </xf>
    <xf numFmtId="49" fontId="21" fillId="0" borderId="15" xfId="1" applyNumberFormat="1" applyFont="1" applyBorder="1" applyAlignment="1">
      <alignment horizontal="centerContinuous" vertical="center" shrinkToFit="1"/>
    </xf>
    <xf numFmtId="49" fontId="21" fillId="0" borderId="31" xfId="1" applyNumberFormat="1" applyFont="1" applyBorder="1" applyAlignment="1">
      <alignment horizontal="centerContinuous" vertical="center" shrinkToFit="1"/>
    </xf>
    <xf numFmtId="49" fontId="21" fillId="0" borderId="33" xfId="1" applyNumberFormat="1" applyFont="1" applyBorder="1" applyAlignment="1">
      <alignment vertical="center" shrinkToFit="1"/>
    </xf>
    <xf numFmtId="49" fontId="21" fillId="0" borderId="31" xfId="1" applyNumberFormat="1" applyFont="1" applyBorder="1" applyAlignment="1">
      <alignment vertical="center" shrinkToFit="1"/>
    </xf>
    <xf numFmtId="49" fontId="21" fillId="0" borderId="23" xfId="1" applyNumberFormat="1" applyFont="1" applyBorder="1" applyAlignment="1">
      <alignment horizontal="centerContinuous" vertical="center" shrinkToFit="1"/>
    </xf>
    <xf numFmtId="49" fontId="21" fillId="0" borderId="0" xfId="1" applyNumberFormat="1" applyFont="1" applyAlignment="1">
      <alignment horizontal="centerContinuous" vertical="center" shrinkToFit="1"/>
    </xf>
    <xf numFmtId="49" fontId="21" fillId="0" borderId="25" xfId="1" applyNumberFormat="1" applyFont="1" applyBorder="1" applyAlignment="1">
      <alignment horizontal="centerContinuous" vertical="center" shrinkToFit="1"/>
    </xf>
    <xf numFmtId="49" fontId="21" fillId="0" borderId="30" xfId="1" applyNumberFormat="1" applyFont="1" applyBorder="1" applyAlignment="1">
      <alignment horizontal="centerContinuous" vertical="center" shrinkToFit="1"/>
    </xf>
    <xf numFmtId="49" fontId="21" fillId="0" borderId="33" xfId="1" applyNumberFormat="1" applyFont="1" applyBorder="1" applyAlignment="1">
      <alignment horizontal="centerContinuous" vertical="center" shrinkToFit="1"/>
    </xf>
    <xf numFmtId="168" fontId="21" fillId="0" borderId="23" xfId="1" applyNumberFormat="1" applyFont="1" applyBorder="1" applyAlignment="1">
      <alignment vertical="center" shrinkToFit="1"/>
    </xf>
    <xf numFmtId="20" fontId="21" fillId="0" borderId="1" xfId="1" applyNumberFormat="1" applyFont="1" applyBorder="1" applyAlignment="1">
      <alignment vertical="center" shrinkToFit="1"/>
    </xf>
    <xf numFmtId="20" fontId="21" fillId="0" borderId="27" xfId="1" applyNumberFormat="1" applyFont="1" applyBorder="1" applyAlignment="1">
      <alignment vertical="center" shrinkToFit="1"/>
    </xf>
    <xf numFmtId="49" fontId="21" fillId="0" borderId="26" xfId="1" applyNumberFormat="1" applyFont="1" applyBorder="1" applyAlignment="1">
      <alignment vertical="center" shrinkToFit="1"/>
    </xf>
    <xf numFmtId="49" fontId="21" fillId="0" borderId="13" xfId="1" applyNumberFormat="1" applyFont="1" applyBorder="1" applyAlignment="1">
      <alignment vertical="center" shrinkToFit="1"/>
    </xf>
    <xf numFmtId="49" fontId="21" fillId="0" borderId="24" xfId="1" applyNumberFormat="1" applyFont="1" applyBorder="1" applyAlignment="1">
      <alignment vertical="center" shrinkToFit="1"/>
    </xf>
    <xf numFmtId="49" fontId="26" fillId="0" borderId="15" xfId="1" applyNumberFormat="1" applyFont="1" applyBorder="1" applyAlignment="1">
      <alignment vertical="center" shrinkToFit="1"/>
    </xf>
    <xf numFmtId="49" fontId="26" fillId="0" borderId="31" xfId="1" applyNumberFormat="1" applyFont="1" applyBorder="1" applyAlignment="1">
      <alignment vertical="center" shrinkToFit="1"/>
    </xf>
    <xf numFmtId="49" fontId="26" fillId="0" borderId="29" xfId="1" applyNumberFormat="1" applyFont="1" applyBorder="1" applyAlignment="1">
      <alignment vertical="center" shrinkToFit="1"/>
    </xf>
    <xf numFmtId="49" fontId="26" fillId="0" borderId="33" xfId="1" applyNumberFormat="1" applyFont="1" applyBorder="1" applyAlignment="1">
      <alignment vertical="center" shrinkToFit="1"/>
    </xf>
    <xf numFmtId="49" fontId="26" fillId="0" borderId="0" xfId="1" applyNumberFormat="1" applyFont="1" applyAlignment="1">
      <alignment vertical="center" shrinkToFit="1"/>
    </xf>
    <xf numFmtId="49" fontId="26" fillId="0" borderId="30" xfId="1" applyNumberFormat="1" applyFont="1" applyBorder="1" applyAlignment="1">
      <alignment vertical="center" shrinkToFit="1"/>
    </xf>
    <xf numFmtId="49" fontId="26" fillId="0" borderId="23" xfId="1" applyNumberFormat="1" applyFont="1" applyBorder="1" applyAlignment="1">
      <alignment vertical="center" shrinkToFit="1"/>
    </xf>
    <xf numFmtId="49" fontId="26" fillId="0" borderId="25" xfId="1" applyNumberFormat="1" applyFont="1" applyBorder="1" applyAlignment="1">
      <alignment vertical="center" shrinkToFit="1"/>
    </xf>
    <xf numFmtId="49" fontId="26" fillId="0" borderId="1" xfId="1" applyNumberFormat="1" applyFont="1" applyBorder="1" applyAlignment="1">
      <alignment horizontal="left" vertical="center" shrinkToFit="1"/>
    </xf>
    <xf numFmtId="20" fontId="26" fillId="0" borderId="1" xfId="1" applyNumberFormat="1" applyFont="1" applyBorder="1" applyAlignment="1">
      <alignment horizontal="left" vertical="center" shrinkToFit="1"/>
    </xf>
    <xf numFmtId="20" fontId="26" fillId="0" borderId="27" xfId="1" applyNumberFormat="1" applyFont="1" applyBorder="1" applyAlignment="1">
      <alignment horizontal="left" vertical="center" shrinkToFit="1"/>
    </xf>
    <xf numFmtId="49" fontId="26" fillId="0" borderId="8" xfId="1" applyNumberFormat="1" applyFont="1" applyBorder="1" applyAlignment="1">
      <alignment horizontal="left" vertical="center" shrinkToFit="1"/>
    </xf>
    <xf numFmtId="20" fontId="26" fillId="0" borderId="20" xfId="1" applyNumberFormat="1" applyFont="1" applyBorder="1" applyAlignment="1">
      <alignment horizontal="left" vertical="center" shrinkToFit="1"/>
    </xf>
    <xf numFmtId="49" fontId="2" fillId="0" borderId="9" xfId="1" applyNumberFormat="1" applyFont="1" applyBorder="1" applyAlignment="1">
      <alignment vertical="center"/>
    </xf>
    <xf numFmtId="49" fontId="2" fillId="0" borderId="5" xfId="1" applyNumberFormat="1" applyFont="1" applyBorder="1" applyAlignment="1">
      <alignment horizontal="center" vertical="center"/>
    </xf>
    <xf numFmtId="49" fontId="2" fillId="0" borderId="24" xfId="1" applyNumberFormat="1" applyFont="1" applyBorder="1" applyAlignment="1">
      <alignment horizontal="left" vertical="center"/>
    </xf>
    <xf numFmtId="49" fontId="2" fillId="0" borderId="12" xfId="1" applyNumberFormat="1" applyFont="1" applyBorder="1" applyAlignment="1">
      <alignment vertical="center"/>
    </xf>
    <xf numFmtId="49" fontId="2" fillId="0" borderId="24" xfId="1" applyNumberFormat="1" applyFont="1" applyBorder="1" applyAlignment="1">
      <alignment horizontal="center" vertical="center"/>
    </xf>
    <xf numFmtId="167" fontId="26" fillId="0" borderId="12" xfId="1" applyNumberFormat="1" applyFont="1" applyBorder="1" applyAlignment="1">
      <alignment horizontal="left" vertical="center" shrinkToFit="1"/>
    </xf>
    <xf numFmtId="166" fontId="13" fillId="0" borderId="13" xfId="1" applyNumberFormat="1" applyFont="1" applyBorder="1" applyAlignment="1">
      <alignment horizontal="left" vertical="center" shrinkToFit="1"/>
    </xf>
    <xf numFmtId="49" fontId="13" fillId="0" borderId="18" xfId="1" applyNumberFormat="1" applyFont="1" applyBorder="1" applyAlignment="1">
      <alignment horizontal="left" vertical="center" shrinkToFit="1"/>
    </xf>
    <xf numFmtId="49" fontId="13" fillId="0" borderId="1" xfId="1" applyNumberFormat="1" applyFont="1" applyBorder="1" applyAlignment="1">
      <alignment vertical="center" shrinkToFit="1"/>
    </xf>
    <xf numFmtId="167" fontId="13" fillId="0" borderId="0" xfId="1" applyNumberFormat="1" applyFont="1" applyAlignment="1">
      <alignment horizontal="left" vertical="center" shrinkToFit="1"/>
    </xf>
    <xf numFmtId="166" fontId="13" fillId="0" borderId="0" xfId="1" applyNumberFormat="1" applyFont="1" applyAlignment="1">
      <alignment vertical="center" shrinkToFit="1"/>
    </xf>
    <xf numFmtId="166" fontId="13" fillId="0" borderId="30" xfId="1" applyNumberFormat="1" applyFont="1" applyBorder="1" applyAlignment="1">
      <alignment vertical="center" shrinkToFit="1"/>
    </xf>
    <xf numFmtId="166" fontId="13" fillId="0" borderId="25" xfId="1" applyNumberFormat="1" applyFont="1" applyBorder="1" applyAlignment="1">
      <alignment vertical="center" shrinkToFit="1"/>
    </xf>
    <xf numFmtId="49" fontId="13" fillId="0" borderId="1" xfId="1" applyNumberFormat="1" applyFont="1" applyBorder="1" applyAlignment="1">
      <alignment horizontal="left" vertical="center" shrinkToFit="1"/>
    </xf>
    <xf numFmtId="49" fontId="13" fillId="0" borderId="27" xfId="1" applyNumberFormat="1" applyFont="1" applyBorder="1" applyAlignment="1">
      <alignment vertical="center" shrinkToFit="1"/>
    </xf>
    <xf numFmtId="49" fontId="13" fillId="0" borderId="20" xfId="1" applyNumberFormat="1" applyFont="1" applyBorder="1" applyAlignment="1">
      <alignment vertical="center" shrinkToFit="1"/>
    </xf>
    <xf numFmtId="0" fontId="1" fillId="0" borderId="13" xfId="1" applyBorder="1" applyAlignment="1">
      <alignment horizontal="left"/>
    </xf>
    <xf numFmtId="167" fontId="28" fillId="11" borderId="30" xfId="1" applyNumberFormat="1" applyFont="1" applyFill="1" applyBorder="1" applyAlignment="1">
      <alignment vertical="center" shrinkToFit="1"/>
    </xf>
    <xf numFmtId="167" fontId="28" fillId="12" borderId="12" xfId="1" applyNumberFormat="1" applyFont="1" applyFill="1" applyBorder="1" applyAlignment="1">
      <alignment horizontal="left" vertical="center" shrinkToFit="1"/>
    </xf>
    <xf numFmtId="166" fontId="34" fillId="12" borderId="13" xfId="1" applyNumberFormat="1" applyFont="1" applyFill="1" applyBorder="1" applyAlignment="1">
      <alignment horizontal="left" vertical="center" shrinkToFit="1"/>
    </xf>
    <xf numFmtId="49" fontId="34" fillId="12" borderId="18" xfId="1" applyNumberFormat="1" applyFont="1" applyFill="1" applyBorder="1" applyAlignment="1">
      <alignment horizontal="left" vertical="center" shrinkToFit="1"/>
    </xf>
    <xf numFmtId="49" fontId="34" fillId="12" borderId="1" xfId="1" applyNumberFormat="1" applyFont="1" applyFill="1" applyBorder="1" applyAlignment="1">
      <alignment vertical="center" shrinkToFit="1"/>
    </xf>
    <xf numFmtId="166" fontId="34" fillId="12" borderId="24" xfId="1" applyNumberFormat="1" applyFont="1" applyFill="1" applyBorder="1" applyAlignment="1">
      <alignment vertical="center" shrinkToFit="1"/>
    </xf>
    <xf numFmtId="49" fontId="34" fillId="12" borderId="20" xfId="1" applyNumberFormat="1" applyFont="1" applyFill="1" applyBorder="1" applyAlignment="1">
      <alignment vertical="center" shrinkToFit="1"/>
    </xf>
    <xf numFmtId="49" fontId="30" fillId="11" borderId="0" xfId="1" applyNumberFormat="1" applyFont="1" applyFill="1" applyAlignment="1">
      <alignment vertical="center" shrinkToFit="1"/>
    </xf>
    <xf numFmtId="168" fontId="29" fillId="13" borderId="23" xfId="1" applyNumberFormat="1" applyFont="1" applyFill="1" applyBorder="1" applyAlignment="1">
      <alignment horizontal="left" vertical="center" shrinkToFit="1"/>
    </xf>
    <xf numFmtId="49" fontId="29" fillId="13" borderId="0" xfId="1" applyNumberFormat="1" applyFont="1" applyFill="1" applyAlignment="1">
      <alignment vertical="center" shrinkToFit="1"/>
    </xf>
    <xf numFmtId="49" fontId="29" fillId="13" borderId="19" xfId="1" applyNumberFormat="1" applyFont="1" applyFill="1" applyBorder="1" applyAlignment="1">
      <alignment horizontal="left" vertical="center" shrinkToFit="1"/>
    </xf>
    <xf numFmtId="49" fontId="29" fillId="13" borderId="17" xfId="1" applyNumberFormat="1" applyFont="1" applyFill="1" applyBorder="1" applyAlignment="1">
      <alignment horizontal="left" vertical="center" shrinkToFit="1"/>
    </xf>
    <xf numFmtId="167" fontId="29" fillId="13" borderId="30" xfId="1" applyNumberFormat="1" applyFont="1" applyFill="1" applyBorder="1" applyAlignment="1">
      <alignment vertical="center" shrinkToFit="1"/>
    </xf>
    <xf numFmtId="20" fontId="29" fillId="13" borderId="21" xfId="1" applyNumberFormat="1" applyFont="1" applyFill="1" applyBorder="1" applyAlignment="1">
      <alignment horizontal="center" vertical="center" shrinkToFit="1"/>
    </xf>
    <xf numFmtId="168" fontId="29" fillId="14" borderId="23" xfId="1" applyNumberFormat="1" applyFont="1" applyFill="1" applyBorder="1" applyAlignment="1">
      <alignment horizontal="left" vertical="center" shrinkToFit="1"/>
    </xf>
    <xf numFmtId="49" fontId="29" fillId="14" borderId="0" xfId="1" applyNumberFormat="1" applyFont="1" applyFill="1" applyAlignment="1">
      <alignment vertical="center" shrinkToFit="1"/>
    </xf>
    <xf numFmtId="49" fontId="29" fillId="14" borderId="19" xfId="1" applyNumberFormat="1" applyFont="1" applyFill="1" applyBorder="1" applyAlignment="1">
      <alignment horizontal="left" vertical="center" shrinkToFit="1"/>
    </xf>
    <xf numFmtId="49" fontId="29" fillId="14" borderId="17" xfId="1" applyNumberFormat="1" applyFont="1" applyFill="1" applyBorder="1" applyAlignment="1">
      <alignment horizontal="left" vertical="center" shrinkToFit="1"/>
    </xf>
    <xf numFmtId="167" fontId="29" fillId="14" borderId="30" xfId="1" applyNumberFormat="1" applyFont="1" applyFill="1" applyBorder="1" applyAlignment="1">
      <alignment vertical="center" shrinkToFit="1"/>
    </xf>
    <xf numFmtId="20" fontId="29" fillId="14" borderId="21" xfId="1" applyNumberFormat="1" applyFont="1" applyFill="1" applyBorder="1" applyAlignment="1">
      <alignment horizontal="center" vertical="center" shrinkToFit="1"/>
    </xf>
    <xf numFmtId="49" fontId="21" fillId="0" borderId="26" xfId="1" applyNumberFormat="1" applyFont="1" applyBorder="1" applyAlignment="1">
      <alignment horizontal="center" vertical="center" shrinkToFit="1"/>
    </xf>
    <xf numFmtId="49" fontId="21" fillId="0" borderId="13" xfId="1" applyNumberFormat="1" applyFont="1" applyBorder="1" applyAlignment="1">
      <alignment horizontal="center" vertical="center" shrinkToFit="1"/>
    </xf>
    <xf numFmtId="49" fontId="21" fillId="0" borderId="32" xfId="1" applyNumberFormat="1" applyFont="1" applyBorder="1" applyAlignment="1">
      <alignment horizontal="center" vertical="center" shrinkToFit="1"/>
    </xf>
    <xf numFmtId="49" fontId="21" fillId="0" borderId="29" xfId="1" applyNumberFormat="1" applyFont="1" applyBorder="1" applyAlignment="1">
      <alignment horizontal="center" vertical="center" shrinkToFit="1"/>
    </xf>
    <xf numFmtId="49" fontId="21" fillId="0" borderId="15" xfId="1" applyNumberFormat="1" applyFont="1" applyBorder="1" applyAlignment="1">
      <alignment horizontal="center" vertical="center" shrinkToFit="1"/>
    </xf>
    <xf numFmtId="49" fontId="21" fillId="0" borderId="31" xfId="1" applyNumberFormat="1" applyFont="1" applyBorder="1" applyAlignment="1">
      <alignment horizontal="center" vertical="center" shrinkToFit="1"/>
    </xf>
    <xf numFmtId="49" fontId="21" fillId="0" borderId="33" xfId="1" applyNumberFormat="1" applyFont="1" applyBorder="1" applyAlignment="1">
      <alignment horizontal="center" vertical="center" shrinkToFit="1"/>
    </xf>
    <xf numFmtId="49" fontId="7" fillId="2" borderId="2" xfId="1" quotePrefix="1" applyNumberFormat="1" applyFont="1" applyFill="1" applyBorder="1" applyAlignment="1">
      <alignment horizontal="left" vertical="center" wrapText="1"/>
    </xf>
    <xf numFmtId="49" fontId="7" fillId="2" borderId="3" xfId="1" quotePrefix="1" applyNumberFormat="1" applyFont="1" applyFill="1" applyBorder="1" applyAlignment="1">
      <alignment horizontal="left" vertical="center" wrapText="1"/>
    </xf>
    <xf numFmtId="49" fontId="7" fillId="2" borderId="36" xfId="1" quotePrefix="1" applyNumberFormat="1" applyFont="1" applyFill="1" applyBorder="1" applyAlignment="1">
      <alignment horizontal="left" vertical="center" wrapText="1"/>
    </xf>
    <xf numFmtId="0" fontId="7" fillId="2" borderId="35" xfId="1" applyFont="1" applyFill="1" applyBorder="1" applyAlignment="1">
      <alignment horizontal="left" vertical="center" wrapText="1" shrinkToFit="1"/>
    </xf>
    <xf numFmtId="0" fontId="7" fillId="2" borderId="22" xfId="1" applyFont="1" applyFill="1" applyBorder="1" applyAlignment="1">
      <alignment horizontal="left" vertical="center" shrinkToFit="1"/>
    </xf>
    <xf numFmtId="49" fontId="21" fillId="0" borderId="15" xfId="1" applyNumberFormat="1" applyFont="1" applyBorder="1" applyAlignment="1">
      <alignment horizontal="right" vertical="center" shrinkToFit="1"/>
    </xf>
    <xf numFmtId="49" fontId="21" fillId="0" borderId="31" xfId="1" applyNumberFormat="1" applyFont="1" applyBorder="1" applyAlignment="1">
      <alignment horizontal="right" vertical="center" shrinkToFit="1"/>
    </xf>
    <xf numFmtId="49" fontId="21" fillId="0" borderId="13" xfId="1" applyNumberFormat="1" applyFont="1" applyBorder="1" applyAlignment="1">
      <alignment horizontal="right" vertical="center" shrinkToFit="1"/>
    </xf>
    <xf numFmtId="49" fontId="21" fillId="0" borderId="33" xfId="1" applyNumberFormat="1" applyFont="1" applyBorder="1" applyAlignment="1">
      <alignment horizontal="right" vertical="center" shrinkToFit="1"/>
    </xf>
    <xf numFmtId="49" fontId="21" fillId="0" borderId="1" xfId="1" applyNumberFormat="1" applyFont="1" applyBorder="1" applyAlignment="1">
      <alignment horizontal="right" vertical="center" shrinkToFit="1"/>
    </xf>
    <xf numFmtId="49" fontId="21" fillId="0" borderId="27" xfId="1" applyNumberFormat="1" applyFont="1" applyBorder="1" applyAlignment="1">
      <alignment horizontal="right" vertical="center" shrinkToFit="1"/>
    </xf>
    <xf numFmtId="49" fontId="21" fillId="0" borderId="20" xfId="1" applyNumberFormat="1" applyFont="1" applyBorder="1" applyAlignment="1">
      <alignment horizontal="right" vertical="center" shrinkToFit="1"/>
    </xf>
    <xf numFmtId="49" fontId="2" fillId="0" borderId="9" xfId="1" applyNumberFormat="1" applyFont="1" applyBorder="1" applyAlignment="1">
      <alignment horizontal="left" vertical="center"/>
    </xf>
    <xf numFmtId="49" fontId="2" fillId="0" borderId="5" xfId="1" applyNumberFormat="1" applyFont="1" applyBorder="1" applyAlignment="1">
      <alignment horizontal="left" vertical="center"/>
    </xf>
    <xf numFmtId="49" fontId="21" fillId="0" borderId="32" xfId="1" applyNumberFormat="1" applyFont="1" applyBorder="1" applyAlignment="1">
      <alignment horizontal="right" vertical="center" shrinkToFit="1"/>
    </xf>
    <xf numFmtId="49" fontId="21" fillId="0" borderId="0" xfId="1" applyNumberFormat="1" applyFont="1" applyAlignment="1">
      <alignment horizontal="right" vertical="center" shrinkToFit="1"/>
    </xf>
    <xf numFmtId="49" fontId="7" fillId="2" borderId="38" xfId="1" quotePrefix="1" applyNumberFormat="1" applyFont="1" applyFill="1" applyBorder="1" applyAlignment="1">
      <alignment horizontal="left" vertical="center" wrapText="1"/>
    </xf>
    <xf numFmtId="49" fontId="7" fillId="2" borderId="38" xfId="1" applyNumberFormat="1" applyFont="1" applyFill="1" applyBorder="1" applyAlignment="1">
      <alignment horizontal="left" vertical="center"/>
    </xf>
    <xf numFmtId="49" fontId="7" fillId="2" borderId="37" xfId="1" applyNumberFormat="1" applyFont="1" applyFill="1" applyBorder="1" applyAlignment="1">
      <alignment horizontal="left" vertical="center"/>
    </xf>
    <xf numFmtId="49" fontId="22" fillId="0" borderId="0" xfId="1" applyNumberFormat="1" applyFont="1" applyAlignment="1">
      <alignment horizontal="center" vertical="center" shrinkToFit="1"/>
    </xf>
    <xf numFmtId="49" fontId="22" fillId="0" borderId="30" xfId="1" applyNumberFormat="1" applyFont="1" applyBorder="1" applyAlignment="1">
      <alignment horizontal="center" vertical="center" shrinkToFit="1"/>
    </xf>
    <xf numFmtId="49" fontId="21" fillId="0" borderId="0" xfId="1" applyNumberFormat="1" applyFont="1" applyAlignment="1">
      <alignment horizontal="left" vertical="center" shrinkToFit="1"/>
    </xf>
    <xf numFmtId="49" fontId="21" fillId="0" borderId="30" xfId="1" applyNumberFormat="1" applyFont="1" applyBorder="1" applyAlignment="1">
      <alignment horizontal="left" vertical="center" shrinkToFit="1"/>
    </xf>
    <xf numFmtId="49" fontId="21" fillId="0" borderId="29" xfId="1" applyNumberFormat="1" applyFont="1" applyBorder="1" applyAlignment="1">
      <alignment horizontal="left" vertical="center" shrinkToFit="1"/>
    </xf>
    <xf numFmtId="49" fontId="21" fillId="0" borderId="15" xfId="1" applyNumberFormat="1" applyFont="1" applyBorder="1" applyAlignment="1">
      <alignment horizontal="left" vertical="center" shrinkToFit="1"/>
    </xf>
    <xf numFmtId="49" fontId="21" fillId="0" borderId="31" xfId="1" applyNumberFormat="1" applyFont="1" applyBorder="1" applyAlignment="1">
      <alignment horizontal="left" vertical="center" shrinkToFit="1"/>
    </xf>
    <xf numFmtId="49" fontId="21" fillId="0" borderId="23" xfId="1" applyNumberFormat="1" applyFont="1" applyBorder="1" applyAlignment="1">
      <alignment horizontal="left" vertical="center" shrinkToFit="1"/>
    </xf>
    <xf numFmtId="49" fontId="21" fillId="0" borderId="25" xfId="1" applyNumberFormat="1" applyFont="1" applyBorder="1" applyAlignment="1">
      <alignment horizontal="left" vertical="center" shrinkToFit="1"/>
    </xf>
    <xf numFmtId="49" fontId="21" fillId="0" borderId="30" xfId="1" applyNumberFormat="1" applyFont="1" applyBorder="1" applyAlignment="1">
      <alignment horizontal="right" vertical="center" shrinkToFit="1"/>
    </xf>
    <xf numFmtId="49" fontId="21" fillId="0" borderId="23" xfId="1" applyNumberFormat="1" applyFont="1" applyBorder="1" applyAlignment="1">
      <alignment horizontal="right" vertical="center" shrinkToFit="1"/>
    </xf>
    <xf numFmtId="49" fontId="21" fillId="0" borderId="25" xfId="1" applyNumberFormat="1" applyFont="1" applyBorder="1" applyAlignment="1">
      <alignment horizontal="right" vertical="center" shrinkToFit="1"/>
    </xf>
    <xf numFmtId="49" fontId="22" fillId="0" borderId="18" xfId="1" applyNumberFormat="1" applyFont="1" applyBorder="1" applyAlignment="1">
      <alignment horizontal="center" vertical="center" shrinkToFit="1"/>
    </xf>
    <xf numFmtId="49" fontId="22" fillId="0" borderId="1" xfId="1" applyNumberFormat="1" applyFont="1" applyBorder="1" applyAlignment="1">
      <alignment horizontal="center" vertical="center" shrinkToFit="1"/>
    </xf>
    <xf numFmtId="49" fontId="22" fillId="0" borderId="27" xfId="1" applyNumberFormat="1" applyFont="1" applyBorder="1" applyAlignment="1">
      <alignment horizontal="center" vertical="center" shrinkToFit="1"/>
    </xf>
    <xf numFmtId="49" fontId="7" fillId="2" borderId="39" xfId="1" quotePrefix="1" applyNumberFormat="1" applyFont="1" applyFill="1" applyBorder="1" applyAlignment="1">
      <alignment horizontal="left" vertical="center" wrapText="1"/>
    </xf>
    <xf numFmtId="49" fontId="21" fillId="0" borderId="13" xfId="1" applyNumberFormat="1" applyFont="1" applyBorder="1" applyAlignment="1">
      <alignment horizontal="left" vertical="center" shrinkToFit="1"/>
    </xf>
    <xf numFmtId="49" fontId="21" fillId="0" borderId="32" xfId="1" applyNumberFormat="1" applyFont="1" applyBorder="1" applyAlignment="1">
      <alignment horizontal="left" vertical="center" shrinkToFit="1"/>
    </xf>
    <xf numFmtId="49" fontId="21" fillId="0" borderId="26" xfId="1" applyNumberFormat="1" applyFont="1" applyBorder="1" applyAlignment="1">
      <alignment horizontal="left" vertical="center" shrinkToFit="1"/>
    </xf>
    <xf numFmtId="49" fontId="21" fillId="0" borderId="24" xfId="1" applyNumberFormat="1" applyFont="1" applyBorder="1" applyAlignment="1">
      <alignment horizontal="left" vertical="center" shrinkToFit="1"/>
    </xf>
    <xf numFmtId="49" fontId="21" fillId="0" borderId="33" xfId="1" applyNumberFormat="1" applyFont="1" applyBorder="1" applyAlignment="1">
      <alignment horizontal="left" vertical="center" shrinkToFit="1"/>
    </xf>
    <xf numFmtId="49" fontId="21" fillId="0" borderId="0" xfId="1" applyNumberFormat="1" applyFont="1" applyAlignment="1">
      <alignment horizontal="center" vertical="center" shrinkToFit="1"/>
    </xf>
    <xf numFmtId="49" fontId="21" fillId="0" borderId="30" xfId="1" applyNumberFormat="1" applyFont="1" applyBorder="1" applyAlignment="1">
      <alignment horizontal="center" vertical="center" shrinkToFit="1"/>
    </xf>
    <xf numFmtId="49" fontId="24" fillId="0" borderId="0" xfId="1" applyNumberFormat="1" applyFont="1" applyAlignment="1">
      <alignment horizontal="center" vertical="center" shrinkToFit="1"/>
    </xf>
    <xf numFmtId="49" fontId="24" fillId="0" borderId="30" xfId="1" applyNumberFormat="1" applyFont="1" applyBorder="1" applyAlignment="1">
      <alignment horizontal="center" vertical="center" shrinkToFit="1"/>
    </xf>
    <xf numFmtId="49" fontId="21" fillId="0" borderId="11" xfId="1" applyNumberFormat="1" applyFont="1" applyBorder="1" applyAlignment="1">
      <alignment horizontal="right" vertical="center" shrinkToFit="1"/>
    </xf>
    <xf numFmtId="49" fontId="21" fillId="0" borderId="14" xfId="1" applyNumberFormat="1" applyFont="1" applyBorder="1" applyAlignment="1">
      <alignment horizontal="left" vertical="center" shrinkToFit="1"/>
    </xf>
    <xf numFmtId="49" fontId="21" fillId="0" borderId="11" xfId="1" applyNumberFormat="1" applyFont="1" applyBorder="1" applyAlignment="1">
      <alignment horizontal="center" vertical="center" shrinkToFit="1"/>
    </xf>
    <xf numFmtId="49" fontId="21" fillId="0" borderId="11" xfId="1" applyNumberFormat="1" applyFont="1" applyBorder="1" applyAlignment="1">
      <alignment horizontal="left" vertical="center" shrinkToFit="1"/>
    </xf>
    <xf numFmtId="49" fontId="21" fillId="0" borderId="23" xfId="1" applyNumberFormat="1" applyFont="1" applyBorder="1" applyAlignment="1">
      <alignment horizontal="center" vertical="center" shrinkToFit="1"/>
    </xf>
    <xf numFmtId="0" fontId="1" fillId="0" borderId="0" xfId="1" applyAlignment="1">
      <alignment horizontal="center"/>
    </xf>
    <xf numFmtId="49" fontId="7" fillId="0" borderId="38" xfId="1" applyNumberFormat="1" applyFont="1" applyBorder="1" applyAlignment="1">
      <alignment horizontal="left" vertical="center" wrapText="1"/>
    </xf>
    <xf numFmtId="49" fontId="7" fillId="0" borderId="38" xfId="1" applyNumberFormat="1" applyFont="1" applyBorder="1" applyAlignment="1">
      <alignment horizontal="left" vertical="center"/>
    </xf>
    <xf numFmtId="49" fontId="7" fillId="9" borderId="38" xfId="1" applyNumberFormat="1" applyFont="1" applyFill="1" applyBorder="1" applyAlignment="1">
      <alignment horizontal="left" vertical="center" wrapText="1"/>
    </xf>
    <xf numFmtId="49" fontId="7" fillId="9" borderId="38" xfId="1" applyNumberFormat="1" applyFont="1" applyFill="1" applyBorder="1" applyAlignment="1">
      <alignment horizontal="left" vertical="center"/>
    </xf>
    <xf numFmtId="0" fontId="7" fillId="9" borderId="12" xfId="1" applyFont="1" applyFill="1" applyBorder="1" applyAlignment="1">
      <alignment horizontal="center" vertical="center" wrapText="1" shrinkToFit="1"/>
    </xf>
    <xf numFmtId="0" fontId="7" fillId="9" borderId="18" xfId="1" applyFont="1" applyFill="1" applyBorder="1" applyAlignment="1">
      <alignment horizontal="center" vertical="center" wrapText="1" shrinkToFit="1"/>
    </xf>
    <xf numFmtId="16" fontId="16" fillId="0" borderId="9" xfId="1" applyNumberFormat="1" applyFont="1" applyBorder="1" applyAlignment="1">
      <alignment horizontal="center" vertical="center"/>
    </xf>
    <xf numFmtId="16" fontId="16" fillId="0" borderId="7" xfId="1" applyNumberFormat="1" applyFont="1" applyBorder="1" applyAlignment="1">
      <alignment horizontal="center" vertical="center"/>
    </xf>
    <xf numFmtId="16" fontId="16" fillId="0" borderId="5" xfId="1" applyNumberFormat="1" applyFont="1" applyBorder="1" applyAlignment="1">
      <alignment horizontal="center" vertical="center"/>
    </xf>
    <xf numFmtId="171" fontId="16" fillId="0" borderId="9" xfId="1" applyNumberFormat="1" applyFont="1" applyBorder="1" applyAlignment="1">
      <alignment horizontal="center" vertical="center"/>
    </xf>
    <xf numFmtId="171" fontId="16" fillId="0" borderId="7" xfId="1" applyNumberFormat="1" applyFont="1" applyBorder="1" applyAlignment="1">
      <alignment horizontal="center" vertical="center"/>
    </xf>
    <xf numFmtId="171" fontId="16" fillId="0" borderId="5" xfId="1" applyNumberFormat="1" applyFont="1" applyBorder="1" applyAlignment="1">
      <alignment horizontal="center" vertical="center"/>
    </xf>
    <xf numFmtId="49" fontId="7" fillId="0" borderId="38" xfId="1" quotePrefix="1" applyNumberFormat="1" applyFont="1" applyBorder="1" applyAlignment="1">
      <alignment horizontal="left" vertical="center" wrapText="1"/>
    </xf>
    <xf numFmtId="49" fontId="26" fillId="0" borderId="23" xfId="1" applyNumberFormat="1" applyFont="1" applyBorder="1" applyAlignment="1">
      <alignment horizontal="left" vertical="center" shrinkToFit="1"/>
    </xf>
    <xf numFmtId="49" fontId="26" fillId="0" borderId="0" xfId="1" applyNumberFormat="1" applyFont="1" applyAlignment="1">
      <alignment horizontal="left" vertical="center" shrinkToFit="1"/>
    </xf>
    <xf numFmtId="49" fontId="26" fillId="0" borderId="30" xfId="1" applyNumberFormat="1" applyFont="1" applyBorder="1" applyAlignment="1">
      <alignment horizontal="left" vertical="center" shrinkToFit="1"/>
    </xf>
    <xf numFmtId="49" fontId="26" fillId="0" borderId="15" xfId="1" applyNumberFormat="1" applyFont="1" applyBorder="1" applyAlignment="1">
      <alignment horizontal="left" vertical="center" shrinkToFit="1"/>
    </xf>
    <xf numFmtId="49" fontId="26" fillId="0" borderId="31" xfId="1" applyNumberFormat="1" applyFont="1" applyBorder="1" applyAlignment="1">
      <alignment horizontal="left" vertical="center" shrinkToFit="1"/>
    </xf>
    <xf numFmtId="49" fontId="26" fillId="0" borderId="29" xfId="1" applyNumberFormat="1" applyFont="1" applyBorder="1" applyAlignment="1">
      <alignment horizontal="left" vertical="center" shrinkToFit="1"/>
    </xf>
    <xf numFmtId="49" fontId="26" fillId="0" borderId="23" xfId="1" applyNumberFormat="1" applyFont="1" applyBorder="1" applyAlignment="1">
      <alignment horizontal="right" vertical="center" shrinkToFit="1"/>
    </xf>
    <xf numFmtId="49" fontId="26" fillId="0" borderId="0" xfId="1" applyNumberFormat="1" applyFont="1" applyAlignment="1">
      <alignment horizontal="right" vertical="center" shrinkToFit="1"/>
    </xf>
    <xf numFmtId="49" fontId="26" fillId="0" borderId="30" xfId="1" applyNumberFormat="1" applyFont="1" applyBorder="1" applyAlignment="1">
      <alignment horizontal="right" vertical="center" shrinkToFit="1"/>
    </xf>
    <xf numFmtId="49" fontId="26" fillId="0" borderId="26" xfId="1" applyNumberFormat="1" applyFont="1" applyBorder="1" applyAlignment="1">
      <alignment horizontal="left" vertical="center" shrinkToFit="1"/>
    </xf>
    <xf numFmtId="49" fontId="26" fillId="0" borderId="13" xfId="1" applyNumberFormat="1" applyFont="1" applyBorder="1" applyAlignment="1">
      <alignment horizontal="left" vertical="center" shrinkToFit="1"/>
    </xf>
    <xf numFmtId="49" fontId="26" fillId="0" borderId="24" xfId="1" applyNumberFormat="1" applyFont="1" applyBorder="1" applyAlignment="1">
      <alignment horizontal="left" vertical="center" shrinkToFit="1"/>
    </xf>
    <xf numFmtId="49" fontId="29" fillId="13" borderId="26" xfId="1" applyNumberFormat="1" applyFont="1" applyFill="1" applyBorder="1" applyAlignment="1">
      <alignment horizontal="center" vertical="center" shrinkToFit="1"/>
    </xf>
    <xf numFmtId="49" fontId="29" fillId="13" borderId="13" xfId="1" applyNumberFormat="1" applyFont="1" applyFill="1" applyBorder="1" applyAlignment="1">
      <alignment horizontal="center" vertical="center" shrinkToFit="1"/>
    </xf>
    <xf numFmtId="49" fontId="29" fillId="13" borderId="32" xfId="1" applyNumberFormat="1" applyFont="1" applyFill="1" applyBorder="1" applyAlignment="1">
      <alignment horizontal="center" vertical="center" shrinkToFit="1"/>
    </xf>
    <xf numFmtId="49" fontId="29" fillId="14" borderId="26" xfId="1" applyNumberFormat="1" applyFont="1" applyFill="1" applyBorder="1" applyAlignment="1">
      <alignment horizontal="center" vertical="center" shrinkToFit="1"/>
    </xf>
    <xf numFmtId="49" fontId="29" fillId="14" borderId="13" xfId="1" applyNumberFormat="1" applyFont="1" applyFill="1" applyBorder="1" applyAlignment="1">
      <alignment horizontal="center" vertical="center" shrinkToFit="1"/>
    </xf>
    <xf numFmtId="49" fontId="29" fillId="14" borderId="32" xfId="1" applyNumberFormat="1" applyFont="1" applyFill="1" applyBorder="1" applyAlignment="1">
      <alignment horizontal="center" vertical="center" shrinkToFit="1"/>
    </xf>
    <xf numFmtId="49" fontId="29" fillId="13" borderId="29" xfId="1" applyNumberFormat="1" applyFont="1" applyFill="1" applyBorder="1" applyAlignment="1">
      <alignment horizontal="center" vertical="center" shrinkToFit="1"/>
    </xf>
    <xf numFmtId="49" fontId="29" fillId="13" borderId="15" xfId="1" applyNumberFormat="1" applyFont="1" applyFill="1" applyBorder="1" applyAlignment="1">
      <alignment horizontal="center" vertical="center" shrinkToFit="1"/>
    </xf>
    <xf numFmtId="49" fontId="29" fillId="13" borderId="31" xfId="1" applyNumberFormat="1" applyFont="1" applyFill="1" applyBorder="1" applyAlignment="1">
      <alignment horizontal="center" vertical="center" shrinkToFit="1"/>
    </xf>
    <xf numFmtId="49" fontId="29" fillId="14" borderId="29" xfId="1" applyNumberFormat="1" applyFont="1" applyFill="1" applyBorder="1" applyAlignment="1">
      <alignment horizontal="center" vertical="center" shrinkToFit="1"/>
    </xf>
    <xf numFmtId="49" fontId="29" fillId="14" borderId="15" xfId="1" applyNumberFormat="1" applyFont="1" applyFill="1" applyBorder="1" applyAlignment="1">
      <alignment horizontal="center" vertical="center" shrinkToFit="1"/>
    </xf>
    <xf numFmtId="49" fontId="29" fillId="14" borderId="31" xfId="1" applyNumberFormat="1" applyFont="1" applyFill="1" applyBorder="1" applyAlignment="1">
      <alignment horizontal="center" vertical="center" shrinkToFit="1"/>
    </xf>
    <xf numFmtId="49" fontId="7" fillId="0" borderId="39" xfId="1" quotePrefix="1" applyNumberFormat="1" applyFont="1" applyBorder="1" applyAlignment="1">
      <alignment horizontal="left" vertical="center" wrapText="1"/>
    </xf>
    <xf numFmtId="49" fontId="26" fillId="0" borderId="32" xfId="1" applyNumberFormat="1" applyFont="1" applyBorder="1" applyAlignment="1">
      <alignment horizontal="left" vertical="center" shrinkToFit="1"/>
    </xf>
    <xf numFmtId="49" fontId="7" fillId="0" borderId="39" xfId="1" applyNumberFormat="1" applyFont="1" applyBorder="1" applyAlignment="1">
      <alignment horizontal="left" vertical="center" wrapText="1"/>
    </xf>
    <xf numFmtId="49" fontId="7" fillId="0" borderId="37" xfId="1" applyNumberFormat="1" applyFont="1" applyBorder="1" applyAlignment="1">
      <alignment horizontal="left" vertical="center"/>
    </xf>
    <xf numFmtId="16" fontId="25" fillId="3" borderId="9" xfId="1" applyNumberFormat="1" applyFont="1" applyFill="1" applyBorder="1" applyAlignment="1">
      <alignment horizontal="center" vertical="center"/>
    </xf>
    <xf numFmtId="16" fontId="25" fillId="3" borderId="7" xfId="1" applyNumberFormat="1" applyFont="1" applyFill="1" applyBorder="1" applyAlignment="1">
      <alignment horizontal="center" vertical="center"/>
    </xf>
    <xf numFmtId="16" fontId="25" fillId="3" borderId="5" xfId="1" applyNumberFormat="1" applyFont="1" applyFill="1" applyBorder="1" applyAlignment="1">
      <alignment horizontal="center" vertical="center"/>
    </xf>
    <xf numFmtId="16" fontId="16" fillId="3" borderId="9" xfId="1" applyNumberFormat="1" applyFont="1" applyFill="1" applyBorder="1" applyAlignment="1">
      <alignment horizontal="center" vertical="center"/>
    </xf>
    <xf numFmtId="16" fontId="16" fillId="3" borderId="7" xfId="1" applyNumberFormat="1" applyFont="1" applyFill="1" applyBorder="1" applyAlignment="1">
      <alignment horizontal="center" vertical="center"/>
    </xf>
    <xf numFmtId="16" fontId="16" fillId="3" borderId="5" xfId="1" applyNumberFormat="1" applyFont="1" applyFill="1" applyBorder="1" applyAlignment="1">
      <alignment horizontal="center" vertical="center"/>
    </xf>
    <xf numFmtId="49" fontId="7" fillId="0" borderId="36" xfId="1" applyNumberFormat="1" applyFont="1" applyBorder="1" applyAlignment="1">
      <alignment horizontal="left" vertical="center" wrapText="1"/>
    </xf>
    <xf numFmtId="49" fontId="7" fillId="9" borderId="38" xfId="1" quotePrefix="1" applyNumberFormat="1" applyFont="1" applyFill="1" applyBorder="1" applyAlignment="1">
      <alignment horizontal="left" vertical="center" wrapText="1"/>
    </xf>
    <xf numFmtId="49" fontId="7" fillId="9" borderId="37" xfId="1" applyNumberFormat="1" applyFont="1" applyFill="1" applyBorder="1" applyAlignment="1">
      <alignment horizontal="left" vertical="center"/>
    </xf>
    <xf numFmtId="49" fontId="21" fillId="0" borderId="12" xfId="1" applyNumberFormat="1" applyFont="1" applyBorder="1" applyAlignment="1">
      <alignment horizontal="center" vertical="center" shrinkToFit="1"/>
    </xf>
    <xf numFmtId="49" fontId="21" fillId="0" borderId="14" xfId="1" applyNumberFormat="1" applyFont="1" applyBorder="1" applyAlignment="1">
      <alignment horizontal="center" vertical="center" shrinkToFit="1"/>
    </xf>
    <xf numFmtId="49" fontId="26" fillId="0" borderId="25" xfId="1" applyNumberFormat="1" applyFont="1" applyBorder="1" applyAlignment="1">
      <alignment horizontal="right" vertical="center" shrinkToFit="1"/>
    </xf>
    <xf numFmtId="49" fontId="26" fillId="0" borderId="19" xfId="1" applyNumberFormat="1" applyFont="1" applyBorder="1" applyAlignment="1">
      <alignment horizontal="center" vertical="center" shrinkToFit="1"/>
    </xf>
    <xf numFmtId="49" fontId="26" fillId="0" borderId="17" xfId="1" applyNumberFormat="1" applyFont="1" applyBorder="1" applyAlignment="1">
      <alignment horizontal="center" vertical="center" shrinkToFit="1"/>
    </xf>
    <xf numFmtId="49" fontId="26" fillId="0" borderId="21" xfId="1" applyNumberFormat="1" applyFont="1" applyBorder="1" applyAlignment="1">
      <alignment horizontal="center" vertical="center" shrinkToFit="1"/>
    </xf>
    <xf numFmtId="49" fontId="26" fillId="0" borderId="33" xfId="1" applyNumberFormat="1" applyFont="1" applyBorder="1" applyAlignment="1">
      <alignment horizontal="left" vertical="center" shrinkToFit="1"/>
    </xf>
    <xf numFmtId="49" fontId="26" fillId="0" borderId="23" xfId="1" applyNumberFormat="1" applyFont="1" applyBorder="1" applyAlignment="1">
      <alignment horizontal="center" vertical="center" shrinkToFit="1"/>
    </xf>
    <xf numFmtId="49" fontId="26" fillId="0" borderId="0" xfId="1" applyNumberFormat="1" applyFont="1" applyAlignment="1">
      <alignment horizontal="center" vertical="center" shrinkToFit="1"/>
    </xf>
    <xf numFmtId="49" fontId="26" fillId="0" borderId="30" xfId="1" applyNumberFormat="1" applyFont="1" applyBorder="1" applyAlignment="1">
      <alignment horizontal="center" vertical="center" shrinkToFit="1"/>
    </xf>
    <xf numFmtId="0" fontId="7" fillId="9" borderId="2" xfId="1" applyFont="1" applyFill="1" applyBorder="1" applyAlignment="1">
      <alignment horizontal="center" vertical="center" wrapText="1" shrinkToFit="1"/>
    </xf>
    <xf numFmtId="0" fontId="7" fillId="9" borderId="22" xfId="1" applyFont="1" applyFill="1" applyBorder="1" applyAlignment="1">
      <alignment horizontal="center" vertical="center" wrapText="1" shrinkToFit="1"/>
    </xf>
    <xf numFmtId="49" fontId="22" fillId="0" borderId="1" xfId="1" applyNumberFormat="1" applyFont="1" applyBorder="1" applyAlignment="1">
      <alignment horizontal="right" vertical="center" shrinkToFit="1"/>
    </xf>
    <xf numFmtId="49" fontId="22" fillId="0" borderId="27" xfId="1" applyNumberFormat="1" applyFont="1" applyBorder="1" applyAlignment="1">
      <alignment horizontal="right" vertical="center" shrinkToFit="1"/>
    </xf>
    <xf numFmtId="49" fontId="21" fillId="0" borderId="12" xfId="1" applyNumberFormat="1" applyFont="1" applyBorder="1" applyAlignment="1">
      <alignment horizontal="left" vertical="center" shrinkToFit="1"/>
    </xf>
    <xf numFmtId="164" fontId="3" fillId="9" borderId="7" xfId="1" applyNumberFormat="1" applyFont="1" applyFill="1" applyBorder="1" applyAlignment="1">
      <alignment horizontal="left" vertical="center"/>
    </xf>
    <xf numFmtId="164" fontId="3" fillId="9" borderId="34" xfId="1" applyNumberFormat="1" applyFont="1" applyFill="1" applyBorder="1" applyAlignment="1">
      <alignment horizontal="left" vertical="center"/>
    </xf>
    <xf numFmtId="164" fontId="3" fillId="9" borderId="5" xfId="1" applyNumberFormat="1" applyFont="1" applyFill="1" applyBorder="1" applyAlignment="1">
      <alignment horizontal="left" vertical="center"/>
    </xf>
    <xf numFmtId="49" fontId="26" fillId="0" borderId="12" xfId="1" applyNumberFormat="1" applyFont="1" applyBorder="1" applyAlignment="1">
      <alignment horizontal="left" vertical="center" shrinkToFit="1"/>
    </xf>
    <xf numFmtId="49" fontId="26" fillId="0" borderId="11" xfId="1" applyNumberFormat="1" applyFont="1" applyBorder="1" applyAlignment="1">
      <alignment horizontal="right" vertical="center" shrinkToFit="1"/>
    </xf>
    <xf numFmtId="49" fontId="26" fillId="0" borderId="11" xfId="1" applyNumberFormat="1" applyFont="1" applyBorder="1" applyAlignment="1">
      <alignment horizontal="left" vertical="center" shrinkToFit="1"/>
    </xf>
    <xf numFmtId="49" fontId="26" fillId="0" borderId="14" xfId="1" applyNumberFormat="1" applyFont="1" applyBorder="1" applyAlignment="1">
      <alignment horizontal="left" vertical="center" shrinkToFit="1"/>
    </xf>
    <xf numFmtId="49" fontId="26" fillId="0" borderId="11" xfId="1" applyNumberFormat="1" applyFont="1" applyBorder="1" applyAlignment="1">
      <alignment horizontal="center" vertical="center" shrinkToFit="1"/>
    </xf>
    <xf numFmtId="49" fontId="26" fillId="0" borderId="16" xfId="1" applyNumberFormat="1" applyFont="1" applyBorder="1" applyAlignment="1">
      <alignment horizontal="center" vertical="center" shrinkToFit="1"/>
    </xf>
    <xf numFmtId="49" fontId="7" fillId="2" borderId="2" xfId="1" applyNumberFormat="1" applyFont="1" applyFill="1" applyBorder="1" applyAlignment="1" applyProtection="1">
      <alignment horizontal="left" vertical="center" wrapText="1" shrinkToFit="1"/>
      <protection locked="0"/>
    </xf>
    <xf numFmtId="49" fontId="7" fillId="2" borderId="36" xfId="1" applyNumberFormat="1" applyFont="1" applyFill="1" applyBorder="1" applyAlignment="1" applyProtection="1">
      <alignment horizontal="left" vertical="center" shrinkToFit="1"/>
      <protection locked="0"/>
    </xf>
    <xf numFmtId="49" fontId="6" fillId="7" borderId="12" xfId="1" applyNumberFormat="1" applyFont="1" applyFill="1" applyBorder="1" applyAlignment="1">
      <alignment horizontal="left" vertical="center" shrinkToFit="1"/>
    </xf>
    <xf numFmtId="0" fontId="6" fillId="7" borderId="16" xfId="1" applyFont="1" applyFill="1" applyBorder="1" applyAlignment="1">
      <alignment horizontal="left" vertical="center" shrinkToFit="1"/>
    </xf>
    <xf numFmtId="0" fontId="6" fillId="7" borderId="14" xfId="1" applyFont="1" applyFill="1" applyBorder="1" applyAlignment="1">
      <alignment horizontal="left" vertical="center" shrinkToFit="1"/>
    </xf>
    <xf numFmtId="0" fontId="6" fillId="7" borderId="18" xfId="1" applyFont="1" applyFill="1" applyBorder="1" applyAlignment="1">
      <alignment horizontal="left" vertical="center" shrinkToFit="1"/>
    </xf>
    <xf numFmtId="0" fontId="17" fillId="0" borderId="17" xfId="2" applyFont="1" applyBorder="1" applyAlignment="1">
      <alignment horizontal="left"/>
    </xf>
    <xf numFmtId="20" fontId="8" fillId="0" borderId="17" xfId="2" applyNumberFormat="1" applyFont="1" applyBorder="1" applyAlignment="1">
      <alignment horizontal="center" shrinkToFit="1"/>
    </xf>
    <xf numFmtId="20" fontId="8" fillId="0" borderId="21" xfId="2" applyNumberFormat="1" applyFont="1" applyBorder="1" applyAlignment="1">
      <alignment horizontal="center" shrinkToFit="1"/>
    </xf>
    <xf numFmtId="0" fontId="8" fillId="0" borderId="0" xfId="2" applyFont="1" applyAlignment="1">
      <alignment horizontal="center" shrinkToFit="1"/>
    </xf>
    <xf numFmtId="0" fontId="8" fillId="0" borderId="25" xfId="2" applyFont="1" applyBorder="1" applyAlignment="1">
      <alignment horizontal="center" shrinkToFit="1"/>
    </xf>
    <xf numFmtId="20" fontId="8" fillId="0" borderId="28" xfId="2" applyNumberFormat="1" applyFont="1" applyBorder="1" applyAlignment="1">
      <alignment horizontal="center" shrinkToFit="1"/>
    </xf>
    <xf numFmtId="0" fontId="17" fillId="0" borderId="16" xfId="2" applyFont="1" applyBorder="1" applyAlignment="1">
      <alignment horizontal="left"/>
    </xf>
    <xf numFmtId="49" fontId="6" fillId="6" borderId="3" xfId="2" applyNumberFormat="1" applyFont="1" applyFill="1" applyBorder="1" applyAlignment="1">
      <alignment vertical="center" wrapText="1"/>
    </xf>
    <xf numFmtId="0" fontId="6" fillId="6" borderId="3" xfId="2" applyFont="1" applyFill="1" applyBorder="1" applyAlignment="1">
      <alignment vertical="center" wrapText="1"/>
    </xf>
    <xf numFmtId="0" fontId="1" fillId="0" borderId="3" xfId="1" applyBorder="1" applyAlignment="1">
      <alignment vertical="center" wrapText="1"/>
    </xf>
    <xf numFmtId="0" fontId="1" fillId="0" borderId="22" xfId="1" applyBorder="1" applyAlignment="1">
      <alignment vertical="center" wrapText="1"/>
    </xf>
    <xf numFmtId="15" fontId="9" fillId="0" borderId="14" xfId="2" applyNumberFormat="1" applyFont="1" applyBorder="1" applyAlignment="1">
      <alignment horizontal="left" vertical="top"/>
    </xf>
    <xf numFmtId="15" fontId="9" fillId="0" borderId="15" xfId="2" applyNumberFormat="1" applyFont="1" applyBorder="1" applyAlignment="1">
      <alignment horizontal="left" vertical="top"/>
    </xf>
    <xf numFmtId="15" fontId="9" fillId="0" borderId="11" xfId="2" applyNumberFormat="1" applyFont="1" applyBorder="1" applyAlignment="1">
      <alignment horizontal="left" vertical="top"/>
    </xf>
    <xf numFmtId="15" fontId="9" fillId="0" borderId="0" xfId="2" applyNumberFormat="1" applyFont="1" applyAlignment="1">
      <alignment horizontal="left" vertical="top"/>
    </xf>
    <xf numFmtId="0" fontId="8" fillId="0" borderId="15" xfId="2" applyFont="1" applyBorder="1" applyAlignment="1">
      <alignment horizontal="right" vertical="center" wrapText="1" shrinkToFit="1"/>
    </xf>
    <xf numFmtId="0" fontId="8" fillId="0" borderId="31" xfId="2" applyFont="1" applyBorder="1" applyAlignment="1">
      <alignment horizontal="right" vertical="center" wrapText="1" shrinkToFit="1"/>
    </xf>
    <xf numFmtId="0" fontId="8" fillId="0" borderId="0" xfId="1" applyFont="1" applyAlignment="1">
      <alignment horizontal="right" vertical="center" wrapText="1" shrinkToFit="1"/>
    </xf>
    <xf numFmtId="0" fontId="8" fillId="0" borderId="30" xfId="1" applyFont="1" applyBorder="1" applyAlignment="1">
      <alignment horizontal="right" vertical="center" wrapText="1" shrinkToFit="1"/>
    </xf>
    <xf numFmtId="15" fontId="9" fillId="0" borderId="29" xfId="2" applyNumberFormat="1" applyFont="1" applyBorder="1" applyAlignment="1">
      <alignment horizontal="left" vertical="top"/>
    </xf>
    <xf numFmtId="0" fontId="9" fillId="0" borderId="15" xfId="2" applyFont="1" applyBorder="1" applyAlignment="1">
      <alignment horizontal="left" vertical="top"/>
    </xf>
    <xf numFmtId="0" fontId="8" fillId="0" borderId="23" xfId="1" applyFont="1" applyBorder="1" applyAlignment="1">
      <alignment horizontal="left" vertical="top"/>
    </xf>
    <xf numFmtId="0" fontId="8" fillId="0" borderId="0" xfId="1" applyFont="1" applyAlignment="1">
      <alignment horizontal="left" vertical="top"/>
    </xf>
    <xf numFmtId="0" fontId="8" fillId="0" borderId="0" xfId="2" applyFont="1" applyAlignment="1">
      <alignment horizontal="right" vertical="center" wrapText="1" shrinkToFit="1"/>
    </xf>
    <xf numFmtId="0" fontId="8" fillId="0" borderId="30" xfId="2" applyFont="1" applyBorder="1" applyAlignment="1">
      <alignment horizontal="right" vertical="center" wrapText="1" shrinkToFit="1"/>
    </xf>
    <xf numFmtId="0" fontId="17" fillId="0" borderId="0" xfId="2" applyFont="1" applyAlignment="1">
      <alignment horizontal="left"/>
    </xf>
    <xf numFmtId="20" fontId="8" fillId="0" borderId="0" xfId="2" applyNumberFormat="1" applyFont="1" applyAlignment="1">
      <alignment horizontal="center" shrinkToFit="1"/>
    </xf>
    <xf numFmtId="20" fontId="8" fillId="0" borderId="25" xfId="2" applyNumberFormat="1" applyFont="1" applyBorder="1" applyAlignment="1">
      <alignment horizontal="center" shrinkToFit="1"/>
    </xf>
    <xf numFmtId="165" fontId="6" fillId="6" borderId="2" xfId="2" applyNumberFormat="1" applyFont="1" applyFill="1" applyBorder="1" applyAlignment="1">
      <alignment horizontal="left" vertical="center" wrapText="1"/>
    </xf>
    <xf numFmtId="165" fontId="6" fillId="6" borderId="3" xfId="2" applyNumberFormat="1" applyFont="1" applyFill="1" applyBorder="1" applyAlignment="1">
      <alignment horizontal="left" vertical="center" wrapText="1"/>
    </xf>
    <xf numFmtId="165" fontId="6" fillId="6" borderId="36" xfId="2" applyNumberFormat="1" applyFont="1" applyFill="1" applyBorder="1" applyAlignment="1">
      <alignment horizontal="left" vertical="center" wrapText="1"/>
    </xf>
    <xf numFmtId="0" fontId="8" fillId="0" borderId="0" xfId="2" applyFont="1" applyAlignment="1">
      <alignment horizontal="left" shrinkToFit="1"/>
    </xf>
    <xf numFmtId="0" fontId="8" fillId="0" borderId="30" xfId="2" applyFont="1" applyBorder="1" applyAlignment="1">
      <alignment horizontal="left" shrinkToFit="1"/>
    </xf>
    <xf numFmtId="0" fontId="9" fillId="0" borderId="29" xfId="2" applyFont="1" applyBorder="1" applyAlignment="1">
      <alignment horizontal="left" vertical="top"/>
    </xf>
    <xf numFmtId="0" fontId="9" fillId="0" borderId="23" xfId="2" applyFont="1" applyBorder="1" applyAlignment="1">
      <alignment horizontal="left" vertical="top"/>
    </xf>
    <xf numFmtId="0" fontId="9" fillId="0" borderId="0" xfId="2" applyFont="1" applyAlignment="1">
      <alignment horizontal="left" vertical="top"/>
    </xf>
    <xf numFmtId="20" fontId="8" fillId="0" borderId="30" xfId="2" applyNumberFormat="1" applyFont="1" applyBorder="1" applyAlignment="1">
      <alignment horizontal="center" shrinkToFit="1"/>
    </xf>
    <xf numFmtId="0" fontId="8" fillId="0" borderId="25" xfId="2" applyFont="1" applyBorder="1" applyAlignment="1">
      <alignment horizontal="left" shrinkToFit="1"/>
    </xf>
    <xf numFmtId="0" fontId="8" fillId="0" borderId="33" xfId="2" applyFont="1" applyBorder="1" applyAlignment="1">
      <alignment horizontal="right" vertical="center" wrapText="1" shrinkToFit="1"/>
    </xf>
    <xf numFmtId="0" fontId="8" fillId="0" borderId="25" xfId="2" applyFont="1" applyBorder="1" applyAlignment="1">
      <alignment horizontal="right" vertical="center" wrapText="1" shrinkToFit="1"/>
    </xf>
    <xf numFmtId="0" fontId="8" fillId="0" borderId="25" xfId="1" applyFont="1" applyBorder="1" applyAlignment="1">
      <alignment horizontal="right" vertical="center" wrapText="1" shrinkToFit="1"/>
    </xf>
    <xf numFmtId="0" fontId="8" fillId="0" borderId="17" xfId="2" applyFont="1" applyBorder="1" applyAlignment="1">
      <alignment horizontal="center" shrinkToFit="1"/>
    </xf>
    <xf numFmtId="0" fontId="8" fillId="0" borderId="28" xfId="2" applyFont="1" applyBorder="1" applyAlignment="1">
      <alignment horizontal="center" shrinkToFit="1"/>
    </xf>
    <xf numFmtId="49" fontId="6" fillId="6" borderId="35" xfId="2" applyNumberFormat="1" applyFont="1" applyFill="1" applyBorder="1" applyAlignment="1">
      <alignment vertical="center" wrapText="1"/>
    </xf>
    <xf numFmtId="0" fontId="1" fillId="0" borderId="36" xfId="1" applyBorder="1" applyAlignment="1">
      <alignment vertical="center" wrapText="1"/>
    </xf>
    <xf numFmtId="49" fontId="6" fillId="6" borderId="35" xfId="2" applyNumberFormat="1" applyFont="1" applyFill="1" applyBorder="1" applyAlignment="1">
      <alignment horizontal="left" vertical="center" wrapText="1"/>
    </xf>
    <xf numFmtId="49" fontId="6" fillId="6" borderId="3" xfId="2" applyNumberFormat="1" applyFont="1" applyFill="1" applyBorder="1" applyAlignment="1">
      <alignment horizontal="left" vertical="center" wrapText="1"/>
    </xf>
    <xf numFmtId="0" fontId="6" fillId="6" borderId="3" xfId="2" applyFont="1" applyFill="1" applyBorder="1" applyAlignment="1">
      <alignment horizontal="left" vertical="center"/>
    </xf>
    <xf numFmtId="0" fontId="6" fillId="6" borderId="36" xfId="2" applyFont="1" applyFill="1" applyBorder="1" applyAlignment="1">
      <alignment horizontal="left" vertical="center"/>
    </xf>
    <xf numFmtId="0" fontId="8" fillId="0" borderId="0" xfId="2" applyFont="1" applyAlignment="1">
      <alignment horizontal="right" vertical="center" wrapText="1"/>
    </xf>
    <xf numFmtId="0" fontId="8" fillId="0" borderId="30" xfId="2" applyFont="1" applyBorder="1" applyAlignment="1">
      <alignment horizontal="right" vertical="center" wrapText="1"/>
    </xf>
    <xf numFmtId="0" fontId="8" fillId="0" borderId="0" xfId="1" applyFont="1" applyAlignment="1">
      <alignment horizontal="right" vertical="center"/>
    </xf>
    <xf numFmtId="0" fontId="8" fillId="0" borderId="30" xfId="1" applyFont="1" applyBorder="1" applyAlignment="1">
      <alignment horizontal="right" vertical="center"/>
    </xf>
    <xf numFmtId="0" fontId="8" fillId="0" borderId="25" xfId="2" applyFont="1" applyBorder="1" applyAlignment="1">
      <alignment horizontal="right" vertical="center" wrapText="1"/>
    </xf>
    <xf numFmtId="0" fontId="19" fillId="0" borderId="0" xfId="2" applyFont="1" applyAlignment="1">
      <alignment horizontal="left"/>
    </xf>
    <xf numFmtId="0" fontId="18" fillId="0" borderId="0" xfId="2" applyFont="1" applyAlignment="1">
      <alignment horizontal="left"/>
    </xf>
    <xf numFmtId="0" fontId="11" fillId="0" borderId="0" xfId="2" applyFont="1" applyAlignment="1">
      <alignment horizontal="left"/>
    </xf>
    <xf numFmtId="0" fontId="6" fillId="0" borderId="7" xfId="2" applyFont="1" applyBorder="1" applyAlignment="1">
      <alignment horizontal="center"/>
    </xf>
    <xf numFmtId="0" fontId="6" fillId="0" borderId="5" xfId="2" applyFont="1" applyBorder="1" applyAlignment="1">
      <alignment horizontal="center"/>
    </xf>
    <xf numFmtId="49" fontId="6" fillId="6" borderId="2" xfId="2" applyNumberFormat="1" applyFont="1" applyFill="1" applyBorder="1" applyAlignment="1">
      <alignment horizontal="left" vertical="center" wrapText="1"/>
    </xf>
    <xf numFmtId="15" fontId="9" fillId="0" borderId="12" xfId="2" applyNumberFormat="1" applyFont="1" applyBorder="1" applyAlignment="1">
      <alignment horizontal="left" vertical="top"/>
    </xf>
    <xf numFmtId="15" fontId="9" fillId="0" borderId="13" xfId="2" applyNumberFormat="1" applyFont="1" applyBorder="1" applyAlignment="1">
      <alignment horizontal="left" vertical="top"/>
    </xf>
    <xf numFmtId="0" fontId="8" fillId="0" borderId="13" xfId="2" applyFont="1" applyBorder="1" applyAlignment="1">
      <alignment horizontal="right" vertical="center" wrapText="1"/>
    </xf>
    <xf numFmtId="0" fontId="8" fillId="0" borderId="32" xfId="2" applyFont="1" applyBorder="1" applyAlignment="1">
      <alignment horizontal="right" vertical="center" wrapText="1"/>
    </xf>
    <xf numFmtId="0" fontId="9" fillId="0" borderId="26" xfId="2" applyFont="1" applyBorder="1" applyAlignment="1">
      <alignment horizontal="left" vertical="top"/>
    </xf>
    <xf numFmtId="0" fontId="9" fillId="0" borderId="13" xfId="2" applyFont="1" applyBorder="1" applyAlignment="1">
      <alignment horizontal="left" vertical="top"/>
    </xf>
    <xf numFmtId="0" fontId="8" fillId="0" borderId="13" xfId="1" applyFont="1" applyBorder="1" applyAlignment="1">
      <alignment horizontal="right" vertical="center"/>
    </xf>
    <xf numFmtId="0" fontId="8" fillId="0" borderId="32" xfId="1" applyFont="1" applyBorder="1" applyAlignment="1">
      <alignment horizontal="right" vertical="center"/>
    </xf>
    <xf numFmtId="0" fontId="8" fillId="0" borderId="13" xfId="2" applyFont="1" applyBorder="1" applyAlignment="1">
      <alignment horizontal="right" vertical="center" wrapText="1" shrinkToFit="1"/>
    </xf>
    <xf numFmtId="0" fontId="8" fillId="0" borderId="24" xfId="2" applyFont="1" applyBorder="1" applyAlignment="1">
      <alignment horizontal="right" vertical="center" wrapText="1" shrinkToFit="1"/>
    </xf>
    <xf numFmtId="16" fontId="7" fillId="3" borderId="9" xfId="1" applyNumberFormat="1" applyFont="1" applyFill="1" applyBorder="1" applyAlignment="1">
      <alignment horizontal="center" vertical="center"/>
    </xf>
    <xf numFmtId="16" fontId="7" fillId="3" borderId="7" xfId="1" applyNumberFormat="1" applyFont="1" applyFill="1" applyBorder="1" applyAlignment="1">
      <alignment horizontal="center" vertical="center"/>
    </xf>
    <xf numFmtId="16" fontId="7" fillId="3" borderId="5" xfId="1" applyNumberFormat="1" applyFont="1" applyFill="1" applyBorder="1" applyAlignment="1">
      <alignment horizontal="center" vertical="center"/>
    </xf>
    <xf numFmtId="0" fontId="8" fillId="0" borderId="24" xfId="2" applyFont="1" applyBorder="1" applyAlignment="1">
      <alignment horizontal="right" vertical="center" wrapText="1"/>
    </xf>
    <xf numFmtId="165" fontId="6" fillId="6" borderId="35" xfId="2" applyNumberFormat="1" applyFont="1" applyFill="1" applyBorder="1" applyAlignment="1">
      <alignment vertical="center" wrapText="1"/>
    </xf>
    <xf numFmtId="165" fontId="6" fillId="6" borderId="3" xfId="2" applyNumberFormat="1" applyFont="1" applyFill="1" applyBorder="1" applyAlignment="1">
      <alignment vertical="center" wrapText="1"/>
    </xf>
    <xf numFmtId="165" fontId="1" fillId="0" borderId="3" xfId="1" applyNumberFormat="1" applyBorder="1" applyAlignment="1">
      <alignment vertical="center" wrapText="1"/>
    </xf>
    <xf numFmtId="165" fontId="1" fillId="0" borderId="36" xfId="1" applyNumberFormat="1" applyBorder="1" applyAlignment="1">
      <alignment vertical="center" wrapText="1"/>
    </xf>
    <xf numFmtId="165" fontId="6" fillId="6" borderId="35" xfId="2" applyNumberFormat="1" applyFont="1" applyFill="1" applyBorder="1" applyAlignment="1">
      <alignment horizontal="left" vertical="center" wrapText="1"/>
    </xf>
    <xf numFmtId="165" fontId="6" fillId="6" borderId="3" xfId="2" applyNumberFormat="1" applyFont="1" applyFill="1" applyBorder="1" applyAlignment="1">
      <alignment horizontal="left" vertical="center"/>
    </xf>
    <xf numFmtId="165" fontId="6" fillId="6" borderId="36" xfId="2" applyNumberFormat="1" applyFont="1" applyFill="1" applyBorder="1" applyAlignment="1">
      <alignment horizontal="left" vertical="center"/>
    </xf>
    <xf numFmtId="0" fontId="11" fillId="0" borderId="16" xfId="2" applyFont="1" applyBorder="1" applyAlignment="1">
      <alignment horizontal="left"/>
    </xf>
    <xf numFmtId="0" fontId="11" fillId="0" borderId="17" xfId="2" applyFont="1" applyBorder="1" applyAlignment="1">
      <alignment horizontal="left"/>
    </xf>
    <xf numFmtId="49" fontId="7" fillId="2" borderId="2" xfId="0" applyNumberFormat="1" applyFont="1" applyFill="1" applyBorder="1" applyAlignment="1" applyProtection="1">
      <alignment horizontal="left" vertical="center" wrapText="1" shrinkToFit="1"/>
      <protection locked="0"/>
    </xf>
    <xf numFmtId="49" fontId="7" fillId="2" borderId="36" xfId="0" applyNumberFormat="1" applyFont="1" applyFill="1" applyBorder="1" applyAlignment="1" applyProtection="1">
      <alignment horizontal="left" vertical="center" shrinkToFit="1"/>
      <protection locked="0"/>
    </xf>
    <xf numFmtId="0" fontId="9" fillId="0" borderId="1" xfId="2" applyFont="1" applyBorder="1" applyAlignment="1">
      <alignment horizontal="left"/>
    </xf>
    <xf numFmtId="0" fontId="9" fillId="0" borderId="0" xfId="2" applyFont="1" applyAlignment="1">
      <alignment horizontal="left"/>
    </xf>
    <xf numFmtId="0" fontId="1" fillId="0" borderId="3" xfId="1" applyBorder="1" applyAlignment="1">
      <alignment horizontal="left" vertical="center" wrapText="1"/>
    </xf>
    <xf numFmtId="0" fontId="1" fillId="0" borderId="36" xfId="1" applyBorder="1" applyAlignment="1">
      <alignment horizontal="left" vertical="center" wrapText="1"/>
    </xf>
    <xf numFmtId="0" fontId="9" fillId="0" borderId="17" xfId="2" applyFont="1" applyBorder="1" applyAlignment="1">
      <alignment horizontal="left"/>
    </xf>
    <xf numFmtId="0" fontId="9" fillId="0" borderId="11" xfId="2" applyFont="1" applyBorder="1" applyAlignment="1">
      <alignment horizontal="left"/>
    </xf>
    <xf numFmtId="0" fontId="9" fillId="0" borderId="23" xfId="2" applyFont="1" applyBorder="1" applyAlignment="1">
      <alignment horizontal="left" vertical="justify"/>
    </xf>
    <xf numFmtId="0" fontId="9" fillId="0" borderId="0" xfId="2" applyFont="1" applyAlignment="1">
      <alignment horizontal="left" vertical="justify"/>
    </xf>
    <xf numFmtId="0" fontId="9" fillId="0" borderId="18" xfId="2" applyFont="1" applyBorder="1" applyAlignment="1">
      <alignment horizontal="left"/>
    </xf>
    <xf numFmtId="0" fontId="10" fillId="0" borderId="0" xfId="2" applyFont="1" applyAlignment="1">
      <alignment horizontal="center"/>
    </xf>
    <xf numFmtId="0" fontId="9" fillId="0" borderId="11" xfId="2" applyFont="1" applyBorder="1" applyAlignment="1">
      <alignment horizontal="left" vertical="justify"/>
    </xf>
    <xf numFmtId="0" fontId="1" fillId="0" borderId="0" xfId="1" applyAlignment="1">
      <alignment horizontal="right" vertical="center" wrapText="1" shrinkToFit="1"/>
    </xf>
    <xf numFmtId="0" fontId="1" fillId="0" borderId="30" xfId="1" applyBorder="1" applyAlignment="1">
      <alignment horizontal="right" vertical="center" wrapText="1" shrinkToFit="1"/>
    </xf>
    <xf numFmtId="0" fontId="1" fillId="0" borderId="0" xfId="1" applyAlignment="1">
      <alignment vertical="center" wrapText="1" shrinkToFit="1"/>
    </xf>
    <xf numFmtId="0" fontId="1" fillId="0" borderId="30" xfId="1" applyBorder="1" applyAlignment="1">
      <alignment vertical="center" wrapText="1" shrinkToFit="1"/>
    </xf>
    <xf numFmtId="49" fontId="6" fillId="7" borderId="12" xfId="0" applyNumberFormat="1" applyFont="1" applyFill="1" applyBorder="1" applyAlignment="1">
      <alignment horizontal="left" vertical="center" shrinkToFit="1"/>
    </xf>
    <xf numFmtId="0" fontId="6" fillId="7" borderId="16" xfId="0" applyFont="1" applyFill="1" applyBorder="1" applyAlignment="1">
      <alignment horizontal="left" vertical="center" shrinkToFit="1"/>
    </xf>
    <xf numFmtId="49" fontId="6" fillId="7" borderId="14" xfId="0" applyNumberFormat="1" applyFont="1" applyFill="1" applyBorder="1" applyAlignment="1">
      <alignment horizontal="left" vertical="center" shrinkToFit="1"/>
    </xf>
    <xf numFmtId="0" fontId="6" fillId="7" borderId="18" xfId="0" applyFont="1" applyFill="1" applyBorder="1" applyAlignment="1">
      <alignment horizontal="left" vertical="center" shrinkToFit="1"/>
    </xf>
    <xf numFmtId="0" fontId="1" fillId="0" borderId="25" xfId="1" applyBorder="1" applyAlignment="1">
      <alignment vertical="center" wrapText="1" shrinkToFit="1"/>
    </xf>
    <xf numFmtId="0" fontId="9" fillId="0" borderId="16" xfId="2" applyFont="1" applyBorder="1" applyAlignment="1">
      <alignment horizontal="left"/>
    </xf>
    <xf numFmtId="0" fontId="9" fillId="0" borderId="14" xfId="2" applyFont="1" applyBorder="1" applyAlignment="1">
      <alignment horizontal="left" vertical="top"/>
    </xf>
    <xf numFmtId="0" fontId="9" fillId="0" borderId="11" xfId="2" applyFont="1" applyBorder="1" applyAlignment="1">
      <alignment horizontal="left" vertical="top"/>
    </xf>
    <xf numFmtId="0" fontId="9" fillId="0" borderId="29" xfId="2" applyFont="1" applyBorder="1" applyAlignment="1">
      <alignment horizontal="left" vertical="justify"/>
    </xf>
    <xf numFmtId="0" fontId="9" fillId="0" borderId="15" xfId="2" applyFont="1" applyBorder="1" applyAlignment="1">
      <alignment horizontal="left" vertical="justify"/>
    </xf>
    <xf numFmtId="0" fontId="1" fillId="0" borderId="15" xfId="1" applyBorder="1" applyAlignment="1">
      <alignment horizontal="right" vertical="center" wrapText="1" shrinkToFit="1"/>
    </xf>
    <xf numFmtId="0" fontId="1" fillId="0" borderId="31" xfId="1" applyBorder="1" applyAlignment="1">
      <alignment horizontal="right" vertical="center" wrapText="1" shrinkToFit="1"/>
    </xf>
    <xf numFmtId="0" fontId="1" fillId="0" borderId="23" xfId="1" applyBorder="1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25" xfId="1" applyBorder="1" applyAlignment="1">
      <alignment horizontal="right" vertical="center" wrapText="1" shrinkToFit="1"/>
    </xf>
    <xf numFmtId="0" fontId="9" fillId="0" borderId="29" xfId="2" applyFont="1" applyBorder="1" applyAlignment="1">
      <alignment vertical="top"/>
    </xf>
    <xf numFmtId="0" fontId="9" fillId="0" borderId="15" xfId="2" applyFont="1" applyBorder="1" applyAlignment="1">
      <alignment vertical="top"/>
    </xf>
    <xf numFmtId="0" fontId="1" fillId="0" borderId="23" xfId="1" applyBorder="1" applyAlignment="1">
      <alignment vertical="top"/>
    </xf>
    <xf numFmtId="0" fontId="1" fillId="0" borderId="0" xfId="1" applyAlignment="1">
      <alignment vertical="top"/>
    </xf>
    <xf numFmtId="0" fontId="8" fillId="0" borderId="15" xfId="2" applyFont="1" applyBorder="1" applyAlignment="1">
      <alignment horizontal="center" vertical="center" wrapText="1"/>
    </xf>
    <xf numFmtId="0" fontId="8" fillId="0" borderId="33" xfId="2" applyFont="1" applyBorder="1" applyAlignment="1">
      <alignment horizontal="center" vertical="center" wrapText="1"/>
    </xf>
    <xf numFmtId="0" fontId="8" fillId="0" borderId="0" xfId="2" applyFont="1" applyAlignment="1">
      <alignment horizontal="center" vertical="center" wrapText="1"/>
    </xf>
    <xf numFmtId="0" fontId="8" fillId="0" borderId="25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8" fillId="0" borderId="30" xfId="2" applyFont="1" applyBorder="1" applyAlignment="1">
      <alignment horizontal="center" vertical="center" wrapText="1"/>
    </xf>
    <xf numFmtId="0" fontId="9" fillId="0" borderId="23" xfId="2" applyFont="1" applyBorder="1" applyAlignment="1">
      <alignment horizontal="left"/>
    </xf>
    <xf numFmtId="0" fontId="1" fillId="0" borderId="3" xfId="1" applyBorder="1" applyAlignment="1">
      <alignment horizontal="left" vertical="center"/>
    </xf>
    <xf numFmtId="0" fontId="1" fillId="0" borderId="36" xfId="1" applyBorder="1" applyAlignment="1">
      <alignment horizontal="left" vertical="center"/>
    </xf>
    <xf numFmtId="0" fontId="1" fillId="0" borderId="15" xfId="1" applyBorder="1"/>
    <xf numFmtId="0" fontId="1" fillId="0" borderId="11" xfId="1" applyBorder="1"/>
    <xf numFmtId="0" fontId="1" fillId="0" borderId="0" xfId="1"/>
    <xf numFmtId="0" fontId="8" fillId="0" borderId="15" xfId="2" applyFont="1" applyBorder="1" applyAlignment="1">
      <alignment horizontal="right" vertical="center" wrapText="1"/>
    </xf>
    <xf numFmtId="0" fontId="8" fillId="0" borderId="31" xfId="2" applyFont="1" applyBorder="1" applyAlignment="1">
      <alignment horizontal="right" vertical="center" wrapText="1"/>
    </xf>
    <xf numFmtId="0" fontId="8" fillId="0" borderId="0" xfId="1" applyFont="1" applyAlignment="1">
      <alignment horizontal="right" vertical="center" wrapText="1"/>
    </xf>
    <xf numFmtId="0" fontId="8" fillId="0" borderId="30" xfId="1" applyFont="1" applyBorder="1" applyAlignment="1">
      <alignment horizontal="right" vertical="center" wrapText="1"/>
    </xf>
    <xf numFmtId="0" fontId="8" fillId="0" borderId="33" xfId="2" applyFont="1" applyBorder="1" applyAlignment="1">
      <alignment horizontal="right" vertical="center" wrapText="1"/>
    </xf>
    <xf numFmtId="0" fontId="8" fillId="0" borderId="25" xfId="1" applyFont="1" applyBorder="1" applyAlignment="1">
      <alignment horizontal="right" vertical="center" wrapText="1"/>
    </xf>
    <xf numFmtId="0" fontId="8" fillId="0" borderId="11" xfId="1" applyFont="1" applyBorder="1" applyAlignment="1">
      <alignment horizontal="left" vertical="top"/>
    </xf>
    <xf numFmtId="15" fontId="9" fillId="0" borderId="26" xfId="2" applyNumberFormat="1" applyFont="1" applyBorder="1" applyAlignment="1">
      <alignment horizontal="left" vertical="top"/>
    </xf>
    <xf numFmtId="15" fontId="9" fillId="0" borderId="23" xfId="2" applyNumberFormat="1" applyFont="1" applyBorder="1" applyAlignment="1">
      <alignment horizontal="left" vertical="top"/>
    </xf>
    <xf numFmtId="0" fontId="31" fillId="0" borderId="11" xfId="1" applyFont="1" applyBorder="1" applyAlignment="1">
      <alignment horizontal="left" vertical="top"/>
    </xf>
    <xf numFmtId="0" fontId="31" fillId="0" borderId="0" xfId="1" applyFont="1" applyAlignment="1">
      <alignment horizontal="left" vertical="top"/>
    </xf>
    <xf numFmtId="0" fontId="9" fillId="0" borderId="19" xfId="2" applyFont="1" applyBorder="1" applyAlignment="1">
      <alignment horizontal="left"/>
    </xf>
    <xf numFmtId="49" fontId="7" fillId="0" borderId="9" xfId="2" applyNumberFormat="1" applyFont="1" applyBorder="1" applyAlignment="1">
      <alignment horizontal="center"/>
    </xf>
    <xf numFmtId="22" fontId="7" fillId="0" borderId="7" xfId="2" applyNumberFormat="1" applyFont="1" applyBorder="1" applyAlignment="1">
      <alignment horizontal="center"/>
    </xf>
    <xf numFmtId="22" fontId="7" fillId="0" borderId="5" xfId="2" applyNumberFormat="1" applyFont="1" applyBorder="1" applyAlignment="1">
      <alignment horizontal="center"/>
    </xf>
    <xf numFmtId="0" fontId="1" fillId="0" borderId="30" xfId="1" applyBorder="1"/>
    <xf numFmtId="20" fontId="8" fillId="0" borderId="1" xfId="2" applyNumberFormat="1" applyFont="1" applyBorder="1" applyAlignment="1">
      <alignment horizontal="center" shrinkToFit="1"/>
    </xf>
    <xf numFmtId="20" fontId="8" fillId="0" borderId="20" xfId="2" applyNumberFormat="1" applyFont="1" applyBorder="1" applyAlignment="1">
      <alignment horizontal="center" shrinkToFit="1"/>
    </xf>
    <xf numFmtId="0" fontId="13" fillId="0" borderId="9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67" fontId="29" fillId="15" borderId="30" xfId="1" applyNumberFormat="1" applyFont="1" applyFill="1" applyBorder="1" applyAlignment="1">
      <alignment vertical="center" shrinkToFit="1"/>
    </xf>
    <xf numFmtId="20" fontId="28" fillId="16" borderId="21" xfId="1" applyNumberFormat="1" applyFont="1" applyFill="1" applyBorder="1" applyAlignment="1">
      <alignment horizontal="center" vertical="center" shrinkToFit="1"/>
    </xf>
    <xf numFmtId="20" fontId="28" fillId="16" borderId="17" xfId="1" applyNumberFormat="1" applyFont="1" applyFill="1" applyBorder="1" applyAlignment="1">
      <alignment horizontal="center" vertical="center" shrinkToFit="1"/>
    </xf>
    <xf numFmtId="167" fontId="29" fillId="17" borderId="30" xfId="1" applyNumberFormat="1" applyFont="1" applyFill="1" applyBorder="1" applyAlignment="1">
      <alignment vertical="center" shrinkToFit="1"/>
    </xf>
    <xf numFmtId="20" fontId="29" fillId="18" borderId="17" xfId="1" applyNumberFormat="1" applyFont="1" applyFill="1" applyBorder="1" applyAlignment="1">
      <alignment horizontal="center" vertical="center" shrinkToFit="1"/>
    </xf>
    <xf numFmtId="167" fontId="28" fillId="19" borderId="30" xfId="1" applyNumberFormat="1" applyFont="1" applyFill="1" applyBorder="1" applyAlignment="1">
      <alignment vertical="center" shrinkToFit="1"/>
    </xf>
    <xf numFmtId="20" fontId="28" fillId="20" borderId="21" xfId="1" applyNumberFormat="1" applyFont="1" applyFill="1" applyBorder="1" applyAlignment="1">
      <alignment horizontal="center" vertical="center" shrinkToFit="1"/>
    </xf>
    <xf numFmtId="20" fontId="28" fillId="21" borderId="21" xfId="1" applyNumberFormat="1" applyFont="1" applyFill="1" applyBorder="1" applyAlignment="1">
      <alignment horizontal="center" vertical="center" shrinkToFit="1"/>
    </xf>
    <xf numFmtId="167" fontId="28" fillId="22" borderId="30" xfId="1" applyNumberFormat="1" applyFont="1" applyFill="1" applyBorder="1" applyAlignment="1">
      <alignment vertical="center" shrinkToFit="1"/>
    </xf>
    <xf numFmtId="20" fontId="29" fillId="23" borderId="21" xfId="1" applyNumberFormat="1" applyFont="1" applyFill="1" applyBorder="1" applyAlignment="1">
      <alignment horizontal="center" vertical="center" shrinkToFit="1"/>
    </xf>
    <xf numFmtId="20" fontId="28" fillId="24" borderId="21" xfId="1" applyNumberFormat="1" applyFont="1" applyFill="1" applyBorder="1" applyAlignment="1">
      <alignment horizontal="center" vertical="center" shrinkToFit="1"/>
    </xf>
    <xf numFmtId="20" fontId="28" fillId="21" borderId="21" xfId="1" applyNumberFormat="1" applyFont="1" applyFill="1" applyBorder="1" applyAlignment="1">
      <alignment vertical="center" shrinkToFit="1"/>
    </xf>
    <xf numFmtId="167" fontId="28" fillId="25" borderId="25" xfId="1" applyNumberFormat="1" applyFont="1" applyFill="1" applyBorder="1" applyAlignment="1">
      <alignment vertical="center" shrinkToFit="1"/>
    </xf>
    <xf numFmtId="20" fontId="28" fillId="20" borderId="28" xfId="1" applyNumberFormat="1" applyFont="1" applyFill="1" applyBorder="1" applyAlignment="1">
      <alignment horizontal="center" vertical="center" shrinkToFit="1"/>
    </xf>
    <xf numFmtId="167" fontId="28" fillId="19" borderId="25" xfId="1" applyNumberFormat="1" applyFont="1" applyFill="1" applyBorder="1" applyAlignment="1">
      <alignment vertical="center" shrinkToFit="1"/>
    </xf>
    <xf numFmtId="167" fontId="29" fillId="17" borderId="12" xfId="1" applyNumberFormat="1" applyFont="1" applyFill="1" applyBorder="1" applyAlignment="1">
      <alignment horizontal="left" vertical="center" shrinkToFit="1"/>
    </xf>
    <xf numFmtId="166" fontId="30" fillId="17" borderId="13" xfId="1" applyNumberFormat="1" applyFont="1" applyFill="1" applyBorder="1" applyAlignment="1">
      <alignment horizontal="left" vertical="center" shrinkToFit="1"/>
    </xf>
    <xf numFmtId="49" fontId="30" fillId="17" borderId="18" xfId="1" applyNumberFormat="1" applyFont="1" applyFill="1" applyBorder="1" applyAlignment="1">
      <alignment horizontal="left" vertical="center" shrinkToFit="1"/>
    </xf>
    <xf numFmtId="169" fontId="30" fillId="17" borderId="1" xfId="1" applyNumberFormat="1" applyFont="1" applyFill="1" applyBorder="1" applyAlignment="1">
      <alignment vertical="center" shrinkToFit="1"/>
    </xf>
    <xf numFmtId="0" fontId="33" fillId="17" borderId="13" xfId="1" applyFont="1" applyFill="1" applyBorder="1" applyAlignment="1">
      <alignment horizontal="left"/>
    </xf>
    <xf numFmtId="167" fontId="29" fillId="15" borderId="12" xfId="1" applyNumberFormat="1" applyFont="1" applyFill="1" applyBorder="1" applyAlignment="1">
      <alignment horizontal="left" vertical="center" shrinkToFit="1"/>
    </xf>
    <xf numFmtId="166" fontId="30" fillId="15" borderId="13" xfId="1" applyNumberFormat="1" applyFont="1" applyFill="1" applyBorder="1" applyAlignment="1">
      <alignment horizontal="left" vertical="center" shrinkToFit="1"/>
    </xf>
    <xf numFmtId="49" fontId="30" fillId="15" borderId="18" xfId="1" applyNumberFormat="1" applyFont="1" applyFill="1" applyBorder="1" applyAlignment="1">
      <alignment horizontal="left" vertical="center" shrinkToFit="1"/>
    </xf>
    <xf numFmtId="49" fontId="30" fillId="15" borderId="1" xfId="1" applyNumberFormat="1" applyFont="1" applyFill="1" applyBorder="1" applyAlignment="1">
      <alignment vertical="center" shrinkToFit="1"/>
    </xf>
    <xf numFmtId="0" fontId="33" fillId="15" borderId="13" xfId="1" applyFont="1" applyFill="1" applyBorder="1" applyAlignment="1">
      <alignment horizontal="left"/>
    </xf>
    <xf numFmtId="167" fontId="28" fillId="25" borderId="12" xfId="1" applyNumberFormat="1" applyFont="1" applyFill="1" applyBorder="1" applyAlignment="1">
      <alignment horizontal="left" vertical="center" shrinkToFit="1"/>
    </xf>
    <xf numFmtId="166" fontId="34" fillId="25" borderId="13" xfId="1" applyNumberFormat="1" applyFont="1" applyFill="1" applyBorder="1" applyAlignment="1">
      <alignment horizontal="left" vertical="center" shrinkToFit="1"/>
    </xf>
    <xf numFmtId="49" fontId="34" fillId="25" borderId="18" xfId="1" applyNumberFormat="1" applyFont="1" applyFill="1" applyBorder="1" applyAlignment="1">
      <alignment horizontal="left" vertical="center" shrinkToFit="1"/>
    </xf>
    <xf numFmtId="49" fontId="34" fillId="25" borderId="1" xfId="1" applyNumberFormat="1" applyFont="1" applyFill="1" applyBorder="1" applyAlignment="1">
      <alignment vertical="center" shrinkToFit="1"/>
    </xf>
    <xf numFmtId="0" fontId="35" fillId="25" borderId="24" xfId="1" applyFont="1" applyFill="1" applyBorder="1" applyAlignment="1">
      <alignment horizontal="left"/>
    </xf>
    <xf numFmtId="49" fontId="34" fillId="25" borderId="20" xfId="1" applyNumberFormat="1" applyFont="1" applyFill="1" applyBorder="1" applyAlignment="1">
      <alignment vertical="center" shrinkToFit="1"/>
    </xf>
    <xf numFmtId="167" fontId="28" fillId="19" borderId="12" xfId="1" applyNumberFormat="1" applyFont="1" applyFill="1" applyBorder="1" applyAlignment="1">
      <alignment horizontal="left" vertical="center" shrinkToFit="1"/>
    </xf>
    <xf numFmtId="166" fontId="34" fillId="19" borderId="13" xfId="1" applyNumberFormat="1" applyFont="1" applyFill="1" applyBorder="1" applyAlignment="1">
      <alignment horizontal="left" vertical="center" shrinkToFit="1"/>
    </xf>
    <xf numFmtId="49" fontId="34" fillId="19" borderId="18" xfId="1" applyNumberFormat="1" applyFont="1" applyFill="1" applyBorder="1" applyAlignment="1">
      <alignment horizontal="left" vertical="center" shrinkToFit="1"/>
    </xf>
    <xf numFmtId="49" fontId="34" fillId="19" borderId="1" xfId="1" applyNumberFormat="1" applyFont="1" applyFill="1" applyBorder="1" applyAlignment="1">
      <alignment vertical="center" shrinkToFit="1"/>
    </xf>
    <xf numFmtId="166" fontId="34" fillId="19" borderId="24" xfId="1" applyNumberFormat="1" applyFont="1" applyFill="1" applyBorder="1" applyAlignment="1">
      <alignment vertical="center" shrinkToFit="1"/>
    </xf>
    <xf numFmtId="49" fontId="34" fillId="19" borderId="20" xfId="1" applyNumberFormat="1" applyFont="1" applyFill="1" applyBorder="1" applyAlignment="1">
      <alignment vertical="center" shrinkToFit="1"/>
    </xf>
    <xf numFmtId="167" fontId="28" fillId="22" borderId="12" xfId="1" applyNumberFormat="1" applyFont="1" applyFill="1" applyBorder="1" applyAlignment="1">
      <alignment horizontal="left" vertical="center" shrinkToFit="1"/>
    </xf>
    <xf numFmtId="166" fontId="34" fillId="22" borderId="13" xfId="1" applyNumberFormat="1" applyFont="1" applyFill="1" applyBorder="1" applyAlignment="1">
      <alignment horizontal="left" vertical="center" shrinkToFit="1"/>
    </xf>
    <xf numFmtId="49" fontId="34" fillId="22" borderId="18" xfId="1" applyNumberFormat="1" applyFont="1" applyFill="1" applyBorder="1" applyAlignment="1">
      <alignment horizontal="left" vertical="center" shrinkToFit="1"/>
    </xf>
    <xf numFmtId="49" fontId="34" fillId="22" borderId="1" xfId="1" applyNumberFormat="1" applyFont="1" applyFill="1" applyBorder="1" applyAlignment="1">
      <alignment vertical="center" shrinkToFit="1"/>
    </xf>
    <xf numFmtId="0" fontId="35" fillId="22" borderId="13" xfId="1" applyFont="1" applyFill="1" applyBorder="1" applyAlignment="1">
      <alignment horizontal="left"/>
    </xf>
    <xf numFmtId="167" fontId="29" fillId="26" borderId="12" xfId="1" applyNumberFormat="1" applyFont="1" applyFill="1" applyBorder="1" applyAlignment="1">
      <alignment horizontal="left" vertical="center" shrinkToFit="1"/>
    </xf>
    <xf numFmtId="166" fontId="30" fillId="26" borderId="13" xfId="1" applyNumberFormat="1" applyFont="1" applyFill="1" applyBorder="1" applyAlignment="1">
      <alignment horizontal="left" vertical="center" shrinkToFit="1"/>
    </xf>
    <xf numFmtId="49" fontId="30" fillId="26" borderId="18" xfId="1" applyNumberFormat="1" applyFont="1" applyFill="1" applyBorder="1" applyAlignment="1">
      <alignment horizontal="left" vertical="center" shrinkToFit="1"/>
    </xf>
    <xf numFmtId="49" fontId="30" fillId="26" borderId="1" xfId="1" applyNumberFormat="1" applyFont="1" applyFill="1" applyBorder="1" applyAlignment="1">
      <alignment vertical="center" shrinkToFit="1"/>
    </xf>
    <xf numFmtId="166" fontId="30" fillId="26" borderId="24" xfId="1" applyNumberFormat="1" applyFont="1" applyFill="1" applyBorder="1" applyAlignment="1">
      <alignment horizontal="left" vertical="center" shrinkToFit="1"/>
    </xf>
    <xf numFmtId="49" fontId="30" fillId="26" borderId="20" xfId="1" applyNumberFormat="1" applyFont="1" applyFill="1" applyBorder="1" applyAlignment="1">
      <alignment vertical="center" shrinkToFit="1"/>
    </xf>
  </cellXfs>
  <cellStyles count="3">
    <cellStyle name="Standard" xfId="0" builtinId="0"/>
    <cellStyle name="Standard 2" xfId="1" xr:uid="{00000000-0005-0000-0000-000001000000}"/>
    <cellStyle name="Standard_~4982233 2" xfId="2" xr:uid="{00000000-0005-0000-0000-000003000000}"/>
  </cellStyles>
  <dxfs count="1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008000"/>
      <color rgb="FF0099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1372412</xdr:colOff>
      <xdr:row>0</xdr:row>
      <xdr:rowOff>41978</xdr:rowOff>
    </xdr:from>
    <xdr:ext cx="481535" cy="213314"/>
    <xdr:pic>
      <xdr:nvPicPr>
        <xdr:cNvPr id="2" name="Bild 1">
          <a:extLst>
            <a:ext uri="{FF2B5EF4-FFF2-40B4-BE49-F238E27FC236}">
              <a16:creationId xmlns:a16="http://schemas.microsoft.com/office/drawing/2014/main" id="{60C3B2BC-1438-4387-9F3F-8C105E51CB4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29"/>
        <a:stretch/>
      </xdr:blipFill>
      <xdr:spPr bwMode="auto">
        <a:xfrm>
          <a:off x="10897412" y="41978"/>
          <a:ext cx="481535" cy="2133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10</xdr:col>
      <xdr:colOff>1372412</xdr:colOff>
      <xdr:row>17</xdr:row>
      <xdr:rowOff>41978</xdr:rowOff>
    </xdr:from>
    <xdr:ext cx="481535" cy="213314"/>
    <xdr:pic>
      <xdr:nvPicPr>
        <xdr:cNvPr id="3" name="Bild 1">
          <a:extLst>
            <a:ext uri="{FF2B5EF4-FFF2-40B4-BE49-F238E27FC236}">
              <a16:creationId xmlns:a16="http://schemas.microsoft.com/office/drawing/2014/main" id="{B136DDBD-D436-4F27-B03A-951417C0E8D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29"/>
        <a:stretch/>
      </xdr:blipFill>
      <xdr:spPr bwMode="auto">
        <a:xfrm>
          <a:off x="10897412" y="3280478"/>
          <a:ext cx="481535" cy="2133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10</xdr:col>
      <xdr:colOff>1372412</xdr:colOff>
      <xdr:row>34</xdr:row>
      <xdr:rowOff>41978</xdr:rowOff>
    </xdr:from>
    <xdr:ext cx="481535" cy="213314"/>
    <xdr:pic>
      <xdr:nvPicPr>
        <xdr:cNvPr id="4" name="Bild 1">
          <a:extLst>
            <a:ext uri="{FF2B5EF4-FFF2-40B4-BE49-F238E27FC236}">
              <a16:creationId xmlns:a16="http://schemas.microsoft.com/office/drawing/2014/main" id="{A02F722F-C5FF-4EE3-A8E4-33BD7414224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29"/>
        <a:stretch/>
      </xdr:blipFill>
      <xdr:spPr bwMode="auto">
        <a:xfrm>
          <a:off x="10897412" y="6518978"/>
          <a:ext cx="481535" cy="2133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10</xdr:col>
      <xdr:colOff>1372412</xdr:colOff>
      <xdr:row>51</xdr:row>
      <xdr:rowOff>41978</xdr:rowOff>
    </xdr:from>
    <xdr:ext cx="481535" cy="213314"/>
    <xdr:pic>
      <xdr:nvPicPr>
        <xdr:cNvPr id="5" name="Bild 1">
          <a:extLst>
            <a:ext uri="{FF2B5EF4-FFF2-40B4-BE49-F238E27FC236}">
              <a16:creationId xmlns:a16="http://schemas.microsoft.com/office/drawing/2014/main" id="{4CF9BBF9-78EF-4F53-B937-C772530D39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29"/>
        <a:stretch/>
      </xdr:blipFill>
      <xdr:spPr bwMode="auto">
        <a:xfrm>
          <a:off x="10897412" y="9757478"/>
          <a:ext cx="481535" cy="21331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AF14-2A22-4133-BF0E-F93CF3AE954A}">
  <sheetPr codeName="Tabelle1">
    <pageSetUpPr fitToPage="1"/>
  </sheetPr>
  <dimension ref="A1:IV145"/>
  <sheetViews>
    <sheetView tabSelected="1" topLeftCell="A3" zoomScale="55" zoomScaleNormal="55" zoomScaleSheetLayoutView="25" workbookViewId="0">
      <selection activeCell="Q6" sqref="Q6:S6"/>
    </sheetView>
  </sheetViews>
  <sheetFormatPr baseColWidth="10" defaultColWidth="11.5546875" defaultRowHeight="15" x14ac:dyDescent="0.2"/>
  <cols>
    <col min="1" max="1" width="35.109375" style="108" bestFit="1" customWidth="1"/>
    <col min="2" max="2" width="24.77734375" style="108" customWidth="1"/>
    <col min="3" max="4" width="12.77734375" style="108" customWidth="1"/>
    <col min="5" max="5" width="24.77734375" style="108" customWidth="1"/>
    <col min="6" max="7" width="12.77734375" style="108" customWidth="1"/>
    <col min="8" max="8" width="23.77734375" style="108" customWidth="1"/>
    <col min="9" max="10" width="12.77734375" style="108" customWidth="1"/>
    <col min="11" max="11" width="24.77734375" style="108" customWidth="1"/>
    <col min="12" max="13" width="12.77734375" style="108" customWidth="1"/>
    <col min="14" max="14" width="24.77734375" style="108" customWidth="1"/>
    <col min="15" max="16" width="12.77734375" style="108" customWidth="1"/>
    <col min="17" max="17" width="23.77734375" style="108" customWidth="1"/>
    <col min="18" max="19" width="12.77734375" style="108" customWidth="1"/>
    <col min="20" max="22" width="8.77734375" style="108" customWidth="1"/>
    <col min="23" max="23" width="12.5546875" style="108" customWidth="1"/>
    <col min="24" max="16384" width="11.5546875" style="108"/>
  </cols>
  <sheetData>
    <row r="1" spans="1:25" ht="56.25" customHeight="1" thickBot="1" x14ac:dyDescent="0.25">
      <c r="A1" s="177"/>
      <c r="B1" s="424" t="s">
        <v>110</v>
      </c>
      <c r="C1" s="425"/>
      <c r="D1" s="426"/>
      <c r="E1" s="421" t="s">
        <v>111</v>
      </c>
      <c r="F1" s="422"/>
      <c r="G1" s="422"/>
      <c r="H1" s="422"/>
      <c r="I1" s="422"/>
      <c r="J1" s="422"/>
      <c r="K1" s="422"/>
      <c r="L1" s="422"/>
      <c r="M1" s="423"/>
      <c r="N1" s="389">
        <f>_xlfn.ISOWEEKNUM(B2)</f>
        <v>1</v>
      </c>
      <c r="O1" s="390"/>
      <c r="P1" s="391"/>
      <c r="Q1" s="424" t="s">
        <v>112</v>
      </c>
      <c r="R1" s="425"/>
      <c r="S1" s="426"/>
    </row>
    <row r="2" spans="1:25" ht="30.75" thickBot="1" x14ac:dyDescent="0.45">
      <c r="A2" s="178"/>
      <c r="B2" s="175">
        <v>45656</v>
      </c>
      <c r="C2" s="168"/>
      <c r="D2" s="176"/>
      <c r="E2" s="175">
        <f>B2+1</f>
        <v>45657</v>
      </c>
      <c r="F2" s="168"/>
      <c r="G2" s="176"/>
      <c r="H2" s="175">
        <f>E2+1</f>
        <v>45658</v>
      </c>
      <c r="I2" s="168"/>
      <c r="J2" s="176"/>
      <c r="K2" s="175">
        <f>H2+1</f>
        <v>45659</v>
      </c>
      <c r="L2" s="168"/>
      <c r="M2" s="176"/>
      <c r="N2" s="175">
        <f>K2+1</f>
        <v>45660</v>
      </c>
      <c r="O2" s="168"/>
      <c r="P2" s="176"/>
      <c r="Q2" s="175">
        <f>N2+1</f>
        <v>45661</v>
      </c>
      <c r="R2" s="168"/>
      <c r="S2" s="176"/>
    </row>
    <row r="3" spans="1:25" ht="23.1" customHeight="1" x14ac:dyDescent="0.35">
      <c r="A3" s="419" t="s">
        <v>6</v>
      </c>
      <c r="B3" s="430" t="s">
        <v>105</v>
      </c>
      <c r="C3" s="324"/>
      <c r="D3" s="325"/>
      <c r="E3" s="235" t="s">
        <v>91</v>
      </c>
      <c r="F3" s="236"/>
      <c r="G3" s="237"/>
      <c r="H3" s="323" t="s">
        <v>108</v>
      </c>
      <c r="I3" s="324"/>
      <c r="J3" s="325"/>
      <c r="K3" s="238"/>
      <c r="L3" s="239"/>
      <c r="M3" s="240"/>
      <c r="N3" s="323" t="s">
        <v>105</v>
      </c>
      <c r="O3" s="324"/>
      <c r="P3" s="325"/>
      <c r="Q3" s="235" t="s">
        <v>91</v>
      </c>
      <c r="R3" s="236"/>
      <c r="S3" s="241"/>
      <c r="T3" s="179"/>
      <c r="U3" s="160"/>
      <c r="V3" s="160"/>
      <c r="W3" s="160"/>
      <c r="X3" s="160"/>
      <c r="Y3" s="160"/>
    </row>
    <row r="4" spans="1:25" ht="23.1" customHeight="1" x14ac:dyDescent="0.35">
      <c r="A4" s="381"/>
      <c r="B4" s="242"/>
      <c r="C4" s="243" t="s">
        <v>140</v>
      </c>
      <c r="D4" s="612">
        <v>80</v>
      </c>
      <c r="E4" s="244" t="s">
        <v>91</v>
      </c>
      <c r="F4" s="243"/>
      <c r="G4" s="245"/>
      <c r="H4" s="246"/>
      <c r="I4" s="243" t="s">
        <v>143</v>
      </c>
      <c r="J4" s="620">
        <v>50</v>
      </c>
      <c r="K4" s="247"/>
      <c r="M4" s="184"/>
      <c r="N4" s="248"/>
      <c r="O4" s="243" t="s">
        <v>141</v>
      </c>
      <c r="P4" s="612">
        <v>80</v>
      </c>
      <c r="Q4" s="244" t="s">
        <v>91</v>
      </c>
      <c r="R4" s="243"/>
      <c r="S4" s="249"/>
      <c r="T4" s="160"/>
      <c r="U4" s="160"/>
      <c r="V4" s="160"/>
      <c r="W4" s="160"/>
      <c r="X4" s="160"/>
      <c r="Y4" s="160"/>
    </row>
    <row r="5" spans="1:25" ht="23.1" customHeight="1" thickBot="1" x14ac:dyDescent="0.4">
      <c r="A5" s="420"/>
      <c r="B5" s="142" t="s">
        <v>109</v>
      </c>
      <c r="C5" s="113" t="s">
        <v>91</v>
      </c>
      <c r="D5" s="613">
        <v>0.33333333333333331</v>
      </c>
      <c r="E5" s="118" t="s">
        <v>91</v>
      </c>
      <c r="F5" s="116"/>
      <c r="G5" s="117"/>
      <c r="H5" s="118" t="s">
        <v>109</v>
      </c>
      <c r="I5" s="113" t="s">
        <v>91</v>
      </c>
      <c r="J5" s="621">
        <v>0.34027777777777779</v>
      </c>
      <c r="K5" s="250"/>
      <c r="L5" s="251"/>
      <c r="M5" s="252"/>
      <c r="N5" s="113" t="s">
        <v>109</v>
      </c>
      <c r="O5" s="113" t="s">
        <v>91</v>
      </c>
      <c r="P5" s="613">
        <v>0.33333333333333331</v>
      </c>
      <c r="Q5" s="118" t="s">
        <v>91</v>
      </c>
      <c r="R5" s="116"/>
      <c r="S5" s="119"/>
      <c r="T5" s="160"/>
      <c r="U5" s="160"/>
      <c r="V5" s="160"/>
      <c r="W5" s="160"/>
      <c r="X5" s="160"/>
      <c r="Y5" s="160"/>
    </row>
    <row r="6" spans="1:25" ht="23.1" customHeight="1" x14ac:dyDescent="0.35">
      <c r="A6" s="427" t="s">
        <v>7</v>
      </c>
      <c r="B6" s="253"/>
      <c r="C6" s="254" t="s">
        <v>91</v>
      </c>
      <c r="D6" s="254"/>
      <c r="E6" s="326" t="s">
        <v>114</v>
      </c>
      <c r="F6" s="327"/>
      <c r="G6" s="328"/>
      <c r="H6" s="255" t="s">
        <v>91</v>
      </c>
      <c r="I6" s="254" t="s">
        <v>91</v>
      </c>
      <c r="J6" s="254"/>
      <c r="K6" s="326" t="s">
        <v>106</v>
      </c>
      <c r="L6" s="327"/>
      <c r="M6" s="328"/>
      <c r="N6" s="255" t="s">
        <v>91</v>
      </c>
      <c r="O6" s="254" t="s">
        <v>91</v>
      </c>
      <c r="P6" s="254"/>
      <c r="Q6" s="326" t="s">
        <v>107</v>
      </c>
      <c r="R6" s="327"/>
      <c r="S6" s="329"/>
      <c r="T6" s="160"/>
      <c r="U6" s="160"/>
      <c r="V6" s="160"/>
      <c r="W6" s="160"/>
      <c r="X6" s="160"/>
      <c r="Y6" s="160"/>
    </row>
    <row r="7" spans="1:25" ht="23.1" customHeight="1" x14ac:dyDescent="0.2">
      <c r="A7" s="381"/>
      <c r="B7" s="256" t="s">
        <v>91</v>
      </c>
      <c r="C7" s="243"/>
      <c r="D7" s="243"/>
      <c r="E7" s="246"/>
      <c r="F7" s="243" t="s">
        <v>148</v>
      </c>
      <c r="G7" s="617">
        <v>90</v>
      </c>
      <c r="H7" s="244" t="s">
        <v>91</v>
      </c>
      <c r="I7" s="243"/>
      <c r="J7" s="243"/>
      <c r="K7" s="246"/>
      <c r="L7" s="243" t="s">
        <v>145</v>
      </c>
      <c r="M7" s="615">
        <v>10</v>
      </c>
      <c r="N7" s="244" t="s">
        <v>91</v>
      </c>
      <c r="O7" s="243"/>
      <c r="P7" s="243"/>
      <c r="Q7" s="246"/>
      <c r="R7" s="243" t="s">
        <v>147</v>
      </c>
      <c r="S7" s="624">
        <v>40</v>
      </c>
    </row>
    <row r="8" spans="1:25" ht="23.1" customHeight="1" x14ac:dyDescent="0.2">
      <c r="A8" s="381"/>
      <c r="B8" s="142" t="s">
        <v>91</v>
      </c>
      <c r="C8" s="116"/>
      <c r="D8" s="116"/>
      <c r="E8" s="118" t="s">
        <v>116</v>
      </c>
      <c r="F8" s="113" t="s">
        <v>91</v>
      </c>
      <c r="G8" s="618">
        <v>0.35416666666666669</v>
      </c>
      <c r="H8" s="118" t="s">
        <v>91</v>
      </c>
      <c r="I8" s="116"/>
      <c r="J8" s="116"/>
      <c r="K8" s="118" t="s">
        <v>115</v>
      </c>
      <c r="L8" s="113" t="s">
        <v>91</v>
      </c>
      <c r="M8" s="613">
        <v>0.33333333333333331</v>
      </c>
      <c r="N8" s="113" t="s">
        <v>91</v>
      </c>
      <c r="O8" s="116"/>
      <c r="P8" s="116"/>
      <c r="Q8" s="118" t="s">
        <v>109</v>
      </c>
      <c r="R8" s="113" t="s">
        <v>91</v>
      </c>
      <c r="S8" s="625">
        <v>0.35416666666666669</v>
      </c>
    </row>
    <row r="9" spans="1:25" ht="23.1" customHeight="1" x14ac:dyDescent="0.2">
      <c r="A9" s="380" t="s">
        <v>8</v>
      </c>
      <c r="B9" s="431" t="s">
        <v>113</v>
      </c>
      <c r="C9" s="327"/>
      <c r="D9" s="328"/>
      <c r="E9" s="257" t="s">
        <v>91</v>
      </c>
      <c r="F9" s="258" t="s">
        <v>91</v>
      </c>
      <c r="G9" s="259"/>
      <c r="H9" s="411" t="s">
        <v>118</v>
      </c>
      <c r="I9" s="412"/>
      <c r="J9" s="413"/>
      <c r="K9" s="411" t="s">
        <v>118</v>
      </c>
      <c r="L9" s="412"/>
      <c r="M9" s="413"/>
      <c r="N9" s="326" t="s">
        <v>106</v>
      </c>
      <c r="O9" s="327"/>
      <c r="P9" s="328"/>
      <c r="Q9" s="255" t="s">
        <v>91</v>
      </c>
      <c r="R9" s="254" t="s">
        <v>91</v>
      </c>
      <c r="S9" s="260"/>
    </row>
    <row r="10" spans="1:25" ht="23.1" customHeight="1" x14ac:dyDescent="0.2">
      <c r="A10" s="381"/>
      <c r="B10" s="256" t="s">
        <v>91</v>
      </c>
      <c r="C10" s="310" t="s">
        <v>142</v>
      </c>
      <c r="D10" s="303">
        <v>20</v>
      </c>
      <c r="E10" s="244" t="s">
        <v>91</v>
      </c>
      <c r="F10" s="243"/>
      <c r="G10" s="245"/>
      <c r="H10" s="311">
        <v>474442</v>
      </c>
      <c r="I10" s="312" t="s">
        <v>140</v>
      </c>
      <c r="J10" s="315">
        <v>31</v>
      </c>
      <c r="K10" s="311">
        <v>474442</v>
      </c>
      <c r="L10" s="312" t="s">
        <v>141</v>
      </c>
      <c r="M10" s="315">
        <v>31</v>
      </c>
      <c r="N10" s="246"/>
      <c r="O10" s="243" t="s">
        <v>146</v>
      </c>
      <c r="P10" s="615">
        <v>10</v>
      </c>
      <c r="Q10" s="244" t="s">
        <v>91</v>
      </c>
      <c r="R10" s="243"/>
      <c r="S10" s="249"/>
    </row>
    <row r="11" spans="1:25" ht="23.1" customHeight="1" x14ac:dyDescent="0.2">
      <c r="A11" s="381"/>
      <c r="B11" s="142" t="s">
        <v>120</v>
      </c>
      <c r="C11" s="113" t="s">
        <v>91</v>
      </c>
      <c r="D11" s="614">
        <v>0.33333333333333331</v>
      </c>
      <c r="E11" s="118" t="s">
        <v>91</v>
      </c>
      <c r="F11" s="116"/>
      <c r="G11" s="117"/>
      <c r="H11" s="313" t="s">
        <v>109</v>
      </c>
      <c r="I11" s="314" t="s">
        <v>91</v>
      </c>
      <c r="J11" s="316">
        <v>0.33333333333333331</v>
      </c>
      <c r="K11" s="313" t="s">
        <v>109</v>
      </c>
      <c r="L11" s="314" t="s">
        <v>91</v>
      </c>
      <c r="M11" s="316">
        <v>0.33333333333333331</v>
      </c>
      <c r="N11" s="118" t="s">
        <v>109</v>
      </c>
      <c r="O11" s="113" t="s">
        <v>91</v>
      </c>
      <c r="P11" s="618">
        <v>0.35416666666666669</v>
      </c>
      <c r="Q11" s="118" t="s">
        <v>91</v>
      </c>
      <c r="R11" s="116"/>
      <c r="S11" s="119"/>
    </row>
    <row r="12" spans="1:25" ht="23.1" customHeight="1" x14ac:dyDescent="0.2">
      <c r="A12" s="428" t="s">
        <v>9</v>
      </c>
      <c r="B12" s="431" t="s">
        <v>106</v>
      </c>
      <c r="C12" s="327"/>
      <c r="D12" s="328"/>
      <c r="E12" s="257" t="s">
        <v>91</v>
      </c>
      <c r="F12" s="258"/>
      <c r="G12" s="258"/>
      <c r="H12" s="326" t="s">
        <v>108</v>
      </c>
      <c r="I12" s="327"/>
      <c r="J12" s="328"/>
      <c r="K12" s="254" t="s">
        <v>91</v>
      </c>
      <c r="L12" s="254" t="s">
        <v>91</v>
      </c>
      <c r="M12" s="261"/>
      <c r="N12" s="414" t="s">
        <v>119</v>
      </c>
      <c r="O12" s="415"/>
      <c r="P12" s="416"/>
      <c r="Q12" s="262" t="s">
        <v>91</v>
      </c>
      <c r="R12" s="263"/>
      <c r="S12" s="264"/>
    </row>
    <row r="13" spans="1:25" ht="23.1" customHeight="1" x14ac:dyDescent="0.2">
      <c r="A13" s="383"/>
      <c r="B13" s="242"/>
      <c r="C13" s="243" t="s">
        <v>144</v>
      </c>
      <c r="D13" s="615">
        <v>10</v>
      </c>
      <c r="E13" s="244" t="s">
        <v>91</v>
      </c>
      <c r="F13" s="243"/>
      <c r="G13" s="243"/>
      <c r="H13" s="246"/>
      <c r="I13" s="243" t="s">
        <v>144</v>
      </c>
      <c r="J13" s="620">
        <v>50</v>
      </c>
      <c r="K13" s="243" t="s">
        <v>91</v>
      </c>
      <c r="L13" s="243"/>
      <c r="M13" s="245"/>
      <c r="N13" s="317">
        <v>474442</v>
      </c>
      <c r="O13" s="318" t="s">
        <v>147</v>
      </c>
      <c r="P13" s="321">
        <v>32</v>
      </c>
      <c r="Q13" s="244" t="s">
        <v>91</v>
      </c>
      <c r="R13" s="243"/>
      <c r="S13" s="249"/>
    </row>
    <row r="14" spans="1:25" ht="23.1" customHeight="1" x14ac:dyDescent="0.2">
      <c r="A14" s="383"/>
      <c r="B14" s="142" t="s">
        <v>109</v>
      </c>
      <c r="C14" s="113" t="s">
        <v>91</v>
      </c>
      <c r="D14" s="616">
        <v>0.375</v>
      </c>
      <c r="E14" s="118" t="s">
        <v>91</v>
      </c>
      <c r="F14" s="116"/>
      <c r="G14" s="116"/>
      <c r="H14" s="118" t="s">
        <v>109</v>
      </c>
      <c r="I14" s="113" t="s">
        <v>91</v>
      </c>
      <c r="J14" s="622">
        <v>0.34375</v>
      </c>
      <c r="K14" s="113" t="s">
        <v>91</v>
      </c>
      <c r="L14" s="116"/>
      <c r="M14" s="117"/>
      <c r="N14" s="319" t="s">
        <v>109</v>
      </c>
      <c r="O14" s="320" t="s">
        <v>91</v>
      </c>
      <c r="P14" s="322">
        <v>0.33333333333333331</v>
      </c>
      <c r="Q14" s="118" t="s">
        <v>91</v>
      </c>
      <c r="R14" s="116"/>
      <c r="S14" s="119"/>
    </row>
    <row r="15" spans="1:25" ht="23.1" customHeight="1" x14ac:dyDescent="0.2">
      <c r="A15" s="382" t="s">
        <v>10</v>
      </c>
      <c r="B15" s="256" t="s">
        <v>91</v>
      </c>
      <c r="C15" s="243" t="s">
        <v>91</v>
      </c>
      <c r="D15" s="243"/>
      <c r="E15" s="326" t="s">
        <v>114</v>
      </c>
      <c r="F15" s="327"/>
      <c r="G15" s="328"/>
      <c r="H15" s="262" t="s">
        <v>91</v>
      </c>
      <c r="I15" s="263" t="s">
        <v>91</v>
      </c>
      <c r="J15" s="263"/>
      <c r="K15" s="326" t="s">
        <v>108</v>
      </c>
      <c r="L15" s="327"/>
      <c r="M15" s="328"/>
      <c r="N15" s="255" t="s">
        <v>91</v>
      </c>
      <c r="O15" s="254" t="s">
        <v>91</v>
      </c>
      <c r="P15" s="261"/>
      <c r="Q15" s="326" t="s">
        <v>114</v>
      </c>
      <c r="R15" s="327"/>
      <c r="S15" s="329"/>
    </row>
    <row r="16" spans="1:25" ht="23.1" customHeight="1" x14ac:dyDescent="0.2">
      <c r="A16" s="383"/>
      <c r="B16" s="256" t="s">
        <v>91</v>
      </c>
      <c r="C16" s="243"/>
      <c r="D16" s="243"/>
      <c r="E16" s="246"/>
      <c r="F16" s="243" t="s">
        <v>149</v>
      </c>
      <c r="G16" s="617">
        <v>90</v>
      </c>
      <c r="H16" s="244" t="s">
        <v>91</v>
      </c>
      <c r="I16" s="243"/>
      <c r="J16" s="243"/>
      <c r="K16" s="246"/>
      <c r="L16" s="243" t="s">
        <v>145</v>
      </c>
      <c r="M16" s="620">
        <v>50</v>
      </c>
      <c r="N16" s="243" t="s">
        <v>91</v>
      </c>
      <c r="O16" s="243"/>
      <c r="P16" s="245"/>
      <c r="Q16" s="246"/>
      <c r="R16" s="243" t="s">
        <v>150</v>
      </c>
      <c r="S16" s="626">
        <v>90</v>
      </c>
    </row>
    <row r="17" spans="1:23" ht="23.1" customHeight="1" x14ac:dyDescent="0.2">
      <c r="A17" s="383"/>
      <c r="B17" s="142" t="s">
        <v>91</v>
      </c>
      <c r="C17" s="116"/>
      <c r="D17" s="116"/>
      <c r="E17" s="118" t="s">
        <v>117</v>
      </c>
      <c r="F17" s="113" t="s">
        <v>91</v>
      </c>
      <c r="G17" s="619">
        <v>0.36458333333333331</v>
      </c>
      <c r="H17" s="118" t="s">
        <v>91</v>
      </c>
      <c r="I17" s="116"/>
      <c r="J17" s="134"/>
      <c r="K17" s="118" t="s">
        <v>115</v>
      </c>
      <c r="L17" s="113" t="s">
        <v>91</v>
      </c>
      <c r="M17" s="613">
        <v>0.33333333333333331</v>
      </c>
      <c r="N17" s="118" t="s">
        <v>91</v>
      </c>
      <c r="O17" s="114"/>
      <c r="P17" s="115"/>
      <c r="Q17" s="118" t="s">
        <v>109</v>
      </c>
      <c r="R17" s="113" t="s">
        <v>91</v>
      </c>
      <c r="S17" s="625">
        <v>0.35416666666666669</v>
      </c>
    </row>
    <row r="18" spans="1:23" ht="23.1" customHeight="1" x14ac:dyDescent="0.2">
      <c r="A18" s="382"/>
      <c r="B18" s="431" t="s">
        <v>106</v>
      </c>
      <c r="C18" s="327"/>
      <c r="D18" s="328"/>
      <c r="E18" s="257" t="s">
        <v>91</v>
      </c>
      <c r="F18" s="258" t="s">
        <v>91</v>
      </c>
      <c r="G18" s="259"/>
      <c r="H18" s="262" t="s">
        <v>91</v>
      </c>
      <c r="I18" s="263"/>
      <c r="J18" s="265"/>
      <c r="K18" s="263" t="s">
        <v>91</v>
      </c>
      <c r="L18" s="263" t="s">
        <v>91</v>
      </c>
      <c r="M18" s="263"/>
      <c r="N18" s="326" t="s">
        <v>108</v>
      </c>
      <c r="O18" s="327"/>
      <c r="P18" s="328"/>
      <c r="Q18" s="257" t="s">
        <v>91</v>
      </c>
      <c r="R18" s="258" t="s">
        <v>91</v>
      </c>
      <c r="S18" s="266"/>
    </row>
    <row r="19" spans="1:23" ht="23.1" customHeight="1" x14ac:dyDescent="0.2">
      <c r="A19" s="383"/>
      <c r="B19" s="242"/>
      <c r="C19" s="243" t="s">
        <v>143</v>
      </c>
      <c r="D19" s="615">
        <v>10</v>
      </c>
      <c r="E19" s="244" t="s">
        <v>91</v>
      </c>
      <c r="F19" s="243"/>
      <c r="G19" s="245"/>
      <c r="H19" s="244" t="s">
        <v>91</v>
      </c>
      <c r="I19" s="243"/>
      <c r="J19" s="245"/>
      <c r="K19" s="243" t="s">
        <v>91</v>
      </c>
      <c r="L19" s="243"/>
      <c r="M19" s="243"/>
      <c r="N19" s="267"/>
      <c r="O19" s="243" t="s">
        <v>146</v>
      </c>
      <c r="P19" s="620">
        <v>50</v>
      </c>
      <c r="Q19" s="244" t="s">
        <v>91</v>
      </c>
      <c r="R19" s="243"/>
      <c r="S19" s="249"/>
    </row>
    <row r="20" spans="1:23" ht="23.1" customHeight="1" x14ac:dyDescent="0.2">
      <c r="A20" s="383"/>
      <c r="B20" s="142" t="s">
        <v>121</v>
      </c>
      <c r="C20" s="113" t="s">
        <v>91</v>
      </c>
      <c r="D20" s="613">
        <v>0.33333333333333331</v>
      </c>
      <c r="E20" s="118" t="s">
        <v>91</v>
      </c>
      <c r="F20" s="116"/>
      <c r="G20" s="117"/>
      <c r="H20" s="118" t="s">
        <v>91</v>
      </c>
      <c r="I20" s="116"/>
      <c r="J20" s="120"/>
      <c r="K20" s="113" t="s">
        <v>91</v>
      </c>
      <c r="L20" s="116"/>
      <c r="M20" s="134"/>
      <c r="N20" s="118" t="s">
        <v>109</v>
      </c>
      <c r="O20" s="146" t="s">
        <v>91</v>
      </c>
      <c r="P20" s="623">
        <v>0.36458333333333331</v>
      </c>
      <c r="Q20" s="118" t="s">
        <v>91</v>
      </c>
      <c r="R20" s="116"/>
      <c r="S20" s="119"/>
    </row>
    <row r="21" spans="1:23" ht="23.1" customHeight="1" x14ac:dyDescent="0.2">
      <c r="A21" s="428"/>
      <c r="B21" s="253" t="s">
        <v>91</v>
      </c>
      <c r="C21" s="258" t="s">
        <v>91</v>
      </c>
      <c r="D21" s="258"/>
      <c r="E21" s="257" t="s">
        <v>91</v>
      </c>
      <c r="F21" s="258"/>
      <c r="G21" s="259"/>
      <c r="H21" s="257" t="s">
        <v>91</v>
      </c>
      <c r="I21" s="258"/>
      <c r="J21" s="259"/>
      <c r="K21" s="258" t="s">
        <v>91</v>
      </c>
      <c r="L21" s="258"/>
      <c r="M21" s="259"/>
      <c r="N21" s="258" t="s">
        <v>91</v>
      </c>
      <c r="O21" s="258" t="s">
        <v>91</v>
      </c>
      <c r="P21" s="259"/>
      <c r="Q21" s="257" t="s">
        <v>91</v>
      </c>
      <c r="R21" s="258"/>
      <c r="S21" s="266"/>
    </row>
    <row r="22" spans="1:23" ht="23.1" customHeight="1" x14ac:dyDescent="0.2">
      <c r="A22" s="383"/>
      <c r="B22" s="256" t="s">
        <v>91</v>
      </c>
      <c r="C22" s="243"/>
      <c r="D22" s="243"/>
      <c r="E22" s="244" t="s">
        <v>91</v>
      </c>
      <c r="F22" s="243"/>
      <c r="G22" s="245"/>
      <c r="H22" s="244" t="s">
        <v>91</v>
      </c>
      <c r="I22" s="243" t="s">
        <v>91</v>
      </c>
      <c r="J22" s="245"/>
      <c r="K22" s="243" t="s">
        <v>91</v>
      </c>
      <c r="L22" s="243"/>
      <c r="M22" s="245"/>
      <c r="N22" s="243" t="s">
        <v>91</v>
      </c>
      <c r="O22" s="243"/>
      <c r="P22" s="245"/>
      <c r="Q22" s="244" t="s">
        <v>91</v>
      </c>
      <c r="R22" s="243"/>
      <c r="S22" s="249"/>
    </row>
    <row r="23" spans="1:23" ht="23.1" customHeight="1" thickBot="1" x14ac:dyDescent="0.25">
      <c r="A23" s="429"/>
      <c r="B23" s="132" t="s">
        <v>91</v>
      </c>
      <c r="C23" s="127"/>
      <c r="D23" s="127"/>
      <c r="E23" s="129" t="s">
        <v>91</v>
      </c>
      <c r="F23" s="127"/>
      <c r="G23" s="128"/>
      <c r="H23" s="129" t="s">
        <v>91</v>
      </c>
      <c r="I23" s="127"/>
      <c r="J23" s="128"/>
      <c r="K23" s="126" t="s">
        <v>91</v>
      </c>
      <c r="L23" s="127"/>
      <c r="M23" s="128"/>
      <c r="N23" s="126" t="s">
        <v>91</v>
      </c>
      <c r="O23" s="268"/>
      <c r="P23" s="269"/>
      <c r="Q23" s="129" t="s">
        <v>91</v>
      </c>
      <c r="R23" s="127"/>
      <c r="S23" s="130"/>
    </row>
    <row r="24" spans="1:23" ht="5.0999999999999996" customHeight="1" thickBot="1" x14ac:dyDescent="0.25">
      <c r="A24" s="174"/>
      <c r="B24" s="121"/>
      <c r="C24" s="122"/>
      <c r="D24" s="122"/>
      <c r="E24" s="121"/>
      <c r="F24" s="122"/>
      <c r="G24" s="122"/>
      <c r="H24" s="121"/>
      <c r="I24" s="122"/>
      <c r="J24" s="122"/>
      <c r="K24" s="121"/>
      <c r="L24" s="122"/>
      <c r="M24" s="122"/>
      <c r="N24" s="243"/>
      <c r="O24" s="243"/>
      <c r="P24" s="243"/>
      <c r="Q24" s="121"/>
      <c r="R24" s="122"/>
      <c r="S24" s="125"/>
    </row>
    <row r="25" spans="1:23" ht="23.1" customHeight="1" x14ac:dyDescent="0.2">
      <c r="A25" s="364" t="s">
        <v>11</v>
      </c>
      <c r="B25" s="236"/>
      <c r="C25" s="236"/>
      <c r="D25" s="237"/>
      <c r="E25" s="236"/>
      <c r="F25" s="236"/>
      <c r="G25" s="236"/>
      <c r="H25" s="405" t="s">
        <v>118</v>
      </c>
      <c r="I25" s="406"/>
      <c r="J25" s="407"/>
      <c r="K25" s="405" t="s">
        <v>118</v>
      </c>
      <c r="L25" s="406"/>
      <c r="M25" s="407"/>
      <c r="N25" s="408" t="s">
        <v>119</v>
      </c>
      <c r="O25" s="409"/>
      <c r="P25" s="410"/>
      <c r="Q25" s="270"/>
      <c r="R25" s="271"/>
      <c r="S25" s="272"/>
    </row>
    <row r="26" spans="1:23" ht="22.5" customHeight="1" x14ac:dyDescent="0.2">
      <c r="A26" s="347"/>
      <c r="B26" s="243"/>
      <c r="C26" s="243"/>
      <c r="D26" s="245"/>
      <c r="E26" s="243"/>
      <c r="F26" s="243"/>
      <c r="G26" s="243"/>
      <c r="H26" s="311">
        <v>474442</v>
      </c>
      <c r="I26" s="312"/>
      <c r="J26" s="315">
        <v>31</v>
      </c>
      <c r="K26" s="311">
        <v>474442</v>
      </c>
      <c r="L26" s="312"/>
      <c r="M26" s="315">
        <v>31</v>
      </c>
      <c r="N26" s="317">
        <v>474442</v>
      </c>
      <c r="O26" s="318"/>
      <c r="P26" s="321">
        <v>32</v>
      </c>
      <c r="Q26" s="244"/>
      <c r="R26" s="243"/>
      <c r="S26" s="249"/>
    </row>
    <row r="27" spans="1:23" ht="23.1" customHeight="1" thickBot="1" x14ac:dyDescent="0.25">
      <c r="A27" s="347"/>
      <c r="B27" s="113"/>
      <c r="C27" s="114"/>
      <c r="D27" s="115"/>
      <c r="E27" s="113"/>
      <c r="F27" s="116"/>
      <c r="G27" s="116"/>
      <c r="H27" s="313"/>
      <c r="I27" s="314"/>
      <c r="J27" s="316">
        <v>0.33333333333333331</v>
      </c>
      <c r="K27" s="313"/>
      <c r="L27" s="314"/>
      <c r="M27" s="316">
        <v>0.33333333333333331</v>
      </c>
      <c r="N27" s="319"/>
      <c r="O27" s="320"/>
      <c r="P27" s="322">
        <v>0.33333333333333331</v>
      </c>
      <c r="Q27" s="118"/>
      <c r="R27" s="116"/>
      <c r="S27" s="119"/>
    </row>
    <row r="28" spans="1:23" ht="23.1" customHeight="1" x14ac:dyDescent="0.35">
      <c r="A28" s="364" t="s">
        <v>11</v>
      </c>
      <c r="B28" s="121"/>
      <c r="C28" s="122"/>
      <c r="D28" s="123"/>
      <c r="E28" s="121"/>
      <c r="F28" s="122"/>
      <c r="G28" s="123"/>
      <c r="H28" s="121"/>
      <c r="I28" s="122"/>
      <c r="J28" s="123"/>
      <c r="K28" s="255"/>
      <c r="L28" s="254"/>
      <c r="M28" s="261"/>
      <c r="N28" s="255"/>
      <c r="O28" s="254"/>
      <c r="P28" s="261"/>
      <c r="Q28" s="124"/>
      <c r="R28" s="122"/>
      <c r="S28" s="125"/>
      <c r="T28" s="135"/>
      <c r="U28" s="135"/>
      <c r="V28" s="135"/>
      <c r="W28" s="135"/>
    </row>
    <row r="29" spans="1:23" ht="23.1" customHeight="1" x14ac:dyDescent="0.35">
      <c r="A29" s="347"/>
      <c r="B29" s="121"/>
      <c r="C29" s="122"/>
      <c r="D29" s="123"/>
      <c r="E29" s="121"/>
      <c r="F29" s="122"/>
      <c r="G29" s="123"/>
      <c r="H29" s="121"/>
      <c r="I29" s="122"/>
      <c r="J29" s="123"/>
      <c r="K29" s="244"/>
      <c r="L29" s="243"/>
      <c r="M29" s="245"/>
      <c r="N29" s="244"/>
      <c r="O29" s="243"/>
      <c r="P29" s="245"/>
      <c r="Q29" s="124"/>
      <c r="R29" s="122"/>
      <c r="S29" s="125"/>
      <c r="T29" s="135"/>
      <c r="U29" s="136"/>
      <c r="V29" s="136"/>
      <c r="W29" s="136"/>
    </row>
    <row r="30" spans="1:23" ht="23.1" customHeight="1" x14ac:dyDescent="0.35">
      <c r="A30" s="347"/>
      <c r="B30" s="121"/>
      <c r="C30" s="122"/>
      <c r="D30" s="123"/>
      <c r="E30" s="121"/>
      <c r="F30" s="122"/>
      <c r="G30" s="123"/>
      <c r="H30" s="121"/>
      <c r="I30" s="122"/>
      <c r="J30" s="123"/>
      <c r="K30" s="113"/>
      <c r="L30" s="116"/>
      <c r="M30" s="117"/>
      <c r="N30" s="113"/>
      <c r="O30" s="116"/>
      <c r="P30" s="117"/>
      <c r="Q30" s="124"/>
      <c r="R30" s="122"/>
      <c r="S30" s="125"/>
      <c r="T30" s="135"/>
      <c r="U30" s="136"/>
      <c r="V30" s="136"/>
      <c r="W30" s="136"/>
    </row>
    <row r="31" spans="1:23" ht="23.1" customHeight="1" x14ac:dyDescent="0.35">
      <c r="A31" s="346" t="s">
        <v>11</v>
      </c>
      <c r="B31" s="273"/>
      <c r="C31" s="273"/>
      <c r="D31" s="274"/>
      <c r="E31" s="275"/>
      <c r="F31" s="273"/>
      <c r="G31" s="274"/>
      <c r="H31" s="275"/>
      <c r="I31" s="273"/>
      <c r="J31" s="274"/>
      <c r="K31" s="275"/>
      <c r="L31" s="273"/>
      <c r="M31" s="274"/>
      <c r="N31" s="275"/>
      <c r="O31" s="273"/>
      <c r="P31" s="274"/>
      <c r="Q31" s="275"/>
      <c r="R31" s="273"/>
      <c r="S31" s="276"/>
      <c r="T31" s="135"/>
      <c r="U31" s="136"/>
      <c r="V31" s="136"/>
      <c r="W31" s="136"/>
    </row>
    <row r="32" spans="1:23" ht="22.5" customHeight="1" x14ac:dyDescent="0.35">
      <c r="A32" s="347"/>
      <c r="B32" s="277"/>
      <c r="C32" s="277"/>
      <c r="D32" s="278"/>
      <c r="E32" s="279"/>
      <c r="F32" s="277"/>
      <c r="G32" s="278"/>
      <c r="H32" s="279"/>
      <c r="I32" s="277"/>
      <c r="J32" s="278"/>
      <c r="K32" s="279"/>
      <c r="L32" s="277"/>
      <c r="M32" s="278"/>
      <c r="N32" s="279"/>
      <c r="O32" s="277"/>
      <c r="P32" s="278"/>
      <c r="Q32" s="279"/>
      <c r="R32" s="277"/>
      <c r="S32" s="280"/>
      <c r="T32" s="135"/>
      <c r="U32" s="136"/>
      <c r="V32" s="136"/>
      <c r="W32" s="136"/>
    </row>
    <row r="33" spans="1:256" ht="23.1" customHeight="1" thickBot="1" x14ac:dyDescent="0.4">
      <c r="A33" s="348"/>
      <c r="B33" s="281"/>
      <c r="C33" s="282"/>
      <c r="D33" s="283"/>
      <c r="E33" s="284"/>
      <c r="F33" s="282"/>
      <c r="G33" s="283"/>
      <c r="H33" s="281"/>
      <c r="I33" s="282"/>
      <c r="J33" s="283"/>
      <c r="K33" s="284"/>
      <c r="L33" s="282"/>
      <c r="M33" s="283"/>
      <c r="N33" s="281"/>
      <c r="O33" s="282"/>
      <c r="P33" s="283"/>
      <c r="Q33" s="284"/>
      <c r="R33" s="282"/>
      <c r="S33" s="285"/>
      <c r="T33" s="135"/>
      <c r="U33" s="136"/>
      <c r="V33" s="136"/>
      <c r="W33" s="136"/>
    </row>
    <row r="34" spans="1:256" s="172" customFormat="1" ht="30.95" customHeight="1" thickBot="1" x14ac:dyDescent="0.25">
      <c r="A34" s="173" t="s">
        <v>12</v>
      </c>
      <c r="B34" s="112" t="s">
        <v>13</v>
      </c>
      <c r="C34" s="286" t="s">
        <v>14</v>
      </c>
      <c r="D34" s="287" t="s">
        <v>151</v>
      </c>
      <c r="E34" s="112" t="s">
        <v>13</v>
      </c>
      <c r="F34" s="286" t="s">
        <v>14</v>
      </c>
      <c r="G34" s="287">
        <v>7</v>
      </c>
      <c r="H34" s="112" t="s">
        <v>13</v>
      </c>
      <c r="I34" s="286" t="s">
        <v>14</v>
      </c>
      <c r="J34" s="287">
        <v>6</v>
      </c>
      <c r="K34" s="112" t="s">
        <v>13</v>
      </c>
      <c r="L34" s="286" t="s">
        <v>14</v>
      </c>
      <c r="M34" s="287" t="s">
        <v>152</v>
      </c>
      <c r="N34" s="112" t="s">
        <v>13</v>
      </c>
      <c r="O34" s="286" t="s">
        <v>14</v>
      </c>
      <c r="P34" s="287">
        <v>8</v>
      </c>
      <c r="Q34" s="288" t="s">
        <v>13</v>
      </c>
      <c r="R34" s="289" t="s">
        <v>14</v>
      </c>
      <c r="S34" s="290">
        <v>4</v>
      </c>
      <c r="T34" s="170"/>
      <c r="U34" s="171"/>
      <c r="V34" s="171"/>
      <c r="W34" s="171"/>
    </row>
    <row r="35" spans="1:256" ht="24.95" customHeight="1" x14ac:dyDescent="0.2">
      <c r="A35" s="384" t="s">
        <v>15</v>
      </c>
      <c r="B35" s="627">
        <v>10</v>
      </c>
      <c r="C35" s="628"/>
      <c r="D35" s="631"/>
      <c r="E35" s="637">
        <v>40</v>
      </c>
      <c r="F35" s="638"/>
      <c r="G35" s="641"/>
      <c r="H35" s="649">
        <v>50</v>
      </c>
      <c r="I35" s="650"/>
      <c r="J35" s="653"/>
      <c r="K35" s="654">
        <v>20</v>
      </c>
      <c r="L35" s="655"/>
      <c r="M35" s="658"/>
      <c r="N35" s="291"/>
      <c r="O35" s="292"/>
      <c r="P35" s="302"/>
      <c r="Q35" s="304">
        <v>95</v>
      </c>
      <c r="R35" s="305"/>
      <c r="S35" s="308"/>
    </row>
    <row r="36" spans="1:256" ht="24.95" customHeight="1" thickBot="1" x14ac:dyDescent="0.25">
      <c r="A36" s="385"/>
      <c r="B36" s="629" t="s">
        <v>91</v>
      </c>
      <c r="C36" s="630"/>
      <c r="D36" s="630"/>
      <c r="E36" s="639" t="s">
        <v>91</v>
      </c>
      <c r="F36" s="640" t="s">
        <v>91</v>
      </c>
      <c r="G36" s="642"/>
      <c r="H36" s="651" t="s">
        <v>91</v>
      </c>
      <c r="I36" s="652" t="s">
        <v>91</v>
      </c>
      <c r="J36" s="652"/>
      <c r="K36" s="656" t="s">
        <v>91</v>
      </c>
      <c r="L36" s="657" t="s">
        <v>91</v>
      </c>
      <c r="M36" s="659"/>
      <c r="N36" s="293"/>
      <c r="O36" s="294"/>
      <c r="P36" s="294"/>
      <c r="Q36" s="306" t="s">
        <v>91</v>
      </c>
      <c r="R36" s="307" t="s">
        <v>91</v>
      </c>
      <c r="S36" s="309"/>
    </row>
    <row r="37" spans="1:256" ht="24.95" customHeight="1" x14ac:dyDescent="0.2">
      <c r="A37" s="440" t="s">
        <v>15</v>
      </c>
      <c r="B37" s="632">
        <v>80</v>
      </c>
      <c r="C37" s="633"/>
      <c r="D37" s="636"/>
      <c r="E37" s="643">
        <v>90</v>
      </c>
      <c r="F37" s="644"/>
      <c r="G37" s="647"/>
      <c r="H37" s="295"/>
      <c r="I37" s="296"/>
      <c r="J37" s="297"/>
      <c r="K37" s="295"/>
      <c r="L37" s="296"/>
      <c r="M37" s="297"/>
      <c r="N37" s="295"/>
      <c r="O37" s="296"/>
      <c r="P37" s="297"/>
      <c r="Q37" s="295"/>
      <c r="R37" s="296"/>
      <c r="S37" s="298"/>
    </row>
    <row r="38" spans="1:256" ht="24.95" customHeight="1" thickBot="1" x14ac:dyDescent="0.25">
      <c r="A38" s="441"/>
      <c r="B38" s="634" t="s">
        <v>91</v>
      </c>
      <c r="C38" s="635" t="s">
        <v>91</v>
      </c>
      <c r="D38" s="635"/>
      <c r="E38" s="645" t="s">
        <v>91</v>
      </c>
      <c r="F38" s="646" t="s">
        <v>91</v>
      </c>
      <c r="G38" s="648"/>
      <c r="H38" s="299" t="s">
        <v>91</v>
      </c>
      <c r="I38" s="294" t="s">
        <v>91</v>
      </c>
      <c r="J38" s="300"/>
      <c r="K38" s="299" t="s">
        <v>91</v>
      </c>
      <c r="L38" s="294" t="s">
        <v>91</v>
      </c>
      <c r="M38" s="300"/>
      <c r="N38" s="299" t="s">
        <v>91</v>
      </c>
      <c r="O38" s="294" t="s">
        <v>91</v>
      </c>
      <c r="P38" s="300"/>
      <c r="Q38" s="299" t="s">
        <v>91</v>
      </c>
      <c r="R38" s="294" t="s">
        <v>91</v>
      </c>
      <c r="S38" s="301"/>
    </row>
    <row r="39" spans="1:256" ht="60" customHeight="1" thickBot="1" x14ac:dyDescent="0.45">
      <c r="A39" s="151"/>
      <c r="B39" s="151" t="s">
        <v>91</v>
      </c>
      <c r="C39" s="151" t="s">
        <v>91</v>
      </c>
      <c r="D39" s="151"/>
      <c r="E39" s="151" t="s">
        <v>91</v>
      </c>
      <c r="F39" s="151" t="s">
        <v>91</v>
      </c>
      <c r="G39" s="151"/>
      <c r="H39" s="152" t="s">
        <v>91</v>
      </c>
      <c r="I39" s="152" t="s">
        <v>91</v>
      </c>
      <c r="J39" s="152"/>
      <c r="K39" s="152" t="s">
        <v>91</v>
      </c>
      <c r="L39" s="152" t="s">
        <v>91</v>
      </c>
      <c r="M39" s="152"/>
      <c r="N39" s="152" t="s">
        <v>91</v>
      </c>
      <c r="O39" s="152" t="s">
        <v>91</v>
      </c>
      <c r="P39" s="152"/>
      <c r="Q39" s="152" t="s">
        <v>91</v>
      </c>
      <c r="R39" s="152" t="s">
        <v>91</v>
      </c>
      <c r="S39" s="152"/>
    </row>
    <row r="40" spans="1:256" ht="56.25" customHeight="1" thickBot="1" x14ac:dyDescent="0.25">
      <c r="A40" s="153"/>
      <c r="B40" s="386" t="str">
        <f>B1</f>
        <v>Tourenplan  für</v>
      </c>
      <c r="C40" s="387"/>
      <c r="D40" s="388"/>
      <c r="E40" s="386" t="str">
        <f>E1</f>
        <v>BML - NOS</v>
      </c>
      <c r="F40" s="387"/>
      <c r="G40" s="387"/>
      <c r="H40" s="387"/>
      <c r="I40" s="387"/>
      <c r="J40" s="387"/>
      <c r="K40" s="387"/>
      <c r="L40" s="387"/>
      <c r="M40" s="149"/>
      <c r="N40" s="389">
        <f>_xlfn.ISOWEEKNUM(B41)</f>
        <v>18</v>
      </c>
      <c r="O40" s="390"/>
      <c r="P40" s="391"/>
      <c r="Q40" s="386" t="s">
        <v>87</v>
      </c>
      <c r="R40" s="387"/>
      <c r="S40" s="388"/>
    </row>
    <row r="41" spans="1:256" ht="30.95" customHeight="1" thickBot="1" x14ac:dyDescent="0.45">
      <c r="A41" s="150"/>
      <c r="B41" s="165">
        <v>45775</v>
      </c>
      <c r="C41" s="166"/>
      <c r="D41" s="167"/>
      <c r="E41" s="165">
        <f>B41+1</f>
        <v>45776</v>
      </c>
      <c r="F41" s="168"/>
      <c r="G41" s="169"/>
      <c r="H41" s="165">
        <f>E41+1</f>
        <v>45777</v>
      </c>
      <c r="I41" s="168"/>
      <c r="J41" s="169"/>
      <c r="K41" s="165">
        <f>H41+1</f>
        <v>45778</v>
      </c>
      <c r="L41" s="168"/>
      <c r="M41" s="169"/>
      <c r="N41" s="165">
        <f>K41+1</f>
        <v>45779</v>
      </c>
      <c r="O41" s="168"/>
      <c r="P41" s="169"/>
      <c r="Q41" s="165">
        <f>N41+1</f>
        <v>45780</v>
      </c>
      <c r="R41" s="168"/>
      <c r="S41" s="169"/>
    </row>
    <row r="42" spans="1:256" ht="23.1" customHeight="1" x14ac:dyDescent="0.2">
      <c r="A42" s="417" t="s">
        <v>16</v>
      </c>
      <c r="B42" s="448"/>
      <c r="C42" s="403"/>
      <c r="D42" s="403"/>
      <c r="E42" s="402"/>
      <c r="F42" s="403"/>
      <c r="G42" s="418"/>
      <c r="H42" s="402"/>
      <c r="I42" s="403"/>
      <c r="J42" s="418"/>
      <c r="K42" s="402"/>
      <c r="L42" s="403"/>
      <c r="M42" s="418"/>
      <c r="N42" s="402"/>
      <c r="O42" s="403"/>
      <c r="P42" s="418"/>
      <c r="Q42" s="402"/>
      <c r="R42" s="403"/>
      <c r="S42" s="404"/>
    </row>
    <row r="43" spans="1:256" ht="23.1" customHeight="1" x14ac:dyDescent="0.2">
      <c r="A43" s="381"/>
      <c r="B43" s="449"/>
      <c r="C43" s="400"/>
      <c r="D43" s="400"/>
      <c r="E43" s="399"/>
      <c r="F43" s="400"/>
      <c r="G43" s="401"/>
      <c r="H43" s="399"/>
      <c r="I43" s="400"/>
      <c r="J43" s="401"/>
      <c r="K43" s="399"/>
      <c r="L43" s="400"/>
      <c r="M43" s="401"/>
      <c r="N43" s="399"/>
      <c r="O43" s="400"/>
      <c r="P43" s="401"/>
      <c r="Q43" s="399"/>
      <c r="R43" s="400"/>
      <c r="S43" s="432"/>
    </row>
    <row r="44" spans="1:256" ht="23.1" customHeight="1" thickBot="1" x14ac:dyDescent="0.25">
      <c r="A44" s="381"/>
      <c r="B44" s="159"/>
      <c r="C44" s="156"/>
      <c r="D44" s="156"/>
      <c r="E44" s="154"/>
      <c r="F44" s="156"/>
      <c r="G44" s="157"/>
      <c r="H44" s="154"/>
      <c r="I44" s="156"/>
      <c r="J44" s="157"/>
      <c r="K44" s="154"/>
      <c r="L44" s="156"/>
      <c r="M44" s="157"/>
      <c r="N44" s="154"/>
      <c r="O44" s="156"/>
      <c r="P44" s="157"/>
      <c r="Q44" s="154"/>
      <c r="R44" s="156"/>
      <c r="S44" s="158"/>
    </row>
    <row r="45" spans="1:256" s="43" customFormat="1" ht="23.1" customHeight="1" thickTop="1" x14ac:dyDescent="0.2">
      <c r="A45" s="392" t="s">
        <v>17</v>
      </c>
      <c r="B45" s="450"/>
      <c r="C45" s="394"/>
      <c r="D45" s="394"/>
      <c r="E45" s="393"/>
      <c r="F45" s="394"/>
      <c r="G45" s="395"/>
      <c r="H45" s="398"/>
      <c r="I45" s="396"/>
      <c r="J45" s="397"/>
      <c r="K45" s="396"/>
      <c r="L45" s="396"/>
      <c r="M45" s="397"/>
      <c r="N45" s="398"/>
      <c r="O45" s="396"/>
      <c r="P45" s="397"/>
      <c r="Q45" s="398"/>
      <c r="R45" s="396"/>
      <c r="S45" s="436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</row>
    <row r="46" spans="1:256" ht="23.1" customHeight="1" x14ac:dyDescent="0.2">
      <c r="A46" s="381"/>
      <c r="B46" s="449"/>
      <c r="C46" s="400"/>
      <c r="D46" s="400"/>
      <c r="E46" s="399"/>
      <c r="F46" s="400"/>
      <c r="G46" s="401"/>
      <c r="H46" s="399"/>
      <c r="I46" s="400"/>
      <c r="J46" s="401"/>
      <c r="K46" s="400"/>
      <c r="L46" s="400"/>
      <c r="M46" s="401"/>
      <c r="N46" s="399"/>
      <c r="O46" s="400"/>
      <c r="P46" s="401"/>
      <c r="Q46" s="399"/>
      <c r="R46" s="400"/>
      <c r="S46" s="432"/>
    </row>
    <row r="47" spans="1:256" ht="23.1" customHeight="1" x14ac:dyDescent="0.2">
      <c r="A47" s="381"/>
      <c r="B47" s="159"/>
      <c r="C47" s="156"/>
      <c r="D47" s="156"/>
      <c r="E47" s="154"/>
      <c r="F47" s="156"/>
      <c r="G47" s="157"/>
      <c r="H47" s="154"/>
      <c r="I47" s="156"/>
      <c r="J47" s="157"/>
      <c r="K47" s="155"/>
      <c r="L47" s="156"/>
      <c r="M47" s="157"/>
      <c r="N47" s="155"/>
      <c r="O47" s="156"/>
      <c r="P47" s="157"/>
      <c r="Q47" s="154"/>
      <c r="R47" s="156"/>
      <c r="S47" s="158"/>
    </row>
    <row r="48" spans="1:256" ht="23.1" customHeight="1" x14ac:dyDescent="0.2">
      <c r="A48" s="392" t="s">
        <v>17</v>
      </c>
      <c r="B48" s="451"/>
      <c r="C48" s="396"/>
      <c r="D48" s="396"/>
      <c r="E48" s="398"/>
      <c r="F48" s="396"/>
      <c r="G48" s="397"/>
      <c r="H48" s="398"/>
      <c r="I48" s="396"/>
      <c r="J48" s="397"/>
      <c r="K48" s="396"/>
      <c r="L48" s="396"/>
      <c r="M48" s="397"/>
      <c r="N48" s="398"/>
      <c r="O48" s="396"/>
      <c r="P48" s="397"/>
      <c r="Q48" s="398"/>
      <c r="R48" s="396"/>
      <c r="S48" s="436"/>
    </row>
    <row r="49" spans="1:19" ht="23.1" customHeight="1" x14ac:dyDescent="0.2">
      <c r="A49" s="381"/>
      <c r="B49" s="452"/>
      <c r="C49" s="438"/>
      <c r="D49" s="438"/>
      <c r="E49" s="437"/>
      <c r="F49" s="438"/>
      <c r="G49" s="439"/>
      <c r="H49" s="399"/>
      <c r="I49" s="400"/>
      <c r="J49" s="401"/>
      <c r="K49" s="400"/>
      <c r="L49" s="400"/>
      <c r="M49" s="401"/>
      <c r="N49" s="399"/>
      <c r="O49" s="400"/>
      <c r="P49" s="401"/>
      <c r="Q49" s="399"/>
      <c r="R49" s="400"/>
      <c r="S49" s="432"/>
    </row>
    <row r="50" spans="1:19" ht="23.1" customHeight="1" x14ac:dyDescent="0.2">
      <c r="A50" s="381"/>
      <c r="B50" s="453"/>
      <c r="C50" s="434"/>
      <c r="D50" s="434"/>
      <c r="E50" s="433"/>
      <c r="F50" s="434"/>
      <c r="G50" s="435"/>
      <c r="H50" s="154"/>
      <c r="I50" s="156"/>
      <c r="J50" s="157"/>
      <c r="K50" s="155"/>
      <c r="L50" s="156"/>
      <c r="M50" s="157"/>
      <c r="N50" s="155"/>
      <c r="O50" s="156"/>
      <c r="P50" s="157"/>
      <c r="Q50" s="154"/>
      <c r="R50" s="156"/>
      <c r="S50" s="158"/>
    </row>
    <row r="51" spans="1:19" ht="23.1" customHeight="1" x14ac:dyDescent="0.2">
      <c r="A51" s="346" t="s">
        <v>18</v>
      </c>
      <c r="B51" s="377"/>
      <c r="C51" s="351"/>
      <c r="D51" s="351"/>
      <c r="E51" s="356"/>
      <c r="F51" s="351"/>
      <c r="G51" s="352"/>
      <c r="H51" s="356"/>
      <c r="I51" s="351"/>
      <c r="J51" s="352"/>
      <c r="K51" s="351"/>
      <c r="L51" s="351"/>
      <c r="M51" s="352"/>
      <c r="N51" s="353"/>
      <c r="O51" s="354"/>
      <c r="P51" s="355"/>
      <c r="Q51" s="353"/>
      <c r="R51" s="354"/>
      <c r="S51" s="369"/>
    </row>
    <row r="52" spans="1:19" ht="23.1" customHeight="1" x14ac:dyDescent="0.2">
      <c r="A52" s="347"/>
      <c r="B52" s="374"/>
      <c r="C52" s="345"/>
      <c r="D52" s="345"/>
      <c r="E52" s="359"/>
      <c r="F52" s="345"/>
      <c r="G52" s="358"/>
      <c r="H52" s="359"/>
      <c r="I52" s="345"/>
      <c r="J52" s="358"/>
      <c r="K52" s="345"/>
      <c r="L52" s="345"/>
      <c r="M52" s="358"/>
      <c r="N52" s="359"/>
      <c r="O52" s="345"/>
      <c r="P52" s="358"/>
      <c r="Q52" s="359"/>
      <c r="R52" s="345"/>
      <c r="S52" s="360"/>
    </row>
    <row r="53" spans="1:19" ht="23.1" customHeight="1" x14ac:dyDescent="0.2">
      <c r="A53" s="347"/>
      <c r="B53" s="142"/>
      <c r="C53" s="116"/>
      <c r="D53" s="116"/>
      <c r="E53" s="118"/>
      <c r="F53" s="116"/>
      <c r="G53" s="117"/>
      <c r="H53" s="118"/>
      <c r="I53" s="116"/>
      <c r="J53" s="117"/>
      <c r="K53" s="113"/>
      <c r="L53" s="116"/>
      <c r="M53" s="117"/>
      <c r="N53" s="121"/>
      <c r="O53" s="122"/>
      <c r="P53" s="123"/>
      <c r="Q53" s="118"/>
      <c r="R53" s="116"/>
      <c r="S53" s="119"/>
    </row>
    <row r="54" spans="1:19" ht="23.1" customHeight="1" x14ac:dyDescent="0.2">
      <c r="A54" s="346"/>
      <c r="B54" s="375"/>
      <c r="C54" s="354"/>
      <c r="D54" s="354"/>
      <c r="E54" s="353"/>
      <c r="F54" s="354"/>
      <c r="G54" s="355"/>
      <c r="H54" s="353"/>
      <c r="I54" s="354"/>
      <c r="J54" s="355"/>
      <c r="K54" s="354"/>
      <c r="L54" s="354"/>
      <c r="M54" s="355"/>
      <c r="N54" s="353"/>
      <c r="O54" s="354"/>
      <c r="P54" s="355"/>
      <c r="Q54" s="356"/>
      <c r="R54" s="351"/>
      <c r="S54" s="357"/>
    </row>
    <row r="55" spans="1:19" ht="23.1" customHeight="1" x14ac:dyDescent="0.2">
      <c r="A55" s="347"/>
      <c r="B55" s="374"/>
      <c r="C55" s="345"/>
      <c r="D55" s="345"/>
      <c r="E55" s="359"/>
      <c r="F55" s="345"/>
      <c r="G55" s="358"/>
      <c r="H55" s="359"/>
      <c r="I55" s="345"/>
      <c r="J55" s="358"/>
      <c r="K55" s="345"/>
      <c r="L55" s="345"/>
      <c r="M55" s="358"/>
      <c r="N55" s="359"/>
      <c r="O55" s="345"/>
      <c r="P55" s="358"/>
      <c r="Q55" s="359"/>
      <c r="R55" s="345"/>
      <c r="S55" s="360"/>
    </row>
    <row r="56" spans="1:19" ht="23.1" customHeight="1" x14ac:dyDescent="0.2">
      <c r="A56" s="347"/>
      <c r="B56" s="142"/>
      <c r="C56" s="116"/>
      <c r="D56" s="134"/>
      <c r="E56" s="118"/>
      <c r="F56" s="116"/>
      <c r="G56" s="120"/>
      <c r="H56" s="118"/>
      <c r="I56" s="116"/>
      <c r="J56" s="120"/>
      <c r="K56" s="113"/>
      <c r="L56" s="116"/>
      <c r="M56" s="120"/>
      <c r="N56" s="118"/>
      <c r="O56" s="114"/>
      <c r="P56" s="115"/>
      <c r="Q56" s="118"/>
      <c r="R56" s="116"/>
      <c r="S56" s="119"/>
    </row>
    <row r="57" spans="1:19" ht="23.1" customHeight="1" x14ac:dyDescent="0.2">
      <c r="A57" s="346"/>
      <c r="B57" s="375"/>
      <c r="C57" s="354"/>
      <c r="D57" s="354"/>
      <c r="E57" s="353"/>
      <c r="F57" s="354"/>
      <c r="G57" s="355"/>
      <c r="H57" s="353"/>
      <c r="I57" s="354"/>
      <c r="J57" s="354"/>
      <c r="K57" s="353"/>
      <c r="L57" s="354"/>
      <c r="M57" s="355"/>
      <c r="N57" s="353"/>
      <c r="O57" s="354"/>
      <c r="P57" s="355"/>
      <c r="Q57" s="353"/>
      <c r="R57" s="354"/>
      <c r="S57" s="369"/>
    </row>
    <row r="58" spans="1:19" ht="23.1" customHeight="1" x14ac:dyDescent="0.2">
      <c r="A58" s="347"/>
      <c r="B58" s="374"/>
      <c r="C58" s="345"/>
      <c r="D58" s="345"/>
      <c r="E58" s="359"/>
      <c r="F58" s="345"/>
      <c r="G58" s="358"/>
      <c r="H58" s="359"/>
      <c r="I58" s="345"/>
      <c r="J58" s="345"/>
      <c r="K58" s="359"/>
      <c r="L58" s="345"/>
      <c r="M58" s="358"/>
      <c r="N58" s="359"/>
      <c r="O58" s="345"/>
      <c r="P58" s="358"/>
      <c r="Q58" s="359"/>
      <c r="R58" s="345"/>
      <c r="S58" s="360"/>
    </row>
    <row r="59" spans="1:19" ht="23.1" customHeight="1" thickBot="1" x14ac:dyDescent="0.25">
      <c r="A59" s="348"/>
      <c r="B59" s="132"/>
      <c r="C59" s="127"/>
      <c r="D59" s="127"/>
      <c r="E59" s="129"/>
      <c r="F59" s="127"/>
      <c r="G59" s="128"/>
      <c r="H59" s="129"/>
      <c r="I59" s="127"/>
      <c r="J59" s="127"/>
      <c r="K59" s="129"/>
      <c r="L59" s="127"/>
      <c r="M59" s="128"/>
      <c r="N59" s="129"/>
      <c r="O59" s="127"/>
      <c r="P59" s="128"/>
      <c r="Q59" s="129"/>
      <c r="R59" s="127"/>
      <c r="S59" s="130"/>
    </row>
    <row r="60" spans="1:19" ht="5.0999999999999996" customHeight="1" thickBot="1" x14ac:dyDescent="0.25">
      <c r="A60" s="133"/>
      <c r="B60" s="121"/>
      <c r="C60" s="122"/>
      <c r="D60" s="122"/>
      <c r="E60" s="121"/>
      <c r="F60" s="122"/>
      <c r="G60" s="122"/>
      <c r="H60" s="121"/>
      <c r="I60" s="122"/>
      <c r="J60" s="122"/>
      <c r="K60" s="121"/>
      <c r="L60" s="122"/>
      <c r="M60" s="122"/>
      <c r="N60" s="121"/>
      <c r="O60" s="122"/>
      <c r="P60" s="122"/>
      <c r="Q60" s="121"/>
      <c r="R60" s="122"/>
      <c r="S60" s="125"/>
    </row>
    <row r="61" spans="1:19" ht="23.1" customHeight="1" x14ac:dyDescent="0.2">
      <c r="A61" s="364" t="s">
        <v>11</v>
      </c>
      <c r="B61" s="365"/>
      <c r="C61" s="365"/>
      <c r="D61" s="366"/>
      <c r="E61" s="367"/>
      <c r="F61" s="365"/>
      <c r="G61" s="366"/>
      <c r="H61" s="367"/>
      <c r="I61" s="365"/>
      <c r="J61" s="366"/>
      <c r="K61" s="367"/>
      <c r="L61" s="365"/>
      <c r="M61" s="366"/>
      <c r="N61" s="367"/>
      <c r="O61" s="365"/>
      <c r="P61" s="366"/>
      <c r="Q61" s="367"/>
      <c r="R61" s="365"/>
      <c r="S61" s="368"/>
    </row>
    <row r="62" spans="1:19" ht="23.1" customHeight="1" x14ac:dyDescent="0.2">
      <c r="A62" s="347"/>
      <c r="B62" s="345"/>
      <c r="C62" s="345"/>
      <c r="D62" s="358"/>
      <c r="E62" s="359"/>
      <c r="F62" s="345"/>
      <c r="G62" s="358"/>
      <c r="H62" s="359"/>
      <c r="I62" s="345"/>
      <c r="J62" s="358"/>
      <c r="K62" s="359"/>
      <c r="L62" s="345"/>
      <c r="M62" s="358"/>
      <c r="N62" s="359"/>
      <c r="O62" s="345"/>
      <c r="P62" s="358"/>
      <c r="Q62" s="359"/>
      <c r="R62" s="345"/>
      <c r="S62" s="360"/>
    </row>
    <row r="63" spans="1:19" ht="23.1" customHeight="1" x14ac:dyDescent="0.2">
      <c r="A63" s="347"/>
      <c r="B63" s="113"/>
      <c r="C63" s="116"/>
      <c r="D63" s="117"/>
      <c r="E63" s="118"/>
      <c r="F63" s="116"/>
      <c r="G63" s="117"/>
      <c r="H63" s="118"/>
      <c r="I63" s="116"/>
      <c r="J63" s="117"/>
      <c r="K63" s="118"/>
      <c r="L63" s="116"/>
      <c r="M63" s="117"/>
      <c r="N63" s="113"/>
      <c r="O63" s="116"/>
      <c r="P63" s="117"/>
      <c r="Q63" s="118"/>
      <c r="R63" s="116"/>
      <c r="S63" s="119"/>
    </row>
    <row r="64" spans="1:19" ht="23.1" customHeight="1" x14ac:dyDescent="0.2">
      <c r="A64" s="346" t="s">
        <v>11</v>
      </c>
      <c r="B64" s="351"/>
      <c r="C64" s="351"/>
      <c r="D64" s="352"/>
      <c r="E64" s="351"/>
      <c r="F64" s="351"/>
      <c r="G64" s="352"/>
      <c r="H64" s="351"/>
      <c r="I64" s="351"/>
      <c r="J64" s="352"/>
      <c r="K64" s="353"/>
      <c r="L64" s="354"/>
      <c r="M64" s="354"/>
      <c r="N64" s="353"/>
      <c r="O64" s="354"/>
      <c r="P64" s="355"/>
      <c r="Q64" s="356"/>
      <c r="R64" s="351"/>
      <c r="S64" s="357"/>
    </row>
    <row r="65" spans="1:22" ht="23.1" customHeight="1" x14ac:dyDescent="0.2">
      <c r="A65" s="347"/>
      <c r="B65" s="345"/>
      <c r="C65" s="345"/>
      <c r="D65" s="358"/>
      <c r="E65" s="345"/>
      <c r="F65" s="345"/>
      <c r="G65" s="358"/>
      <c r="H65" s="345"/>
      <c r="I65" s="345"/>
      <c r="J65" s="358"/>
      <c r="K65" s="359"/>
      <c r="L65" s="345"/>
      <c r="M65" s="345"/>
      <c r="N65" s="359"/>
      <c r="O65" s="345"/>
      <c r="P65" s="358"/>
      <c r="Q65" s="359"/>
      <c r="R65" s="345"/>
      <c r="S65" s="360"/>
    </row>
    <row r="66" spans="1:22" ht="23.1" customHeight="1" thickBot="1" x14ac:dyDescent="0.25">
      <c r="A66" s="348"/>
      <c r="B66" s="113"/>
      <c r="C66" s="116"/>
      <c r="D66" s="117"/>
      <c r="E66" s="113"/>
      <c r="F66" s="116"/>
      <c r="G66" s="117"/>
      <c r="H66" s="113"/>
      <c r="I66" s="116"/>
      <c r="J66" s="117"/>
      <c r="K66" s="126"/>
      <c r="L66" s="127"/>
      <c r="M66" s="127"/>
      <c r="N66" s="129"/>
      <c r="O66" s="127"/>
      <c r="P66" s="128"/>
      <c r="Q66" s="129"/>
      <c r="R66" s="127"/>
      <c r="S66" s="130"/>
    </row>
    <row r="67" spans="1:22" ht="30.95" customHeight="1" thickBot="1" x14ac:dyDescent="0.45">
      <c r="A67" s="39" t="s">
        <v>12</v>
      </c>
      <c r="B67" s="112" t="s">
        <v>13</v>
      </c>
      <c r="C67" s="342" t="s">
        <v>14</v>
      </c>
      <c r="D67" s="343"/>
      <c r="E67" s="112" t="s">
        <v>13</v>
      </c>
      <c r="F67" s="342" t="s">
        <v>14</v>
      </c>
      <c r="G67" s="343"/>
      <c r="H67" s="112" t="s">
        <v>13</v>
      </c>
      <c r="I67" s="342" t="s">
        <v>14</v>
      </c>
      <c r="J67" s="343"/>
      <c r="K67" s="112" t="s">
        <v>13</v>
      </c>
      <c r="L67" s="342" t="s">
        <v>14</v>
      </c>
      <c r="M67" s="343"/>
      <c r="N67" s="112" t="s">
        <v>13</v>
      </c>
      <c r="O67" s="342" t="s">
        <v>14</v>
      </c>
      <c r="P67" s="343"/>
      <c r="Q67" s="40" t="s">
        <v>13</v>
      </c>
      <c r="R67" s="342" t="s">
        <v>14</v>
      </c>
      <c r="S67" s="343"/>
    </row>
    <row r="68" spans="1:22" ht="24.95" customHeight="1" x14ac:dyDescent="0.2">
      <c r="A68" s="333" t="s">
        <v>15</v>
      </c>
      <c r="B68" s="131"/>
      <c r="C68" s="335"/>
      <c r="D68" s="336"/>
      <c r="E68" s="137"/>
      <c r="F68" s="335"/>
      <c r="G68" s="336"/>
      <c r="H68" s="141"/>
      <c r="I68" s="345"/>
      <c r="J68" s="345"/>
      <c r="K68" s="141"/>
      <c r="L68" s="337"/>
      <c r="M68" s="344"/>
      <c r="N68" s="137"/>
      <c r="O68" s="335"/>
      <c r="P68" s="336"/>
      <c r="Q68" s="137"/>
      <c r="R68" s="335"/>
      <c r="S68" s="338"/>
    </row>
    <row r="69" spans="1:22" ht="24.95" customHeight="1" thickBot="1" x14ac:dyDescent="0.25">
      <c r="A69" s="334"/>
      <c r="B69" s="132"/>
      <c r="C69" s="442"/>
      <c r="D69" s="443"/>
      <c r="E69" s="126"/>
      <c r="F69" s="442"/>
      <c r="G69" s="443"/>
      <c r="H69" s="124"/>
      <c r="I69" s="345"/>
      <c r="J69" s="345"/>
      <c r="K69" s="129"/>
      <c r="L69" s="339"/>
      <c r="M69" s="340"/>
      <c r="N69" s="126"/>
      <c r="O69" s="339"/>
      <c r="P69" s="340"/>
      <c r="Q69" s="126"/>
      <c r="R69" s="339"/>
      <c r="S69" s="341"/>
    </row>
    <row r="70" spans="1:22" ht="24.95" customHeight="1" x14ac:dyDescent="0.2">
      <c r="A70" s="333" t="s">
        <v>15</v>
      </c>
      <c r="B70" s="131"/>
      <c r="C70" s="335"/>
      <c r="D70" s="336"/>
      <c r="E70" s="137"/>
      <c r="F70" s="335"/>
      <c r="G70" s="336"/>
      <c r="H70" s="141"/>
      <c r="I70" s="337"/>
      <c r="J70" s="337"/>
      <c r="K70" s="140"/>
      <c r="L70" s="335"/>
      <c r="M70" s="336"/>
      <c r="N70" s="137"/>
      <c r="O70" s="335"/>
      <c r="P70" s="336"/>
      <c r="Q70" s="137"/>
      <c r="R70" s="335"/>
      <c r="S70" s="338"/>
    </row>
    <row r="71" spans="1:22" ht="24.95" customHeight="1" thickBot="1" x14ac:dyDescent="0.25">
      <c r="A71" s="334"/>
      <c r="B71" s="132"/>
      <c r="C71" s="339"/>
      <c r="D71" s="340"/>
      <c r="E71" s="126"/>
      <c r="F71" s="339"/>
      <c r="G71" s="340"/>
      <c r="H71" s="129"/>
      <c r="I71" s="339"/>
      <c r="J71" s="339"/>
      <c r="K71" s="129"/>
      <c r="L71" s="339"/>
      <c r="M71" s="340"/>
      <c r="N71" s="126"/>
      <c r="O71" s="339"/>
      <c r="P71" s="340"/>
      <c r="Q71" s="126"/>
      <c r="R71" s="339"/>
      <c r="S71" s="341"/>
    </row>
    <row r="72" spans="1:22" ht="60" customHeight="1" thickBot="1" x14ac:dyDescent="0.25">
      <c r="A72" s="379"/>
      <c r="B72" s="379"/>
      <c r="C72" s="379"/>
      <c r="D72" s="379"/>
      <c r="E72" s="379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</row>
    <row r="73" spans="1:22" ht="56.25" customHeight="1" thickBot="1" x14ac:dyDescent="0.25">
      <c r="A73" s="41"/>
      <c r="B73" s="424" t="str">
        <f>B40</f>
        <v>Tourenplan  für</v>
      </c>
      <c r="C73" s="425"/>
      <c r="D73" s="426"/>
      <c r="E73" s="421" t="str">
        <f>E40</f>
        <v>BML - NOS</v>
      </c>
      <c r="F73" s="422"/>
      <c r="G73" s="422"/>
      <c r="H73" s="422"/>
      <c r="I73" s="422"/>
      <c r="J73" s="422"/>
      <c r="K73" s="422"/>
      <c r="L73" s="422"/>
      <c r="M73" s="423"/>
      <c r="N73" s="162" t="s">
        <v>89</v>
      </c>
      <c r="O73" s="163"/>
      <c r="P73" s="164"/>
      <c r="Q73" s="425" t="s">
        <v>88</v>
      </c>
      <c r="R73" s="425"/>
      <c r="S73" s="426"/>
    </row>
    <row r="74" spans="1:22" ht="30.75" customHeight="1" thickBot="1" x14ac:dyDescent="0.45">
      <c r="A74" s="111"/>
      <c r="B74" s="165">
        <v>45775</v>
      </c>
      <c r="C74" s="166"/>
      <c r="D74" s="167"/>
      <c r="E74" s="165">
        <f>B74+1</f>
        <v>45776</v>
      </c>
      <c r="F74" s="168"/>
      <c r="G74" s="169"/>
      <c r="H74" s="165">
        <f>E74+1</f>
        <v>45777</v>
      </c>
      <c r="I74" s="168"/>
      <c r="J74" s="169"/>
      <c r="K74" s="165">
        <f>H74+1</f>
        <v>45778</v>
      </c>
      <c r="L74" s="168"/>
      <c r="M74" s="169"/>
      <c r="N74" s="165">
        <f>K74+1</f>
        <v>45779</v>
      </c>
      <c r="O74" s="168"/>
      <c r="P74" s="169"/>
      <c r="Q74" s="165">
        <f>N74+1</f>
        <v>45780</v>
      </c>
      <c r="R74" s="168"/>
      <c r="S74" s="169"/>
      <c r="T74" s="138"/>
      <c r="U74" s="139" t="s">
        <v>19</v>
      </c>
      <c r="V74" s="138"/>
    </row>
    <row r="75" spans="1:22" ht="23.1" customHeight="1" x14ac:dyDescent="0.35">
      <c r="A75" s="330" t="s">
        <v>20</v>
      </c>
      <c r="B75" s="444"/>
      <c r="C75" s="365"/>
      <c r="D75" s="365"/>
      <c r="E75" s="367"/>
      <c r="F75" s="365"/>
      <c r="G75" s="366"/>
      <c r="H75" s="367"/>
      <c r="I75" s="365"/>
      <c r="J75" s="366"/>
      <c r="K75" s="365"/>
      <c r="L75" s="365"/>
      <c r="M75" s="366"/>
      <c r="N75" s="367"/>
      <c r="O75" s="365"/>
      <c r="P75" s="366"/>
      <c r="Q75" s="367"/>
      <c r="R75" s="365"/>
      <c r="S75" s="368"/>
      <c r="T75" s="138" t="s">
        <v>0</v>
      </c>
      <c r="U75" s="139">
        <v>0</v>
      </c>
      <c r="V75" s="138"/>
    </row>
    <row r="76" spans="1:22" ht="23.1" customHeight="1" x14ac:dyDescent="0.35">
      <c r="A76" s="331"/>
      <c r="B76" s="374"/>
      <c r="C76" s="345"/>
      <c r="D76" s="345"/>
      <c r="E76" s="359"/>
      <c r="F76" s="345"/>
      <c r="G76" s="358"/>
      <c r="H76" s="359"/>
      <c r="I76" s="345"/>
      <c r="J76" s="358"/>
      <c r="K76" s="345"/>
      <c r="L76" s="345"/>
      <c r="M76" s="358"/>
      <c r="N76" s="359"/>
      <c r="O76" s="345"/>
      <c r="P76" s="358"/>
      <c r="Q76" s="359"/>
      <c r="R76" s="345"/>
      <c r="S76" s="360"/>
      <c r="T76" s="138" t="s">
        <v>1</v>
      </c>
      <c r="U76" s="139">
        <v>0</v>
      </c>
      <c r="V76" s="138"/>
    </row>
    <row r="77" spans="1:22" ht="23.1" customHeight="1" x14ac:dyDescent="0.35">
      <c r="A77" s="332"/>
      <c r="B77" s="142"/>
      <c r="C77" s="116"/>
      <c r="D77" s="116"/>
      <c r="E77" s="118"/>
      <c r="F77" s="116"/>
      <c r="G77" s="117"/>
      <c r="H77" s="118"/>
      <c r="I77" s="116"/>
      <c r="J77" s="117"/>
      <c r="K77" s="113"/>
      <c r="L77" s="116"/>
      <c r="M77" s="117"/>
      <c r="N77" s="118"/>
      <c r="O77" s="116"/>
      <c r="P77" s="117"/>
      <c r="Q77" s="118"/>
      <c r="R77" s="116"/>
      <c r="S77" s="119"/>
      <c r="T77" s="138" t="s">
        <v>2</v>
      </c>
      <c r="U77" s="139">
        <v>0</v>
      </c>
      <c r="V77" s="138"/>
    </row>
    <row r="78" spans="1:22" ht="23.1" customHeight="1" x14ac:dyDescent="0.35">
      <c r="A78" s="330" t="s">
        <v>21</v>
      </c>
      <c r="B78" s="375"/>
      <c r="C78" s="354"/>
      <c r="D78" s="354"/>
      <c r="E78" s="353"/>
      <c r="F78" s="354"/>
      <c r="G78" s="355"/>
      <c r="H78" s="353"/>
      <c r="I78" s="354"/>
      <c r="J78" s="355"/>
      <c r="K78" s="354"/>
      <c r="L78" s="354"/>
      <c r="M78" s="355"/>
      <c r="N78" s="353"/>
      <c r="O78" s="354"/>
      <c r="P78" s="355"/>
      <c r="Q78" s="353"/>
      <c r="R78" s="354"/>
      <c r="S78" s="369"/>
      <c r="T78" s="138" t="s">
        <v>3</v>
      </c>
      <c r="U78" s="139">
        <v>0</v>
      </c>
      <c r="V78" s="138"/>
    </row>
    <row r="79" spans="1:22" ht="23.1" customHeight="1" x14ac:dyDescent="0.35">
      <c r="A79" s="331"/>
      <c r="B79" s="374"/>
      <c r="C79" s="345"/>
      <c r="D79" s="345"/>
      <c r="E79" s="359"/>
      <c r="F79" s="345"/>
      <c r="G79" s="358"/>
      <c r="H79" s="359"/>
      <c r="I79" s="345"/>
      <c r="J79" s="358"/>
      <c r="K79" s="345"/>
      <c r="L79" s="345"/>
      <c r="M79" s="358"/>
      <c r="N79" s="359"/>
      <c r="O79" s="345"/>
      <c r="P79" s="358"/>
      <c r="Q79" s="359"/>
      <c r="R79" s="345"/>
      <c r="S79" s="360"/>
      <c r="T79" s="138" t="s">
        <v>4</v>
      </c>
      <c r="U79" s="139">
        <v>0</v>
      </c>
      <c r="V79" s="138"/>
    </row>
    <row r="80" spans="1:22" ht="23.1" customHeight="1" x14ac:dyDescent="0.35">
      <c r="A80" s="332"/>
      <c r="B80" s="142"/>
      <c r="C80" s="116"/>
      <c r="D80" s="116"/>
      <c r="E80" s="118"/>
      <c r="F80" s="116"/>
      <c r="G80" s="117"/>
      <c r="H80" s="118"/>
      <c r="I80" s="116"/>
      <c r="J80" s="117"/>
      <c r="K80" s="113"/>
      <c r="L80" s="116"/>
      <c r="M80" s="117"/>
      <c r="N80" s="113"/>
      <c r="O80" s="116"/>
      <c r="P80" s="117"/>
      <c r="Q80" s="118"/>
      <c r="R80" s="116"/>
      <c r="S80" s="119"/>
      <c r="T80" s="138"/>
      <c r="U80" s="139"/>
      <c r="V80" s="138"/>
    </row>
    <row r="81" spans="1:22" ht="23.1" customHeight="1" x14ac:dyDescent="0.35">
      <c r="A81" s="330" t="s">
        <v>22</v>
      </c>
      <c r="B81" s="375"/>
      <c r="C81" s="354"/>
      <c r="D81" s="354"/>
      <c r="E81" s="353"/>
      <c r="F81" s="354"/>
      <c r="G81" s="355"/>
      <c r="H81" s="353"/>
      <c r="I81" s="354"/>
      <c r="J81" s="355"/>
      <c r="K81" s="354"/>
      <c r="L81" s="354"/>
      <c r="M81" s="355"/>
      <c r="N81" s="353"/>
      <c r="O81" s="354"/>
      <c r="P81" s="355"/>
      <c r="Q81" s="353"/>
      <c r="R81" s="354"/>
      <c r="S81" s="369"/>
      <c r="T81" s="138"/>
      <c r="U81" s="139"/>
      <c r="V81" s="138"/>
    </row>
    <row r="82" spans="1:22" ht="23.1" customHeight="1" x14ac:dyDescent="0.35">
      <c r="A82" s="331"/>
      <c r="B82" s="374"/>
      <c r="C82" s="345"/>
      <c r="D82" s="345"/>
      <c r="E82" s="359"/>
      <c r="F82" s="345"/>
      <c r="G82" s="358"/>
      <c r="H82" s="359"/>
      <c r="I82" s="345"/>
      <c r="J82" s="358"/>
      <c r="K82" s="345"/>
      <c r="L82" s="345"/>
      <c r="M82" s="358"/>
      <c r="N82" s="359"/>
      <c r="O82" s="345"/>
      <c r="P82" s="358"/>
      <c r="Q82" s="359"/>
      <c r="R82" s="345"/>
      <c r="S82" s="360"/>
      <c r="T82" s="138"/>
      <c r="U82" s="139"/>
      <c r="V82" s="138"/>
    </row>
    <row r="83" spans="1:22" ht="23.1" customHeight="1" x14ac:dyDescent="0.35">
      <c r="A83" s="332"/>
      <c r="B83" s="142"/>
      <c r="C83" s="116"/>
      <c r="D83" s="116"/>
      <c r="E83" s="118"/>
      <c r="F83" s="116"/>
      <c r="G83" s="117"/>
      <c r="H83" s="118"/>
      <c r="I83" s="116"/>
      <c r="J83" s="117"/>
      <c r="K83" s="113"/>
      <c r="L83" s="116"/>
      <c r="M83" s="117"/>
      <c r="N83" s="113"/>
      <c r="O83" s="116"/>
      <c r="P83" s="117"/>
      <c r="Q83" s="118"/>
      <c r="R83" s="116"/>
      <c r="S83" s="119"/>
      <c r="T83" s="138"/>
      <c r="U83" s="139"/>
      <c r="V83" s="138"/>
    </row>
    <row r="84" spans="1:22" ht="23.1" customHeight="1" x14ac:dyDescent="0.35">
      <c r="A84" s="346" t="s">
        <v>23</v>
      </c>
      <c r="B84" s="375"/>
      <c r="C84" s="354"/>
      <c r="D84" s="354"/>
      <c r="E84" s="353"/>
      <c r="F84" s="354"/>
      <c r="G84" s="355"/>
      <c r="H84" s="353"/>
      <c r="I84" s="354"/>
      <c r="J84" s="355"/>
      <c r="K84" s="354"/>
      <c r="L84" s="354"/>
      <c r="M84" s="355"/>
      <c r="N84" s="353"/>
      <c r="O84" s="354"/>
      <c r="P84" s="355"/>
      <c r="Q84" s="353"/>
      <c r="R84" s="354"/>
      <c r="S84" s="369"/>
      <c r="T84" s="138"/>
      <c r="U84" s="139"/>
      <c r="V84" s="138"/>
    </row>
    <row r="85" spans="1:22" ht="23.1" customHeight="1" x14ac:dyDescent="0.35">
      <c r="A85" s="347"/>
      <c r="B85" s="374"/>
      <c r="C85" s="345"/>
      <c r="D85" s="345"/>
      <c r="E85" s="359"/>
      <c r="F85" s="345"/>
      <c r="G85" s="358"/>
      <c r="H85" s="359"/>
      <c r="I85" s="345"/>
      <c r="J85" s="358"/>
      <c r="K85" s="345"/>
      <c r="L85" s="345"/>
      <c r="M85" s="358"/>
      <c r="N85" s="359"/>
      <c r="O85" s="345"/>
      <c r="P85" s="358"/>
      <c r="Q85" s="359"/>
      <c r="R85" s="345"/>
      <c r="S85" s="360"/>
      <c r="T85" s="138"/>
      <c r="U85" s="139"/>
      <c r="V85" s="138"/>
    </row>
    <row r="86" spans="1:22" ht="23.1" customHeight="1" x14ac:dyDescent="0.35">
      <c r="A86" s="347"/>
      <c r="B86" s="142"/>
      <c r="C86" s="116"/>
      <c r="D86" s="116"/>
      <c r="E86" s="118"/>
      <c r="F86" s="116"/>
      <c r="G86" s="117"/>
      <c r="H86" s="118"/>
      <c r="I86" s="116"/>
      <c r="J86" s="117"/>
      <c r="K86" s="113"/>
      <c r="L86" s="116"/>
      <c r="M86" s="117"/>
      <c r="N86" s="113"/>
      <c r="O86" s="116"/>
      <c r="P86" s="117"/>
      <c r="Q86" s="118"/>
      <c r="R86" s="116"/>
      <c r="S86" s="119"/>
      <c r="T86" s="138"/>
      <c r="U86" s="138"/>
      <c r="V86" s="138"/>
    </row>
    <row r="87" spans="1:22" ht="23.1" customHeight="1" x14ac:dyDescent="0.2">
      <c r="A87" s="346" t="s">
        <v>24</v>
      </c>
      <c r="B87" s="375"/>
      <c r="C87" s="354"/>
      <c r="D87" s="354"/>
      <c r="E87" s="353"/>
      <c r="F87" s="354"/>
      <c r="G87" s="355"/>
      <c r="H87" s="353"/>
      <c r="I87" s="354"/>
      <c r="J87" s="355"/>
      <c r="K87" s="354"/>
      <c r="L87" s="354"/>
      <c r="M87" s="355"/>
      <c r="N87" s="353"/>
      <c r="O87" s="354"/>
      <c r="P87" s="355"/>
      <c r="Q87" s="353"/>
      <c r="R87" s="354"/>
      <c r="S87" s="369"/>
    </row>
    <row r="88" spans="1:22" ht="23.1" customHeight="1" x14ac:dyDescent="0.2">
      <c r="A88" s="347"/>
      <c r="B88" s="376"/>
      <c r="C88" s="370"/>
      <c r="D88" s="370"/>
      <c r="E88" s="378"/>
      <c r="F88" s="370"/>
      <c r="G88" s="371"/>
      <c r="H88" s="359"/>
      <c r="I88" s="345"/>
      <c r="J88" s="358"/>
      <c r="K88" s="345"/>
      <c r="L88" s="345"/>
      <c r="M88" s="358"/>
      <c r="N88" s="359"/>
      <c r="O88" s="345"/>
      <c r="P88" s="358"/>
      <c r="Q88" s="359"/>
      <c r="R88" s="345"/>
      <c r="S88" s="360"/>
    </row>
    <row r="89" spans="1:22" ht="23.1" customHeight="1" x14ac:dyDescent="0.2">
      <c r="A89" s="347"/>
      <c r="B89" s="145"/>
      <c r="C89" s="146"/>
      <c r="D89" s="146"/>
      <c r="E89" s="147"/>
      <c r="F89" s="146"/>
      <c r="G89" s="148"/>
      <c r="H89" s="118"/>
      <c r="I89" s="116"/>
      <c r="J89" s="117"/>
      <c r="K89" s="113"/>
      <c r="L89" s="116"/>
      <c r="M89" s="117"/>
      <c r="N89" s="113"/>
      <c r="O89" s="116"/>
      <c r="P89" s="117"/>
      <c r="Q89" s="118"/>
      <c r="R89" s="116"/>
      <c r="S89" s="119"/>
    </row>
    <row r="90" spans="1:22" ht="23.1" customHeight="1" x14ac:dyDescent="0.2">
      <c r="A90" s="346"/>
      <c r="B90" s="377"/>
      <c r="C90" s="351"/>
      <c r="D90" s="351"/>
      <c r="E90" s="356"/>
      <c r="F90" s="351"/>
      <c r="G90" s="352"/>
      <c r="H90" s="356"/>
      <c r="I90" s="351"/>
      <c r="J90" s="352"/>
      <c r="K90" s="351"/>
      <c r="L90" s="351"/>
      <c r="M90" s="352"/>
      <c r="N90" s="353"/>
      <c r="O90" s="354"/>
      <c r="P90" s="355"/>
      <c r="Q90" s="353"/>
      <c r="R90" s="354"/>
      <c r="S90" s="369"/>
    </row>
    <row r="91" spans="1:22" ht="23.1" customHeight="1" x14ac:dyDescent="0.2">
      <c r="A91" s="347"/>
      <c r="B91" s="374"/>
      <c r="C91" s="345"/>
      <c r="D91" s="345"/>
      <c r="E91" s="359"/>
      <c r="F91" s="345"/>
      <c r="G91" s="358"/>
      <c r="H91" s="359"/>
      <c r="I91" s="345"/>
      <c r="J91" s="358"/>
      <c r="K91" s="345"/>
      <c r="L91" s="345"/>
      <c r="M91" s="358"/>
      <c r="N91" s="359"/>
      <c r="O91" s="345"/>
      <c r="P91" s="358"/>
      <c r="Q91" s="359"/>
      <c r="R91" s="345"/>
      <c r="S91" s="360"/>
    </row>
    <row r="92" spans="1:22" ht="23.1" customHeight="1" x14ac:dyDescent="0.2">
      <c r="A92" s="347"/>
      <c r="B92" s="142"/>
      <c r="C92" s="116"/>
      <c r="D92" s="116"/>
      <c r="E92" s="118"/>
      <c r="F92" s="116"/>
      <c r="G92" s="117"/>
      <c r="H92" s="118"/>
      <c r="I92" s="116"/>
      <c r="J92" s="117"/>
      <c r="K92" s="113"/>
      <c r="L92" s="116"/>
      <c r="M92" s="117"/>
      <c r="N92" s="121"/>
      <c r="O92" s="122"/>
      <c r="P92" s="123"/>
      <c r="Q92" s="118"/>
      <c r="R92" s="116"/>
      <c r="S92" s="119"/>
    </row>
    <row r="93" spans="1:22" ht="23.1" customHeight="1" x14ac:dyDescent="0.2">
      <c r="A93" s="346"/>
      <c r="B93" s="375"/>
      <c r="C93" s="354"/>
      <c r="D93" s="354"/>
      <c r="E93" s="353"/>
      <c r="F93" s="354"/>
      <c r="G93" s="355"/>
      <c r="H93" s="353"/>
      <c r="I93" s="354"/>
      <c r="J93" s="355"/>
      <c r="K93" s="354"/>
      <c r="L93" s="354"/>
      <c r="M93" s="355"/>
      <c r="N93" s="353"/>
      <c r="O93" s="354"/>
      <c r="P93" s="355"/>
      <c r="Q93" s="356"/>
      <c r="R93" s="351"/>
      <c r="S93" s="357"/>
    </row>
    <row r="94" spans="1:22" ht="23.1" customHeight="1" x14ac:dyDescent="0.2">
      <c r="A94" s="347"/>
      <c r="B94" s="374"/>
      <c r="C94" s="345"/>
      <c r="D94" s="345"/>
      <c r="E94" s="359"/>
      <c r="F94" s="345"/>
      <c r="G94" s="358"/>
      <c r="H94" s="359"/>
      <c r="I94" s="345"/>
      <c r="J94" s="358"/>
      <c r="K94" s="345"/>
      <c r="L94" s="345"/>
      <c r="M94" s="358"/>
      <c r="N94" s="359"/>
      <c r="O94" s="345"/>
      <c r="P94" s="358"/>
      <c r="Q94" s="359"/>
      <c r="R94" s="345"/>
      <c r="S94" s="360"/>
    </row>
    <row r="95" spans="1:22" ht="23.1" customHeight="1" x14ac:dyDescent="0.2">
      <c r="A95" s="347"/>
      <c r="B95" s="142"/>
      <c r="C95" s="116"/>
      <c r="D95" s="134"/>
      <c r="E95" s="118"/>
      <c r="F95" s="116"/>
      <c r="G95" s="120"/>
      <c r="H95" s="118"/>
      <c r="I95" s="116"/>
      <c r="J95" s="120"/>
      <c r="K95" s="113"/>
      <c r="L95" s="116"/>
      <c r="M95" s="120"/>
      <c r="N95" s="118"/>
      <c r="O95" s="114"/>
      <c r="P95" s="115"/>
      <c r="Q95" s="118"/>
      <c r="R95" s="116"/>
      <c r="S95" s="119"/>
    </row>
    <row r="96" spans="1:22" ht="23.1" customHeight="1" x14ac:dyDescent="0.2">
      <c r="A96" s="346"/>
      <c r="B96" s="375"/>
      <c r="C96" s="354"/>
      <c r="D96" s="354"/>
      <c r="E96" s="353"/>
      <c r="F96" s="354"/>
      <c r="G96" s="355"/>
      <c r="H96" s="353"/>
      <c r="I96" s="354"/>
      <c r="J96" s="354"/>
      <c r="K96" s="353"/>
      <c r="L96" s="354"/>
      <c r="M96" s="355"/>
      <c r="N96" s="353"/>
      <c r="O96" s="354"/>
      <c r="P96" s="355"/>
      <c r="Q96" s="353"/>
      <c r="R96" s="354"/>
      <c r="S96" s="369"/>
    </row>
    <row r="97" spans="1:20" ht="23.1" customHeight="1" x14ac:dyDescent="0.2">
      <c r="A97" s="347"/>
      <c r="B97" s="374"/>
      <c r="C97" s="345"/>
      <c r="D97" s="345"/>
      <c r="E97" s="359"/>
      <c r="F97" s="345"/>
      <c r="G97" s="358"/>
      <c r="H97" s="359"/>
      <c r="I97" s="345"/>
      <c r="J97" s="345"/>
      <c r="K97" s="359"/>
      <c r="L97" s="345"/>
      <c r="M97" s="358"/>
      <c r="N97" s="359"/>
      <c r="O97" s="345"/>
      <c r="P97" s="358"/>
      <c r="Q97" s="359"/>
      <c r="R97" s="345"/>
      <c r="S97" s="360"/>
    </row>
    <row r="98" spans="1:20" ht="23.1" customHeight="1" thickBot="1" x14ac:dyDescent="0.25">
      <c r="A98" s="348"/>
      <c r="B98" s="132"/>
      <c r="C98" s="127"/>
      <c r="D98" s="127"/>
      <c r="E98" s="129"/>
      <c r="F98" s="127"/>
      <c r="G98" s="128"/>
      <c r="H98" s="129"/>
      <c r="I98" s="127"/>
      <c r="J98" s="127"/>
      <c r="K98" s="129"/>
      <c r="L98" s="127"/>
      <c r="M98" s="128"/>
      <c r="N98" s="129"/>
      <c r="O98" s="127"/>
      <c r="P98" s="128"/>
      <c r="Q98" s="129"/>
      <c r="R98" s="127"/>
      <c r="S98" s="130"/>
    </row>
    <row r="99" spans="1:20" ht="5.0999999999999996" customHeight="1" thickBot="1" x14ac:dyDescent="0.25">
      <c r="A99" s="133"/>
      <c r="B99" s="121"/>
      <c r="C99" s="122"/>
      <c r="D99" s="122"/>
      <c r="E99" s="121"/>
      <c r="F99" s="122"/>
      <c r="G99" s="122"/>
      <c r="H99" s="121"/>
      <c r="I99" s="122"/>
      <c r="J99" s="122"/>
      <c r="K99" s="121"/>
      <c r="L99" s="122"/>
      <c r="M99" s="122"/>
      <c r="N99" s="121"/>
      <c r="O99" s="122"/>
      <c r="P99" s="122"/>
      <c r="Q99" s="121"/>
      <c r="R99" s="122"/>
      <c r="S99" s="125"/>
    </row>
    <row r="100" spans="1:20" ht="23.1" customHeight="1" x14ac:dyDescent="0.2">
      <c r="A100" s="364" t="s">
        <v>11</v>
      </c>
      <c r="B100" s="365"/>
      <c r="C100" s="365"/>
      <c r="D100" s="366"/>
      <c r="E100" s="367"/>
      <c r="F100" s="365"/>
      <c r="G100" s="366"/>
      <c r="H100" s="367"/>
      <c r="I100" s="365"/>
      <c r="J100" s="366"/>
      <c r="K100" s="367"/>
      <c r="L100" s="365"/>
      <c r="M100" s="366"/>
      <c r="N100" s="367"/>
      <c r="O100" s="365"/>
      <c r="P100" s="366"/>
      <c r="Q100" s="367"/>
      <c r="R100" s="365"/>
      <c r="S100" s="368"/>
    </row>
    <row r="101" spans="1:20" ht="23.1" customHeight="1" x14ac:dyDescent="0.2">
      <c r="A101" s="347"/>
      <c r="B101" s="345"/>
      <c r="C101" s="345"/>
      <c r="D101" s="358"/>
      <c r="E101" s="359"/>
      <c r="F101" s="345"/>
      <c r="G101" s="358"/>
      <c r="H101" s="359"/>
      <c r="I101" s="345"/>
      <c r="J101" s="358"/>
      <c r="K101" s="359"/>
      <c r="L101" s="345"/>
      <c r="M101" s="358"/>
      <c r="N101" s="359"/>
      <c r="O101" s="345"/>
      <c r="P101" s="358"/>
      <c r="Q101" s="359"/>
      <c r="R101" s="345"/>
      <c r="S101" s="360"/>
    </row>
    <row r="102" spans="1:20" ht="23.1" customHeight="1" x14ac:dyDescent="0.2">
      <c r="A102" s="347"/>
      <c r="B102" s="113"/>
      <c r="C102" s="116"/>
      <c r="D102" s="117"/>
      <c r="E102" s="118"/>
      <c r="F102" s="116"/>
      <c r="G102" s="117"/>
      <c r="H102" s="113"/>
      <c r="I102" s="116"/>
      <c r="J102" s="117"/>
      <c r="K102" s="113"/>
      <c r="L102" s="116"/>
      <c r="M102" s="117"/>
      <c r="N102" s="113"/>
      <c r="O102" s="116"/>
      <c r="P102" s="117"/>
      <c r="Q102" s="118"/>
      <c r="R102" s="116"/>
      <c r="S102" s="119"/>
    </row>
    <row r="103" spans="1:20" ht="23.1" customHeight="1" x14ac:dyDescent="0.2">
      <c r="A103" s="346" t="s">
        <v>11</v>
      </c>
      <c r="B103" s="349"/>
      <c r="C103" s="349"/>
      <c r="D103" s="350"/>
      <c r="E103" s="351"/>
      <c r="F103" s="351"/>
      <c r="G103" s="352"/>
      <c r="H103" s="351"/>
      <c r="I103" s="351"/>
      <c r="J103" s="352"/>
      <c r="K103" s="353"/>
      <c r="L103" s="354"/>
      <c r="M103" s="354"/>
      <c r="N103" s="353"/>
      <c r="O103" s="354"/>
      <c r="P103" s="355"/>
      <c r="Q103" s="356"/>
      <c r="R103" s="351"/>
      <c r="S103" s="357"/>
    </row>
    <row r="104" spans="1:20" ht="23.1" customHeight="1" x14ac:dyDescent="0.2">
      <c r="A104" s="347"/>
      <c r="B104" s="349"/>
      <c r="C104" s="349"/>
      <c r="D104" s="350"/>
      <c r="E104" s="345"/>
      <c r="F104" s="345"/>
      <c r="G104" s="358"/>
      <c r="H104" s="345"/>
      <c r="I104" s="345"/>
      <c r="J104" s="358"/>
      <c r="K104" s="359"/>
      <c r="L104" s="345"/>
      <c r="M104" s="345"/>
      <c r="N104" s="359"/>
      <c r="O104" s="345"/>
      <c r="P104" s="358"/>
      <c r="Q104" s="359"/>
      <c r="R104" s="345"/>
      <c r="S104" s="360"/>
    </row>
    <row r="105" spans="1:20" ht="23.1" customHeight="1" thickBot="1" x14ac:dyDescent="0.25">
      <c r="A105" s="348"/>
      <c r="B105" s="361"/>
      <c r="C105" s="362"/>
      <c r="D105" s="363"/>
      <c r="E105" s="113"/>
      <c r="F105" s="116"/>
      <c r="G105" s="117"/>
      <c r="H105" s="113"/>
      <c r="I105" s="116"/>
      <c r="J105" s="117"/>
      <c r="K105" s="126"/>
      <c r="L105" s="127"/>
      <c r="M105" s="127"/>
      <c r="N105" s="129"/>
      <c r="O105" s="127"/>
      <c r="P105" s="128"/>
      <c r="Q105" s="129"/>
      <c r="R105" s="127"/>
      <c r="S105" s="130"/>
    </row>
    <row r="106" spans="1:20" ht="30.95" customHeight="1" thickBot="1" x14ac:dyDescent="0.45">
      <c r="A106" s="39" t="s">
        <v>12</v>
      </c>
      <c r="B106" s="112" t="s">
        <v>13</v>
      </c>
      <c r="C106" s="342" t="s">
        <v>14</v>
      </c>
      <c r="D106" s="343"/>
      <c r="E106" s="112" t="str">
        <f>B106</f>
        <v xml:space="preserve">SOLL: </v>
      </c>
      <c r="F106" s="342" t="s">
        <v>14</v>
      </c>
      <c r="G106" s="343"/>
      <c r="H106" s="112" t="str">
        <f>B106</f>
        <v xml:space="preserve">SOLL: </v>
      </c>
      <c r="I106" s="342" t="s">
        <v>14</v>
      </c>
      <c r="J106" s="343"/>
      <c r="K106" s="112" t="str">
        <f>B106</f>
        <v xml:space="preserve">SOLL: </v>
      </c>
      <c r="L106" s="342" t="s">
        <v>14</v>
      </c>
      <c r="M106" s="343"/>
      <c r="N106" s="112" t="str">
        <f>B106</f>
        <v xml:space="preserve">SOLL: </v>
      </c>
      <c r="O106" s="342" t="s">
        <v>25</v>
      </c>
      <c r="P106" s="343"/>
      <c r="Q106" s="40" t="s">
        <v>13</v>
      </c>
      <c r="R106" s="342" t="s">
        <v>14</v>
      </c>
      <c r="S106" s="343"/>
    </row>
    <row r="107" spans="1:20" ht="24.95" customHeight="1" x14ac:dyDescent="0.2">
      <c r="A107" s="333" t="s">
        <v>15</v>
      </c>
      <c r="B107" s="131"/>
      <c r="C107" s="335"/>
      <c r="D107" s="335"/>
      <c r="E107" s="141"/>
      <c r="F107" s="337"/>
      <c r="G107" s="344"/>
      <c r="H107" s="141"/>
      <c r="I107" s="345"/>
      <c r="J107" s="345"/>
      <c r="K107" s="141"/>
      <c r="L107" s="337"/>
      <c r="M107" s="344"/>
      <c r="N107" s="141"/>
      <c r="O107" s="337"/>
      <c r="P107" s="344"/>
      <c r="Q107" s="137"/>
      <c r="R107" s="335"/>
      <c r="S107" s="338"/>
    </row>
    <row r="108" spans="1:20" ht="24.95" customHeight="1" thickBot="1" x14ac:dyDescent="0.25">
      <c r="A108" s="334"/>
      <c r="B108" s="132"/>
      <c r="C108" s="339"/>
      <c r="D108" s="339"/>
      <c r="E108" s="129"/>
      <c r="F108" s="339"/>
      <c r="G108" s="340"/>
      <c r="H108" s="124"/>
      <c r="I108" s="345"/>
      <c r="J108" s="345"/>
      <c r="K108" s="129"/>
      <c r="L108" s="339"/>
      <c r="M108" s="340"/>
      <c r="N108" s="129"/>
      <c r="O108" s="339"/>
      <c r="P108" s="340"/>
      <c r="Q108" s="126"/>
      <c r="R108" s="339"/>
      <c r="S108" s="341"/>
    </row>
    <row r="109" spans="1:20" ht="24.95" customHeight="1" x14ac:dyDescent="0.2">
      <c r="A109" s="333" t="s">
        <v>15</v>
      </c>
      <c r="B109" s="131"/>
      <c r="C109" s="335"/>
      <c r="D109" s="335"/>
      <c r="E109" s="140"/>
      <c r="F109" s="335"/>
      <c r="G109" s="336"/>
      <c r="H109" s="141"/>
      <c r="I109" s="337"/>
      <c r="J109" s="337"/>
      <c r="K109" s="140"/>
      <c r="L109" s="335"/>
      <c r="M109" s="335"/>
      <c r="N109" s="140"/>
      <c r="O109" s="335"/>
      <c r="P109" s="336"/>
      <c r="Q109" s="137"/>
      <c r="R109" s="335"/>
      <c r="S109" s="338"/>
    </row>
    <row r="110" spans="1:20" ht="24.95" customHeight="1" thickBot="1" x14ac:dyDescent="0.25">
      <c r="A110" s="334"/>
      <c r="B110" s="132"/>
      <c r="C110" s="339"/>
      <c r="D110" s="339"/>
      <c r="E110" s="129"/>
      <c r="F110" s="339"/>
      <c r="G110" s="340"/>
      <c r="H110" s="129"/>
      <c r="I110" s="339"/>
      <c r="J110" s="339"/>
      <c r="K110" s="129"/>
      <c r="L110" s="339"/>
      <c r="M110" s="339"/>
      <c r="N110" s="129"/>
      <c r="O110" s="339"/>
      <c r="P110" s="340"/>
      <c r="Q110" s="126"/>
      <c r="R110" s="339"/>
      <c r="S110" s="341"/>
    </row>
    <row r="111" spans="1:20" x14ac:dyDescent="0.2">
      <c r="A111" s="379"/>
      <c r="B111" s="379"/>
      <c r="C111" s="379"/>
      <c r="D111" s="379"/>
      <c r="E111" s="379"/>
      <c r="F111" s="379"/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</row>
    <row r="112" spans="1:20" x14ac:dyDescent="0.2">
      <c r="A112" s="379"/>
      <c r="B112" s="379"/>
      <c r="C112" s="379"/>
      <c r="D112" s="379"/>
      <c r="E112" s="379"/>
      <c r="F112" s="379"/>
      <c r="G112" s="379"/>
      <c r="H112" s="379"/>
      <c r="I112" s="379"/>
      <c r="J112" s="379"/>
      <c r="K112" s="379"/>
      <c r="L112" s="379"/>
      <c r="M112" s="379"/>
      <c r="N112" s="379"/>
      <c r="O112" s="379"/>
      <c r="P112" s="379"/>
      <c r="Q112" s="379"/>
      <c r="R112" s="379"/>
      <c r="S112" s="379"/>
      <c r="T112" s="379"/>
    </row>
    <row r="113" spans="1:20" ht="15.75" thickBot="1" x14ac:dyDescent="0.25">
      <c r="A113" s="379"/>
      <c r="B113" s="379"/>
      <c r="C113" s="379"/>
      <c r="D113" s="379"/>
      <c r="E113" s="379"/>
      <c r="F113" s="379"/>
      <c r="G113" s="379"/>
      <c r="H113" s="379"/>
      <c r="I113" s="379"/>
      <c r="J113" s="379"/>
      <c r="K113" s="379"/>
      <c r="L113" s="379"/>
      <c r="M113" s="379"/>
      <c r="N113" s="379"/>
      <c r="O113" s="379"/>
      <c r="P113" s="379"/>
      <c r="Q113" s="379"/>
      <c r="R113" s="379"/>
      <c r="S113" s="379"/>
      <c r="T113" s="379"/>
    </row>
    <row r="114" spans="1:20" ht="56.25" customHeight="1" thickBot="1" x14ac:dyDescent="0.25">
      <c r="A114" s="41"/>
      <c r="B114" s="425" t="str">
        <f>B1</f>
        <v>Tourenplan  für</v>
      </c>
      <c r="C114" s="425"/>
      <c r="D114" s="425"/>
      <c r="E114" s="422" t="str">
        <f>E1</f>
        <v>BML - NOS</v>
      </c>
      <c r="F114" s="422"/>
      <c r="G114" s="422"/>
      <c r="H114" s="422"/>
      <c r="I114" s="422"/>
      <c r="J114" s="422"/>
      <c r="K114" s="422"/>
      <c r="L114" s="422"/>
      <c r="M114" s="423"/>
      <c r="N114" s="424" t="s">
        <v>89</v>
      </c>
      <c r="O114" s="425"/>
      <c r="P114" s="426"/>
      <c r="Q114" s="424" t="s">
        <v>90</v>
      </c>
      <c r="R114" s="425"/>
      <c r="S114" s="426"/>
    </row>
    <row r="115" spans="1:20" ht="30.75" thickBot="1" x14ac:dyDescent="0.45">
      <c r="A115" s="111"/>
      <c r="B115" s="42" t="s">
        <v>0</v>
      </c>
      <c r="C115" s="445">
        <f>C$2</f>
        <v>0</v>
      </c>
      <c r="D115" s="446"/>
      <c r="E115" s="37" t="s">
        <v>1</v>
      </c>
      <c r="F115" s="445">
        <f>F$2</f>
        <v>0</v>
      </c>
      <c r="G115" s="446"/>
      <c r="H115" s="38" t="s">
        <v>2</v>
      </c>
      <c r="I115" s="445">
        <f>I$2</f>
        <v>0</v>
      </c>
      <c r="J115" s="446"/>
      <c r="K115" s="36" t="s">
        <v>3</v>
      </c>
      <c r="L115" s="445">
        <f>L$2</f>
        <v>0</v>
      </c>
      <c r="M115" s="446"/>
      <c r="N115" s="37" t="s">
        <v>4</v>
      </c>
      <c r="O115" s="445">
        <f>O$2</f>
        <v>0</v>
      </c>
      <c r="P115" s="446"/>
      <c r="Q115" s="38" t="s">
        <v>5</v>
      </c>
      <c r="R115" s="445">
        <f>R$2</f>
        <v>0</v>
      </c>
      <c r="S115" s="447"/>
    </row>
    <row r="116" spans="1:20" ht="20.25" customHeight="1" x14ac:dyDescent="0.2">
      <c r="A116" s="330" t="s">
        <v>26</v>
      </c>
      <c r="B116" s="444"/>
      <c r="C116" s="365"/>
      <c r="D116" s="366"/>
      <c r="E116" s="367"/>
      <c r="F116" s="365"/>
      <c r="G116" s="366"/>
      <c r="H116" s="367"/>
      <c r="I116" s="365"/>
      <c r="J116" s="366"/>
      <c r="K116" s="367"/>
      <c r="L116" s="365"/>
      <c r="M116" s="366"/>
      <c r="N116" s="367"/>
      <c r="O116" s="365"/>
      <c r="P116" s="366"/>
      <c r="Q116" s="367"/>
      <c r="R116" s="365"/>
      <c r="S116" s="368"/>
    </row>
    <row r="117" spans="1:20" ht="23.25" customHeight="1" x14ac:dyDescent="0.2">
      <c r="A117" s="331"/>
      <c r="B117" s="345"/>
      <c r="C117" s="345"/>
      <c r="D117" s="358"/>
      <c r="E117" s="359"/>
      <c r="F117" s="345"/>
      <c r="G117" s="345"/>
      <c r="H117" s="359"/>
      <c r="I117" s="345"/>
      <c r="J117" s="358"/>
      <c r="K117" s="345"/>
      <c r="L117" s="345"/>
      <c r="M117" s="358"/>
      <c r="N117" s="359"/>
      <c r="O117" s="345"/>
      <c r="P117" s="358"/>
      <c r="Q117" s="359"/>
      <c r="R117" s="345"/>
      <c r="S117" s="360"/>
    </row>
    <row r="118" spans="1:20" ht="23.25" customHeight="1" x14ac:dyDescent="0.2">
      <c r="A118" s="332"/>
      <c r="B118" s="113"/>
      <c r="C118" s="116"/>
      <c r="D118" s="117"/>
      <c r="E118" s="113"/>
      <c r="F118" s="116"/>
      <c r="G118" s="116"/>
      <c r="H118" s="118"/>
      <c r="I118" s="116"/>
      <c r="J118" s="117"/>
      <c r="K118" s="113"/>
      <c r="L118" s="116"/>
      <c r="M118" s="117"/>
      <c r="N118" s="118"/>
      <c r="O118" s="116"/>
      <c r="P118" s="117"/>
      <c r="Q118" s="118"/>
      <c r="R118" s="116"/>
      <c r="S118" s="119"/>
    </row>
    <row r="119" spans="1:20" ht="20.25" x14ac:dyDescent="0.2">
      <c r="A119" s="346" t="s">
        <v>26</v>
      </c>
      <c r="B119" s="354"/>
      <c r="C119" s="354"/>
      <c r="D119" s="355"/>
      <c r="E119" s="353"/>
      <c r="F119" s="354"/>
      <c r="G119" s="354"/>
      <c r="H119" s="353"/>
      <c r="I119" s="354"/>
      <c r="J119" s="355"/>
      <c r="K119" s="354"/>
      <c r="L119" s="354"/>
      <c r="M119" s="355"/>
      <c r="N119" s="353"/>
      <c r="O119" s="354"/>
      <c r="P119" s="355"/>
      <c r="Q119" s="353"/>
      <c r="R119" s="354"/>
      <c r="S119" s="369"/>
    </row>
    <row r="120" spans="1:20" ht="20.25" customHeight="1" x14ac:dyDescent="0.2">
      <c r="A120" s="347"/>
      <c r="B120" s="345"/>
      <c r="C120" s="345"/>
      <c r="D120" s="358"/>
      <c r="E120" s="359"/>
      <c r="F120" s="345"/>
      <c r="G120" s="345"/>
      <c r="H120" s="359"/>
      <c r="I120" s="345"/>
      <c r="J120" s="358"/>
      <c r="K120" s="345"/>
      <c r="L120" s="345"/>
      <c r="M120" s="358"/>
      <c r="N120" s="359"/>
      <c r="O120" s="345"/>
      <c r="P120" s="358"/>
      <c r="Q120" s="359"/>
      <c r="R120" s="345"/>
      <c r="S120" s="360"/>
    </row>
    <row r="121" spans="1:20" ht="20.25" x14ac:dyDescent="0.2">
      <c r="A121" s="347"/>
      <c r="B121" s="113"/>
      <c r="C121" s="116"/>
      <c r="D121" s="117"/>
      <c r="E121" s="113"/>
      <c r="F121" s="116"/>
      <c r="G121" s="116"/>
      <c r="H121" s="118"/>
      <c r="I121" s="116"/>
      <c r="J121" s="117"/>
      <c r="K121" s="113"/>
      <c r="L121" s="116"/>
      <c r="M121" s="117"/>
      <c r="N121" s="113"/>
      <c r="O121" s="116"/>
      <c r="P121" s="117"/>
      <c r="Q121" s="118"/>
      <c r="R121" s="116"/>
      <c r="S121" s="119"/>
    </row>
    <row r="122" spans="1:20" ht="20.25" x14ac:dyDescent="0.2">
      <c r="A122" s="346" t="s">
        <v>26</v>
      </c>
      <c r="B122" s="354"/>
      <c r="C122" s="354"/>
      <c r="D122" s="355"/>
      <c r="E122" s="353"/>
      <c r="F122" s="354"/>
      <c r="G122" s="354"/>
      <c r="H122" s="353"/>
      <c r="I122" s="354"/>
      <c r="J122" s="355"/>
      <c r="K122" s="354"/>
      <c r="L122" s="354"/>
      <c r="M122" s="355"/>
      <c r="N122" s="353"/>
      <c r="O122" s="354"/>
      <c r="P122" s="355"/>
      <c r="Q122" s="353"/>
      <c r="R122" s="354"/>
      <c r="S122" s="369"/>
    </row>
    <row r="123" spans="1:20" ht="20.25" x14ac:dyDescent="0.2">
      <c r="A123" s="347"/>
      <c r="B123" s="345"/>
      <c r="C123" s="345"/>
      <c r="D123" s="358"/>
      <c r="E123" s="359"/>
      <c r="F123" s="345"/>
      <c r="G123" s="345"/>
      <c r="H123" s="359"/>
      <c r="I123" s="345"/>
      <c r="J123" s="358"/>
      <c r="K123" s="345"/>
      <c r="L123" s="345"/>
      <c r="M123" s="358"/>
      <c r="N123" s="359"/>
      <c r="O123" s="345"/>
      <c r="P123" s="358"/>
      <c r="Q123" s="359"/>
      <c r="R123" s="345"/>
      <c r="S123" s="360"/>
    </row>
    <row r="124" spans="1:20" ht="20.25" x14ac:dyDescent="0.2">
      <c r="A124" s="347"/>
      <c r="B124" s="113"/>
      <c r="C124" s="116"/>
      <c r="D124" s="117"/>
      <c r="E124" s="113"/>
      <c r="F124" s="116"/>
      <c r="G124" s="116"/>
      <c r="H124" s="118"/>
      <c r="I124" s="116"/>
      <c r="J124" s="117"/>
      <c r="K124" s="113"/>
      <c r="L124" s="116"/>
      <c r="M124" s="117"/>
      <c r="N124" s="113"/>
      <c r="O124" s="116"/>
      <c r="P124" s="117"/>
      <c r="Q124" s="118"/>
      <c r="R124" s="116"/>
      <c r="S124" s="119"/>
    </row>
    <row r="125" spans="1:20" ht="20.25" x14ac:dyDescent="0.2">
      <c r="A125" s="346"/>
      <c r="B125" s="327"/>
      <c r="C125" s="327"/>
      <c r="D125" s="328"/>
      <c r="E125" s="351"/>
      <c r="F125" s="351"/>
      <c r="G125" s="351"/>
      <c r="H125" s="356"/>
      <c r="I125" s="351"/>
      <c r="J125" s="352"/>
      <c r="K125" s="351"/>
      <c r="L125" s="351"/>
      <c r="M125" s="352"/>
      <c r="N125" s="353"/>
      <c r="O125" s="354"/>
      <c r="P125" s="355"/>
      <c r="Q125" s="353"/>
      <c r="R125" s="354"/>
      <c r="S125" s="369"/>
    </row>
    <row r="126" spans="1:20" ht="20.25" x14ac:dyDescent="0.2">
      <c r="A126" s="347"/>
      <c r="B126" s="372"/>
      <c r="C126" s="372"/>
      <c r="D126" s="373"/>
      <c r="E126" s="345"/>
      <c r="F126" s="345"/>
      <c r="G126" s="345"/>
      <c r="H126" s="359"/>
      <c r="I126" s="345"/>
      <c r="J126" s="358"/>
      <c r="K126" s="345"/>
      <c r="L126" s="345"/>
      <c r="M126" s="358"/>
      <c r="N126" s="359"/>
      <c r="O126" s="345"/>
      <c r="P126" s="358"/>
      <c r="Q126" s="359"/>
      <c r="R126" s="345"/>
      <c r="S126" s="360"/>
    </row>
    <row r="127" spans="1:20" ht="20.25" x14ac:dyDescent="0.2">
      <c r="A127" s="347"/>
      <c r="B127" s="143"/>
      <c r="C127" s="143"/>
      <c r="D127" s="144"/>
      <c r="E127" s="113"/>
      <c r="F127" s="116"/>
      <c r="G127" s="116"/>
      <c r="H127" s="118"/>
      <c r="I127" s="116"/>
      <c r="J127" s="117"/>
      <c r="K127" s="113"/>
      <c r="L127" s="116"/>
      <c r="M127" s="117"/>
      <c r="N127" s="121"/>
      <c r="O127" s="122"/>
      <c r="P127" s="123"/>
      <c r="Q127" s="118"/>
      <c r="R127" s="116"/>
      <c r="S127" s="119"/>
    </row>
    <row r="128" spans="1:20" ht="20.25" x14ac:dyDescent="0.2">
      <c r="A128" s="346"/>
      <c r="B128" s="351"/>
      <c r="C128" s="351"/>
      <c r="D128" s="352"/>
      <c r="E128" s="353"/>
      <c r="F128" s="354"/>
      <c r="G128" s="354"/>
      <c r="H128" s="353"/>
      <c r="I128" s="354"/>
      <c r="J128" s="355"/>
      <c r="K128" s="354"/>
      <c r="L128" s="354"/>
      <c r="M128" s="355"/>
      <c r="N128" s="353"/>
      <c r="O128" s="354"/>
      <c r="P128" s="355"/>
      <c r="Q128" s="356"/>
      <c r="R128" s="351"/>
      <c r="S128" s="357"/>
    </row>
    <row r="129" spans="1:19" ht="20.25" x14ac:dyDescent="0.2">
      <c r="A129" s="347"/>
      <c r="B129" s="370"/>
      <c r="C129" s="370"/>
      <c r="D129" s="371"/>
      <c r="E129" s="359"/>
      <c r="F129" s="345"/>
      <c r="G129" s="345"/>
      <c r="H129" s="359"/>
      <c r="I129" s="345"/>
      <c r="J129" s="358"/>
      <c r="K129" s="345"/>
      <c r="L129" s="345"/>
      <c r="M129" s="358"/>
      <c r="N129" s="359"/>
      <c r="O129" s="345"/>
      <c r="P129" s="358"/>
      <c r="Q129" s="359"/>
      <c r="R129" s="345"/>
      <c r="S129" s="360"/>
    </row>
    <row r="130" spans="1:19" ht="20.25" x14ac:dyDescent="0.2">
      <c r="A130" s="347"/>
      <c r="B130" s="113"/>
      <c r="C130" s="116"/>
      <c r="D130" s="117"/>
      <c r="E130" s="118"/>
      <c r="F130" s="116"/>
      <c r="G130" s="134"/>
      <c r="H130" s="118"/>
      <c r="I130" s="116"/>
      <c r="J130" s="120"/>
      <c r="K130" s="113"/>
      <c r="L130" s="116"/>
      <c r="M130" s="120"/>
      <c r="N130" s="118"/>
      <c r="O130" s="114"/>
      <c r="P130" s="115"/>
      <c r="Q130" s="118"/>
      <c r="R130" s="116"/>
      <c r="S130" s="119"/>
    </row>
    <row r="131" spans="1:19" ht="20.25" x14ac:dyDescent="0.2">
      <c r="A131" s="346"/>
      <c r="B131" s="354"/>
      <c r="C131" s="354"/>
      <c r="D131" s="355"/>
      <c r="E131" s="353"/>
      <c r="F131" s="354"/>
      <c r="G131" s="354"/>
      <c r="H131" s="353"/>
      <c r="I131" s="354"/>
      <c r="J131" s="354"/>
      <c r="K131" s="353"/>
      <c r="L131" s="354"/>
      <c r="M131" s="355"/>
      <c r="N131" s="353"/>
      <c r="O131" s="354"/>
      <c r="P131" s="355"/>
      <c r="Q131" s="353"/>
      <c r="R131" s="354"/>
      <c r="S131" s="369"/>
    </row>
    <row r="132" spans="1:19" ht="20.25" x14ac:dyDescent="0.2">
      <c r="A132" s="347"/>
      <c r="B132" s="345"/>
      <c r="C132" s="345"/>
      <c r="D132" s="358"/>
      <c r="E132" s="359"/>
      <c r="F132" s="345"/>
      <c r="G132" s="345"/>
      <c r="H132" s="359"/>
      <c r="I132" s="345"/>
      <c r="J132" s="345"/>
      <c r="K132" s="359"/>
      <c r="L132" s="345"/>
      <c r="M132" s="358"/>
      <c r="N132" s="359"/>
      <c r="O132" s="345"/>
      <c r="P132" s="358"/>
      <c r="Q132" s="359"/>
      <c r="R132" s="345"/>
      <c r="S132" s="360"/>
    </row>
    <row r="133" spans="1:19" ht="21" thickBot="1" x14ac:dyDescent="0.25">
      <c r="A133" s="348"/>
      <c r="B133" s="126"/>
      <c r="C133" s="127"/>
      <c r="D133" s="128"/>
      <c r="E133" s="126"/>
      <c r="F133" s="127"/>
      <c r="G133" s="127"/>
      <c r="H133" s="129"/>
      <c r="I133" s="127"/>
      <c r="J133" s="127"/>
      <c r="K133" s="129"/>
      <c r="L133" s="127"/>
      <c r="M133" s="128"/>
      <c r="N133" s="129"/>
      <c r="O133" s="127"/>
      <c r="P133" s="128"/>
      <c r="Q133" s="129"/>
      <c r="R133" s="127"/>
      <c r="S133" s="130"/>
    </row>
    <row r="134" spans="1:19" ht="5.0999999999999996" customHeight="1" thickBot="1" x14ac:dyDescent="0.25">
      <c r="A134" s="133"/>
      <c r="B134" s="121"/>
      <c r="C134" s="122"/>
      <c r="D134" s="122"/>
      <c r="E134" s="121"/>
      <c r="F134" s="122"/>
      <c r="G134" s="122"/>
      <c r="H134" s="121"/>
      <c r="I134" s="122"/>
      <c r="J134" s="122"/>
      <c r="K134" s="121"/>
      <c r="L134" s="122"/>
      <c r="M134" s="122"/>
      <c r="N134" s="121"/>
      <c r="O134" s="122"/>
      <c r="P134" s="122"/>
      <c r="Q134" s="121"/>
      <c r="R134" s="122"/>
      <c r="S134" s="125"/>
    </row>
    <row r="135" spans="1:19" ht="20.25" x14ac:dyDescent="0.2">
      <c r="A135" s="364" t="s">
        <v>11</v>
      </c>
      <c r="B135" s="365"/>
      <c r="C135" s="365"/>
      <c r="D135" s="366"/>
      <c r="E135" s="367"/>
      <c r="F135" s="365"/>
      <c r="G135" s="366"/>
      <c r="H135" s="367"/>
      <c r="I135" s="365"/>
      <c r="J135" s="366"/>
      <c r="K135" s="367"/>
      <c r="L135" s="365"/>
      <c r="M135" s="366"/>
      <c r="N135" s="367"/>
      <c r="O135" s="365"/>
      <c r="P135" s="366"/>
      <c r="Q135" s="367"/>
      <c r="R135" s="365"/>
      <c r="S135" s="368"/>
    </row>
    <row r="136" spans="1:19" ht="20.25" x14ac:dyDescent="0.2">
      <c r="A136" s="347"/>
      <c r="B136" s="345"/>
      <c r="C136" s="345"/>
      <c r="D136" s="358"/>
      <c r="E136" s="359"/>
      <c r="F136" s="345"/>
      <c r="G136" s="358"/>
      <c r="H136" s="359"/>
      <c r="I136" s="345"/>
      <c r="J136" s="358"/>
      <c r="K136" s="359"/>
      <c r="L136" s="345"/>
      <c r="M136" s="358"/>
      <c r="N136" s="359"/>
      <c r="O136" s="345"/>
      <c r="P136" s="358"/>
      <c r="Q136" s="359"/>
      <c r="R136" s="345"/>
      <c r="S136" s="360"/>
    </row>
    <row r="137" spans="1:19" ht="20.25" x14ac:dyDescent="0.2">
      <c r="A137" s="347"/>
      <c r="B137" s="113"/>
      <c r="C137" s="116"/>
      <c r="D137" s="117"/>
      <c r="E137" s="118"/>
      <c r="F137" s="116"/>
      <c r="G137" s="117"/>
      <c r="H137" s="113"/>
      <c r="I137" s="116"/>
      <c r="J137" s="117"/>
      <c r="K137" s="113"/>
      <c r="L137" s="116"/>
      <c r="M137" s="117"/>
      <c r="N137" s="113"/>
      <c r="O137" s="116"/>
      <c r="P137" s="117"/>
      <c r="Q137" s="118"/>
      <c r="R137" s="116"/>
      <c r="S137" s="119"/>
    </row>
    <row r="138" spans="1:19" ht="20.25" x14ac:dyDescent="0.2">
      <c r="A138" s="346" t="s">
        <v>11</v>
      </c>
      <c r="B138" s="349"/>
      <c r="C138" s="349"/>
      <c r="D138" s="350"/>
      <c r="E138" s="351"/>
      <c r="F138" s="351"/>
      <c r="G138" s="352"/>
      <c r="H138" s="351"/>
      <c r="I138" s="351"/>
      <c r="J138" s="352"/>
      <c r="K138" s="353"/>
      <c r="L138" s="354"/>
      <c r="M138" s="354"/>
      <c r="N138" s="353"/>
      <c r="O138" s="354"/>
      <c r="P138" s="355"/>
      <c r="Q138" s="356"/>
      <c r="R138" s="351"/>
      <c r="S138" s="357"/>
    </row>
    <row r="139" spans="1:19" ht="20.25" x14ac:dyDescent="0.2">
      <c r="A139" s="347"/>
      <c r="B139" s="349"/>
      <c r="C139" s="349"/>
      <c r="D139" s="350"/>
      <c r="E139" s="345"/>
      <c r="F139" s="345"/>
      <c r="G139" s="358"/>
      <c r="H139" s="345"/>
      <c r="I139" s="345"/>
      <c r="J139" s="358"/>
      <c r="K139" s="359"/>
      <c r="L139" s="345"/>
      <c r="M139" s="345"/>
      <c r="N139" s="359"/>
      <c r="O139" s="345"/>
      <c r="P139" s="358"/>
      <c r="Q139" s="359"/>
      <c r="R139" s="345"/>
      <c r="S139" s="360"/>
    </row>
    <row r="140" spans="1:19" ht="21" thickBot="1" x14ac:dyDescent="0.25">
      <c r="A140" s="348"/>
      <c r="B140" s="361"/>
      <c r="C140" s="362"/>
      <c r="D140" s="363"/>
      <c r="E140" s="113"/>
      <c r="F140" s="116"/>
      <c r="G140" s="117"/>
      <c r="H140" s="113"/>
      <c r="I140" s="116"/>
      <c r="J140" s="117"/>
      <c r="K140" s="126"/>
      <c r="L140" s="127"/>
      <c r="M140" s="127"/>
      <c r="N140" s="129"/>
      <c r="O140" s="127"/>
      <c r="P140" s="128"/>
      <c r="Q140" s="129"/>
      <c r="R140" s="127"/>
      <c r="S140" s="130"/>
    </row>
    <row r="141" spans="1:19" ht="30.75" thickBot="1" x14ac:dyDescent="0.45">
      <c r="A141" s="39" t="s">
        <v>12</v>
      </c>
      <c r="B141" s="112" t="s">
        <v>13</v>
      </c>
      <c r="C141" s="342" t="s">
        <v>14</v>
      </c>
      <c r="D141" s="343"/>
      <c r="E141" s="112" t="str">
        <f>B141</f>
        <v xml:space="preserve">SOLL: </v>
      </c>
      <c r="F141" s="342" t="s">
        <v>14</v>
      </c>
      <c r="G141" s="343"/>
      <c r="H141" s="112" t="str">
        <f>B141</f>
        <v xml:space="preserve">SOLL: </v>
      </c>
      <c r="I141" s="342" t="s">
        <v>14</v>
      </c>
      <c r="J141" s="343"/>
      <c r="K141" s="112" t="str">
        <f>B141</f>
        <v xml:space="preserve">SOLL: </v>
      </c>
      <c r="L141" s="342" t="s">
        <v>14</v>
      </c>
      <c r="M141" s="343"/>
      <c r="N141" s="112" t="str">
        <f>B141</f>
        <v xml:space="preserve">SOLL: </v>
      </c>
      <c r="O141" s="342" t="s">
        <v>25</v>
      </c>
      <c r="P141" s="343"/>
      <c r="Q141" s="40" t="s">
        <v>13</v>
      </c>
      <c r="R141" s="342" t="s">
        <v>14</v>
      </c>
      <c r="S141" s="343"/>
    </row>
    <row r="142" spans="1:19" ht="24.95" customHeight="1" x14ac:dyDescent="0.2">
      <c r="A142" s="333" t="s">
        <v>15</v>
      </c>
      <c r="B142" s="131"/>
      <c r="C142" s="335"/>
      <c r="D142" s="335"/>
      <c r="E142" s="141"/>
      <c r="F142" s="337"/>
      <c r="G142" s="344"/>
      <c r="H142" s="141"/>
      <c r="I142" s="345"/>
      <c r="J142" s="345"/>
      <c r="K142" s="141"/>
      <c r="L142" s="337"/>
      <c r="M142" s="344"/>
      <c r="N142" s="141"/>
      <c r="O142" s="337"/>
      <c r="P142" s="344"/>
      <c r="Q142" s="137"/>
      <c r="R142" s="335"/>
      <c r="S142" s="338"/>
    </row>
    <row r="143" spans="1:19" ht="24.95" customHeight="1" thickBot="1" x14ac:dyDescent="0.25">
      <c r="A143" s="334"/>
      <c r="B143" s="132"/>
      <c r="C143" s="339"/>
      <c r="D143" s="339"/>
      <c r="E143" s="129"/>
      <c r="F143" s="339"/>
      <c r="G143" s="340"/>
      <c r="H143" s="124"/>
      <c r="I143" s="345"/>
      <c r="J143" s="345"/>
      <c r="K143" s="129"/>
      <c r="L143" s="339"/>
      <c r="M143" s="340"/>
      <c r="N143" s="129"/>
      <c r="O143" s="339"/>
      <c r="P143" s="340"/>
      <c r="Q143" s="126"/>
      <c r="R143" s="339"/>
      <c r="S143" s="341"/>
    </row>
    <row r="144" spans="1:19" ht="24.95" customHeight="1" x14ac:dyDescent="0.2">
      <c r="A144" s="333" t="s">
        <v>15</v>
      </c>
      <c r="B144" s="131"/>
      <c r="C144" s="335"/>
      <c r="D144" s="335"/>
      <c r="E144" s="140"/>
      <c r="F144" s="335"/>
      <c r="G144" s="336"/>
      <c r="H144" s="141"/>
      <c r="I144" s="337"/>
      <c r="J144" s="337"/>
      <c r="K144" s="140"/>
      <c r="L144" s="335"/>
      <c r="M144" s="335"/>
      <c r="N144" s="140"/>
      <c r="O144" s="335"/>
      <c r="P144" s="336"/>
      <c r="Q144" s="137"/>
      <c r="R144" s="335"/>
      <c r="S144" s="338"/>
    </row>
    <row r="145" spans="1:19" ht="24.95" customHeight="1" thickBot="1" x14ac:dyDescent="0.25">
      <c r="A145" s="334"/>
      <c r="B145" s="132"/>
      <c r="C145" s="339"/>
      <c r="D145" s="339"/>
      <c r="E145" s="129"/>
      <c r="F145" s="339"/>
      <c r="G145" s="340"/>
      <c r="H145" s="129"/>
      <c r="I145" s="339"/>
      <c r="J145" s="339"/>
      <c r="K145" s="129"/>
      <c r="L145" s="339"/>
      <c r="M145" s="339"/>
      <c r="N145" s="129"/>
      <c r="O145" s="339"/>
      <c r="P145" s="340"/>
      <c r="Q145" s="126"/>
      <c r="R145" s="339"/>
      <c r="S145" s="341"/>
    </row>
  </sheetData>
  <mergeCells count="494">
    <mergeCell ref="N126:P126"/>
    <mergeCell ref="Q126:S126"/>
    <mergeCell ref="B42:D42"/>
    <mergeCell ref="B43:D43"/>
    <mergeCell ref="B45:D45"/>
    <mergeCell ref="B46:D46"/>
    <mergeCell ref="B48:D48"/>
    <mergeCell ref="B49:D49"/>
    <mergeCell ref="B50:D50"/>
    <mergeCell ref="C115:D115"/>
    <mergeCell ref="Q73:S73"/>
    <mergeCell ref="Q114:S114"/>
    <mergeCell ref="N114:P114"/>
    <mergeCell ref="B114:D114"/>
    <mergeCell ref="E114:M114"/>
    <mergeCell ref="E73:M73"/>
    <mergeCell ref="L108:M108"/>
    <mergeCell ref="O107:P107"/>
    <mergeCell ref="O108:P108"/>
    <mergeCell ref="B117:D117"/>
    <mergeCell ref="E117:G117"/>
    <mergeCell ref="H117:J117"/>
    <mergeCell ref="K117:M117"/>
    <mergeCell ref="N117:P117"/>
    <mergeCell ref="A119:A121"/>
    <mergeCell ref="B119:D119"/>
    <mergeCell ref="E119:G119"/>
    <mergeCell ref="H119:J119"/>
    <mergeCell ref="K119:M119"/>
    <mergeCell ref="N119:P119"/>
    <mergeCell ref="R71:S71"/>
    <mergeCell ref="F70:G70"/>
    <mergeCell ref="F71:G71"/>
    <mergeCell ref="O70:P70"/>
    <mergeCell ref="O71:P71"/>
    <mergeCell ref="Q119:S119"/>
    <mergeCell ref="B120:D120"/>
    <mergeCell ref="E120:G120"/>
    <mergeCell ref="H120:J120"/>
    <mergeCell ref="K120:M120"/>
    <mergeCell ref="N120:P120"/>
    <mergeCell ref="Q120:S120"/>
    <mergeCell ref="A70:A71"/>
    <mergeCell ref="F115:G115"/>
    <mergeCell ref="I115:J115"/>
    <mergeCell ref="L115:M115"/>
    <mergeCell ref="O115:P115"/>
    <mergeCell ref="R115:S115"/>
    <mergeCell ref="A122:A124"/>
    <mergeCell ref="B122:D122"/>
    <mergeCell ref="E122:G122"/>
    <mergeCell ref="H122:J122"/>
    <mergeCell ref="K122:M122"/>
    <mergeCell ref="N122:P122"/>
    <mergeCell ref="Q122:S122"/>
    <mergeCell ref="B123:D123"/>
    <mergeCell ref="E123:G123"/>
    <mergeCell ref="H123:J123"/>
    <mergeCell ref="K123:M123"/>
    <mergeCell ref="N123:P123"/>
    <mergeCell ref="Q123:S123"/>
    <mergeCell ref="B73:D73"/>
    <mergeCell ref="B75:D75"/>
    <mergeCell ref="B76:D76"/>
    <mergeCell ref="B78:D78"/>
    <mergeCell ref="E75:G75"/>
    <mergeCell ref="H75:J75"/>
    <mergeCell ref="K75:M75"/>
    <mergeCell ref="N75:P75"/>
    <mergeCell ref="Q75:S75"/>
    <mergeCell ref="Q76:S76"/>
    <mergeCell ref="Q81:S81"/>
    <mergeCell ref="E82:G82"/>
    <mergeCell ref="K79:M79"/>
    <mergeCell ref="N79:P79"/>
    <mergeCell ref="Q79:S79"/>
    <mergeCell ref="A75:A77"/>
    <mergeCell ref="Q117:S117"/>
    <mergeCell ref="Q116:S116"/>
    <mergeCell ref="N116:P116"/>
    <mergeCell ref="K116:M116"/>
    <mergeCell ref="H116:J116"/>
    <mergeCell ref="E116:G116"/>
    <mergeCell ref="B116:D116"/>
    <mergeCell ref="H84:J84"/>
    <mergeCell ref="K84:M84"/>
    <mergeCell ref="N84:P84"/>
    <mergeCell ref="Q84:S84"/>
    <mergeCell ref="E85:G85"/>
    <mergeCell ref="H85:J85"/>
    <mergeCell ref="K85:M85"/>
    <mergeCell ref="N85:P85"/>
    <mergeCell ref="H81:J81"/>
    <mergeCell ref="K81:M81"/>
    <mergeCell ref="H91:J91"/>
    <mergeCell ref="K91:M91"/>
    <mergeCell ref="A111:T113"/>
    <mergeCell ref="A109:A110"/>
    <mergeCell ref="C109:D109"/>
    <mergeCell ref="I109:J109"/>
    <mergeCell ref="L109:M109"/>
    <mergeCell ref="R109:S109"/>
    <mergeCell ref="C110:D110"/>
    <mergeCell ref="I110:J110"/>
    <mergeCell ref="L110:M110"/>
    <mergeCell ref="O109:P109"/>
    <mergeCell ref="O110:P110"/>
    <mergeCell ref="E94:G94"/>
    <mergeCell ref="H94:J94"/>
    <mergeCell ref="K94:M94"/>
    <mergeCell ref="N94:P94"/>
    <mergeCell ref="Q94:S94"/>
    <mergeCell ref="K97:M97"/>
    <mergeCell ref="N97:P97"/>
    <mergeCell ref="Q97:S97"/>
    <mergeCell ref="C106:D106"/>
    <mergeCell ref="F106:G106"/>
    <mergeCell ref="I106:J106"/>
    <mergeCell ref="L106:M106"/>
    <mergeCell ref="R70:S70"/>
    <mergeCell ref="C71:D71"/>
    <mergeCell ref="I71:J71"/>
    <mergeCell ref="H82:J82"/>
    <mergeCell ref="K82:M82"/>
    <mergeCell ref="Q82:S82"/>
    <mergeCell ref="C70:D70"/>
    <mergeCell ref="I70:J70"/>
    <mergeCell ref="L70:M70"/>
    <mergeCell ref="E76:G76"/>
    <mergeCell ref="H76:J76"/>
    <mergeCell ref="K76:M76"/>
    <mergeCell ref="N76:P76"/>
    <mergeCell ref="E78:G78"/>
    <mergeCell ref="H78:J78"/>
    <mergeCell ref="K78:M78"/>
    <mergeCell ref="N78:P78"/>
    <mergeCell ref="N81:P81"/>
    <mergeCell ref="N82:P82"/>
    <mergeCell ref="Q78:S78"/>
    <mergeCell ref="E79:G79"/>
    <mergeCell ref="H79:J79"/>
    <mergeCell ref="L71:M71"/>
    <mergeCell ref="E81:G81"/>
    <mergeCell ref="H42:J42"/>
    <mergeCell ref="B57:D57"/>
    <mergeCell ref="K65:M65"/>
    <mergeCell ref="N65:P65"/>
    <mergeCell ref="Q65:S65"/>
    <mergeCell ref="N58:P58"/>
    <mergeCell ref="Q58:S58"/>
    <mergeCell ref="Q51:S51"/>
    <mergeCell ref="E52:G52"/>
    <mergeCell ref="K52:M52"/>
    <mergeCell ref="N52:P52"/>
    <mergeCell ref="Q52:S52"/>
    <mergeCell ref="Q45:S45"/>
    <mergeCell ref="E46:G46"/>
    <mergeCell ref="K46:M46"/>
    <mergeCell ref="N46:P46"/>
    <mergeCell ref="Q46:S46"/>
    <mergeCell ref="E43:G43"/>
    <mergeCell ref="K43:M43"/>
    <mergeCell ref="N43:P43"/>
    <mergeCell ref="Q43:S43"/>
    <mergeCell ref="B51:D51"/>
    <mergeCell ref="B52:D52"/>
    <mergeCell ref="A37:A38"/>
    <mergeCell ref="A68:A69"/>
    <mergeCell ref="C68:D68"/>
    <mergeCell ref="I68:J68"/>
    <mergeCell ref="R68:S68"/>
    <mergeCell ref="C69:D69"/>
    <mergeCell ref="I69:J69"/>
    <mergeCell ref="R69:S69"/>
    <mergeCell ref="F68:G68"/>
    <mergeCell ref="F69:G69"/>
    <mergeCell ref="L68:M68"/>
    <mergeCell ref="L69:M69"/>
    <mergeCell ref="O68:P68"/>
    <mergeCell ref="O69:P69"/>
    <mergeCell ref="C67:D67"/>
    <mergeCell ref="F67:G67"/>
    <mergeCell ref="I67:J67"/>
    <mergeCell ref="L67:M67"/>
    <mergeCell ref="O67:P67"/>
    <mergeCell ref="R67:S67"/>
    <mergeCell ref="Q64:S64"/>
    <mergeCell ref="B65:D65"/>
    <mergeCell ref="E65:G65"/>
    <mergeCell ref="H65:J65"/>
    <mergeCell ref="A64:A66"/>
    <mergeCell ref="B64:D64"/>
    <mergeCell ref="E64:G64"/>
    <mergeCell ref="H64:J64"/>
    <mergeCell ref="K64:M64"/>
    <mergeCell ref="N64:P64"/>
    <mergeCell ref="Q61:S61"/>
    <mergeCell ref="B62:D62"/>
    <mergeCell ref="E62:G62"/>
    <mergeCell ref="H62:J62"/>
    <mergeCell ref="K62:M62"/>
    <mergeCell ref="N62:P62"/>
    <mergeCell ref="Q62:S62"/>
    <mergeCell ref="A61:A63"/>
    <mergeCell ref="B61:D61"/>
    <mergeCell ref="E61:G61"/>
    <mergeCell ref="H61:J61"/>
    <mergeCell ref="K61:M61"/>
    <mergeCell ref="N61:P61"/>
    <mergeCell ref="A57:A59"/>
    <mergeCell ref="E57:G57"/>
    <mergeCell ref="K57:M57"/>
    <mergeCell ref="N57:P57"/>
    <mergeCell ref="Q54:S54"/>
    <mergeCell ref="E55:G55"/>
    <mergeCell ref="K55:M55"/>
    <mergeCell ref="N55:P55"/>
    <mergeCell ref="Q55:S55"/>
    <mergeCell ref="A54:A56"/>
    <mergeCell ref="E54:G54"/>
    <mergeCell ref="K54:M54"/>
    <mergeCell ref="N54:P54"/>
    <mergeCell ref="H57:J57"/>
    <mergeCell ref="H58:J58"/>
    <mergeCell ref="H54:J54"/>
    <mergeCell ref="H55:J55"/>
    <mergeCell ref="B58:D58"/>
    <mergeCell ref="B54:D54"/>
    <mergeCell ref="B55:D55"/>
    <mergeCell ref="Q57:S57"/>
    <mergeCell ref="E58:G58"/>
    <mergeCell ref="K58:M58"/>
    <mergeCell ref="A51:A53"/>
    <mergeCell ref="E51:G51"/>
    <mergeCell ref="K51:M51"/>
    <mergeCell ref="N51:P51"/>
    <mergeCell ref="H51:J51"/>
    <mergeCell ref="H52:J52"/>
    <mergeCell ref="N49:P49"/>
    <mergeCell ref="Q49:S49"/>
    <mergeCell ref="A48:A50"/>
    <mergeCell ref="E48:G48"/>
    <mergeCell ref="K48:M48"/>
    <mergeCell ref="N48:P48"/>
    <mergeCell ref="E50:G50"/>
    <mergeCell ref="Q48:S48"/>
    <mergeCell ref="H48:J48"/>
    <mergeCell ref="H49:J49"/>
    <mergeCell ref="E49:G49"/>
    <mergeCell ref="K49:M49"/>
    <mergeCell ref="A42:A44"/>
    <mergeCell ref="E42:G42"/>
    <mergeCell ref="K42:M42"/>
    <mergeCell ref="N42:P42"/>
    <mergeCell ref="H43:J43"/>
    <mergeCell ref="A3:A5"/>
    <mergeCell ref="E1:M1"/>
    <mergeCell ref="B1:D1"/>
    <mergeCell ref="Q1:S1"/>
    <mergeCell ref="A6:A8"/>
    <mergeCell ref="A18:A20"/>
    <mergeCell ref="A12:A14"/>
    <mergeCell ref="A21:A23"/>
    <mergeCell ref="N1:P1"/>
    <mergeCell ref="B3:D3"/>
    <mergeCell ref="B9:D9"/>
    <mergeCell ref="B12:D12"/>
    <mergeCell ref="B18:D18"/>
    <mergeCell ref="E6:G6"/>
    <mergeCell ref="E15:G15"/>
    <mergeCell ref="H3:J3"/>
    <mergeCell ref="H12:J12"/>
    <mergeCell ref="K6:M6"/>
    <mergeCell ref="K15:M15"/>
    <mergeCell ref="A72:T72"/>
    <mergeCell ref="A9:A11"/>
    <mergeCell ref="A15:A17"/>
    <mergeCell ref="A25:A27"/>
    <mergeCell ref="A28:A30"/>
    <mergeCell ref="A35:A36"/>
    <mergeCell ref="A31:A33"/>
    <mergeCell ref="B40:D40"/>
    <mergeCell ref="Q40:S40"/>
    <mergeCell ref="N40:P40"/>
    <mergeCell ref="E40:L40"/>
    <mergeCell ref="A45:A47"/>
    <mergeCell ref="E45:G45"/>
    <mergeCell ref="K45:M45"/>
    <mergeCell ref="N45:P45"/>
    <mergeCell ref="H45:J45"/>
    <mergeCell ref="H46:J46"/>
    <mergeCell ref="Q42:S42"/>
    <mergeCell ref="H25:J25"/>
    <mergeCell ref="K25:M25"/>
    <mergeCell ref="N25:P25"/>
    <mergeCell ref="H9:J9"/>
    <mergeCell ref="K9:M9"/>
    <mergeCell ref="N12:P12"/>
    <mergeCell ref="Q85:S85"/>
    <mergeCell ref="E84:G84"/>
    <mergeCell ref="E93:G93"/>
    <mergeCell ref="B90:D90"/>
    <mergeCell ref="B91:D91"/>
    <mergeCell ref="B93:D93"/>
    <mergeCell ref="H93:J93"/>
    <mergeCell ref="K93:M93"/>
    <mergeCell ref="N93:P93"/>
    <mergeCell ref="Q93:S93"/>
    <mergeCell ref="E87:G87"/>
    <mergeCell ref="H87:J87"/>
    <mergeCell ref="K87:M87"/>
    <mergeCell ref="N87:P87"/>
    <mergeCell ref="Q87:S87"/>
    <mergeCell ref="E88:G88"/>
    <mergeCell ref="H88:J88"/>
    <mergeCell ref="K88:M88"/>
    <mergeCell ref="N88:P88"/>
    <mergeCell ref="Q88:S88"/>
    <mergeCell ref="Q90:S90"/>
    <mergeCell ref="E91:G91"/>
    <mergeCell ref="N91:P91"/>
    <mergeCell ref="E90:G90"/>
    <mergeCell ref="H90:J90"/>
    <mergeCell ref="K90:M90"/>
    <mergeCell ref="N90:P90"/>
    <mergeCell ref="Q91:S91"/>
    <mergeCell ref="A84:A86"/>
    <mergeCell ref="B97:D97"/>
    <mergeCell ref="B79:D79"/>
    <mergeCell ref="B81:D81"/>
    <mergeCell ref="B82:D82"/>
    <mergeCell ref="B84:D84"/>
    <mergeCell ref="B85:D85"/>
    <mergeCell ref="B87:D87"/>
    <mergeCell ref="B88:D88"/>
    <mergeCell ref="B94:D94"/>
    <mergeCell ref="B96:D96"/>
    <mergeCell ref="A87:A89"/>
    <mergeCell ref="A78:A80"/>
    <mergeCell ref="A93:A95"/>
    <mergeCell ref="A81:A83"/>
    <mergeCell ref="A96:A98"/>
    <mergeCell ref="A90:A92"/>
    <mergeCell ref="Q96:S96"/>
    <mergeCell ref="E97:G97"/>
    <mergeCell ref="H97:J97"/>
    <mergeCell ref="E96:G96"/>
    <mergeCell ref="H96:J96"/>
    <mergeCell ref="K96:M96"/>
    <mergeCell ref="N96:P96"/>
    <mergeCell ref="A100:A102"/>
    <mergeCell ref="B100:D100"/>
    <mergeCell ref="E100:G100"/>
    <mergeCell ref="H100:J100"/>
    <mergeCell ref="K100:M100"/>
    <mergeCell ref="N100:P100"/>
    <mergeCell ref="Q100:S100"/>
    <mergeCell ref="Q101:S101"/>
    <mergeCell ref="B103:D103"/>
    <mergeCell ref="E103:G103"/>
    <mergeCell ref="H103:J103"/>
    <mergeCell ref="K103:M103"/>
    <mergeCell ref="N103:P103"/>
    <mergeCell ref="Q103:S103"/>
    <mergeCell ref="B101:D101"/>
    <mergeCell ref="E101:G101"/>
    <mergeCell ref="H101:J101"/>
    <mergeCell ref="K101:M101"/>
    <mergeCell ref="N101:P101"/>
    <mergeCell ref="R110:S110"/>
    <mergeCell ref="F109:G109"/>
    <mergeCell ref="F110:G110"/>
    <mergeCell ref="A107:A108"/>
    <mergeCell ref="C107:D107"/>
    <mergeCell ref="A103:A105"/>
    <mergeCell ref="I107:J107"/>
    <mergeCell ref="R107:S107"/>
    <mergeCell ref="C108:D108"/>
    <mergeCell ref="I108:J108"/>
    <mergeCell ref="R108:S108"/>
    <mergeCell ref="F107:G107"/>
    <mergeCell ref="F108:G108"/>
    <mergeCell ref="L107:M107"/>
    <mergeCell ref="O106:P106"/>
    <mergeCell ref="R106:S106"/>
    <mergeCell ref="B104:D104"/>
    <mergeCell ref="E104:G104"/>
    <mergeCell ref="H104:J104"/>
    <mergeCell ref="K104:M104"/>
    <mergeCell ref="N104:P104"/>
    <mergeCell ref="Q104:S104"/>
    <mergeCell ref="B105:D105"/>
    <mergeCell ref="K125:M125"/>
    <mergeCell ref="N125:P125"/>
    <mergeCell ref="Q125:S125"/>
    <mergeCell ref="A128:A130"/>
    <mergeCell ref="B128:D128"/>
    <mergeCell ref="E128:G128"/>
    <mergeCell ref="H128:J128"/>
    <mergeCell ref="K128:M128"/>
    <mergeCell ref="N128:P128"/>
    <mergeCell ref="Q128:S128"/>
    <mergeCell ref="B129:D129"/>
    <mergeCell ref="E129:G129"/>
    <mergeCell ref="H129:J129"/>
    <mergeCell ref="K129:M129"/>
    <mergeCell ref="N129:P129"/>
    <mergeCell ref="Q129:S129"/>
    <mergeCell ref="A125:A127"/>
    <mergeCell ref="B125:D125"/>
    <mergeCell ref="E125:G125"/>
    <mergeCell ref="H125:J125"/>
    <mergeCell ref="B126:D126"/>
    <mergeCell ref="E126:G126"/>
    <mergeCell ref="H126:J126"/>
    <mergeCell ref="K126:M126"/>
    <mergeCell ref="A131:A133"/>
    <mergeCell ref="B131:D131"/>
    <mergeCell ref="E131:G131"/>
    <mergeCell ref="H131:J131"/>
    <mergeCell ref="K131:M131"/>
    <mergeCell ref="N131:P131"/>
    <mergeCell ref="Q131:S131"/>
    <mergeCell ref="B132:D132"/>
    <mergeCell ref="E132:G132"/>
    <mergeCell ref="H132:J132"/>
    <mergeCell ref="K132:M132"/>
    <mergeCell ref="N132:P132"/>
    <mergeCell ref="Q132:S132"/>
    <mergeCell ref="A135:A137"/>
    <mergeCell ref="B135:D135"/>
    <mergeCell ref="E135:G135"/>
    <mergeCell ref="H135:J135"/>
    <mergeCell ref="K135:M135"/>
    <mergeCell ref="N135:P135"/>
    <mergeCell ref="Q135:S135"/>
    <mergeCell ref="B136:D136"/>
    <mergeCell ref="E136:G136"/>
    <mergeCell ref="H136:J136"/>
    <mergeCell ref="K136:M136"/>
    <mergeCell ref="N136:P136"/>
    <mergeCell ref="Q136:S136"/>
    <mergeCell ref="A138:A140"/>
    <mergeCell ref="B138:D138"/>
    <mergeCell ref="E138:G138"/>
    <mergeCell ref="H138:J138"/>
    <mergeCell ref="K138:M138"/>
    <mergeCell ref="N138:P138"/>
    <mergeCell ref="Q138:S138"/>
    <mergeCell ref="B139:D139"/>
    <mergeCell ref="E139:G139"/>
    <mergeCell ref="H139:J139"/>
    <mergeCell ref="K139:M139"/>
    <mergeCell ref="N139:P139"/>
    <mergeCell ref="Q139:S139"/>
    <mergeCell ref="B140:D140"/>
    <mergeCell ref="R141:S141"/>
    <mergeCell ref="A142:A143"/>
    <mergeCell ref="C142:D142"/>
    <mergeCell ref="F142:G142"/>
    <mergeCell ref="I142:J142"/>
    <mergeCell ref="L142:M142"/>
    <mergeCell ref="O142:P142"/>
    <mergeCell ref="R142:S142"/>
    <mergeCell ref="C143:D143"/>
    <mergeCell ref="F143:G143"/>
    <mergeCell ref="I143:J143"/>
    <mergeCell ref="L143:M143"/>
    <mergeCell ref="O143:P143"/>
    <mergeCell ref="R143:S143"/>
    <mergeCell ref="N3:P3"/>
    <mergeCell ref="N9:P9"/>
    <mergeCell ref="N18:P18"/>
    <mergeCell ref="Q6:S6"/>
    <mergeCell ref="Q15:S15"/>
    <mergeCell ref="A116:A118"/>
    <mergeCell ref="A144:A145"/>
    <mergeCell ref="C144:D144"/>
    <mergeCell ref="F144:G144"/>
    <mergeCell ref="I144:J144"/>
    <mergeCell ref="L144:M144"/>
    <mergeCell ref="O144:P144"/>
    <mergeCell ref="R144:S144"/>
    <mergeCell ref="C145:D145"/>
    <mergeCell ref="F145:G145"/>
    <mergeCell ref="I145:J145"/>
    <mergeCell ref="L145:M145"/>
    <mergeCell ref="O145:P145"/>
    <mergeCell ref="R145:S145"/>
    <mergeCell ref="C141:D141"/>
    <mergeCell ref="F141:G141"/>
    <mergeCell ref="I141:J141"/>
    <mergeCell ref="L141:M141"/>
    <mergeCell ref="O141:P141"/>
  </mergeCells>
  <phoneticPr fontId="20" type="noConversion"/>
  <printOptions horizontalCentered="1" verticalCentered="1"/>
  <pageMargins left="0" right="0" top="0.31496062992125984" bottom="0" header="0.19685039370078741" footer="0.19685039370078741"/>
  <pageSetup paperSize="9" scale="36" fitToHeight="2" orientation="landscape" r:id="rId1"/>
  <headerFooter alignWithMargins="0">
    <oddFooter xml:space="preserve">&amp;Lerstellt/freigegeben: M. Mayrhofer&amp;CTourenplan vom :&amp;D&amp;RAusgabedatum: 27.06.06
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BB958-3926-4DC4-804A-D4D6D57BF94B}">
  <sheetPr codeName="Tabelle2">
    <pageSetUpPr fitToPage="1"/>
  </sheetPr>
  <dimension ref="A1:AF150"/>
  <sheetViews>
    <sheetView topLeftCell="B1" zoomScale="90" zoomScaleNormal="90" zoomScaleSheetLayoutView="70" workbookViewId="0">
      <pane xSplit="1" ySplit="2" topLeftCell="C3" activePane="bottomRight" state="frozen"/>
      <selection activeCell="J3" sqref="J3:L4"/>
      <selection pane="topRight" activeCell="J3" sqref="J3:L4"/>
      <selection pane="bottomLeft" activeCell="J3" sqref="J3:L4"/>
      <selection pane="bottomRight" activeCell="C3" sqref="C3:D4"/>
    </sheetView>
  </sheetViews>
  <sheetFormatPr baseColWidth="10" defaultColWidth="8.88671875" defaultRowHeight="12.75" x14ac:dyDescent="0.2"/>
  <cols>
    <col min="1" max="1" width="3.21875" style="27" hidden="1" customWidth="1"/>
    <col min="2" max="2" width="15.6640625" style="27" customWidth="1"/>
    <col min="3" max="3" width="6" style="27" customWidth="1"/>
    <col min="4" max="4" width="8.6640625" style="27" customWidth="1"/>
    <col min="5" max="5" width="5.21875" style="27" customWidth="1"/>
    <col min="6" max="7" width="4.6640625" style="27" customWidth="1"/>
    <col min="8" max="8" width="6.88671875" style="27" customWidth="1"/>
    <col min="9" max="9" width="8.109375" style="27" customWidth="1"/>
    <col min="10" max="10" width="5.21875" style="27" customWidth="1"/>
    <col min="11" max="12" width="4.6640625" style="27" customWidth="1"/>
    <col min="13" max="13" width="7.109375" style="27" customWidth="1"/>
    <col min="14" max="14" width="8.5546875" style="27" customWidth="1"/>
    <col min="15" max="15" width="5.21875" style="27" customWidth="1"/>
    <col min="16" max="17" width="4.6640625" style="27" customWidth="1"/>
    <col min="18" max="18" width="8.77734375" style="27" customWidth="1"/>
    <col min="19" max="19" width="8.6640625" style="27" customWidth="1"/>
    <col min="20" max="20" width="5.21875" style="27" customWidth="1"/>
    <col min="21" max="22" width="4.6640625" style="27" customWidth="1"/>
    <col min="23" max="23" width="5.77734375" style="27" customWidth="1"/>
    <col min="24" max="24" width="8.5546875" style="27" customWidth="1"/>
    <col min="25" max="25" width="5.21875" style="27" customWidth="1"/>
    <col min="26" max="26" width="4.5546875" style="27" customWidth="1"/>
    <col min="27" max="27" width="4.6640625" style="27" customWidth="1"/>
    <col min="28" max="28" width="6.88671875" style="27" customWidth="1"/>
    <col min="29" max="29" width="8.44140625" style="27" customWidth="1"/>
    <col min="30" max="30" width="5.21875" style="27" customWidth="1"/>
    <col min="31" max="32" width="4.6640625" style="27" customWidth="1"/>
    <col min="33" max="35" width="2.88671875" style="27" customWidth="1"/>
    <col min="36" max="16384" width="8.88671875" style="27"/>
  </cols>
  <sheetData>
    <row r="1" spans="2:32" ht="30" customHeight="1" thickBot="1" x14ac:dyDescent="0.4">
      <c r="B1" s="44"/>
      <c r="C1" s="530" t="s">
        <v>153</v>
      </c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2"/>
      <c r="AB1" s="45"/>
      <c r="AC1" s="45"/>
      <c r="AD1" s="45"/>
      <c r="AE1" s="45"/>
      <c r="AF1" s="46"/>
    </row>
    <row r="2" spans="2:32" ht="14.1" customHeight="1" thickBot="1" x14ac:dyDescent="0.25">
      <c r="B2" s="47"/>
      <c r="C2" s="28" t="s">
        <v>27</v>
      </c>
      <c r="D2" s="48">
        <v>45663</v>
      </c>
      <c r="E2" s="517" t="s">
        <v>28</v>
      </c>
      <c r="F2" s="517"/>
      <c r="G2" s="518"/>
      <c r="H2" s="28" t="s">
        <v>29</v>
      </c>
      <c r="I2" s="48">
        <f>D2+1</f>
        <v>45664</v>
      </c>
      <c r="J2" s="517" t="s">
        <v>28</v>
      </c>
      <c r="K2" s="517"/>
      <c r="L2" s="518"/>
      <c r="M2" s="28" t="s">
        <v>30</v>
      </c>
      <c r="N2" s="49">
        <f>D2+2</f>
        <v>45665</v>
      </c>
      <c r="O2" s="517" t="s">
        <v>28</v>
      </c>
      <c r="P2" s="517"/>
      <c r="Q2" s="518"/>
      <c r="R2" s="28" t="s">
        <v>31</v>
      </c>
      <c r="S2" s="49">
        <f>D2+3</f>
        <v>45666</v>
      </c>
      <c r="T2" s="517" t="s">
        <v>28</v>
      </c>
      <c r="U2" s="517"/>
      <c r="V2" s="518"/>
      <c r="W2" s="28" t="s">
        <v>32</v>
      </c>
      <c r="X2" s="49">
        <f>D2+4</f>
        <v>45667</v>
      </c>
      <c r="Y2" s="517" t="s">
        <v>28</v>
      </c>
      <c r="Z2" s="517"/>
      <c r="AA2" s="518"/>
      <c r="AB2" s="109" t="s">
        <v>33</v>
      </c>
      <c r="AC2" s="49">
        <f>D2+5</f>
        <v>45668</v>
      </c>
      <c r="AD2" s="517" t="s">
        <v>28</v>
      </c>
      <c r="AE2" s="517"/>
      <c r="AF2" s="518"/>
    </row>
    <row r="3" spans="2:32" ht="18" customHeight="1" x14ac:dyDescent="0.2">
      <c r="B3" s="519" t="s">
        <v>6</v>
      </c>
      <c r="C3" s="520" t="s">
        <v>154</v>
      </c>
      <c r="D3" s="521"/>
      <c r="E3" s="522" t="s">
        <v>155</v>
      </c>
      <c r="F3" s="522"/>
      <c r="G3" s="523"/>
      <c r="H3" s="524" t="s">
        <v>154</v>
      </c>
      <c r="I3" s="525"/>
      <c r="J3" s="522" t="s">
        <v>155</v>
      </c>
      <c r="K3" s="522"/>
      <c r="L3" s="523"/>
      <c r="M3" s="524" t="s">
        <v>154</v>
      </c>
      <c r="N3" s="525"/>
      <c r="O3" s="522" t="s">
        <v>155</v>
      </c>
      <c r="P3" s="526"/>
      <c r="Q3" s="527"/>
      <c r="R3" s="524" t="s">
        <v>154</v>
      </c>
      <c r="S3" s="525"/>
      <c r="T3" s="522" t="s">
        <v>155</v>
      </c>
      <c r="U3" s="522"/>
      <c r="V3" s="523"/>
      <c r="W3" s="524" t="s">
        <v>154</v>
      </c>
      <c r="X3" s="525"/>
      <c r="Y3" s="522" t="s">
        <v>155</v>
      </c>
      <c r="Z3" s="522"/>
      <c r="AA3" s="533"/>
      <c r="AB3" s="525" t="s">
        <v>154</v>
      </c>
      <c r="AC3" s="525"/>
      <c r="AD3" s="528" t="s">
        <v>155</v>
      </c>
      <c r="AE3" s="528"/>
      <c r="AF3" s="529"/>
    </row>
    <row r="4" spans="2:32" ht="18" customHeight="1" x14ac:dyDescent="0.2">
      <c r="B4" s="507"/>
      <c r="C4" s="473"/>
      <c r="D4" s="474"/>
      <c r="E4" s="509"/>
      <c r="F4" s="509"/>
      <c r="G4" s="510"/>
      <c r="H4" s="494"/>
      <c r="I4" s="495"/>
      <c r="J4" s="509"/>
      <c r="K4" s="509"/>
      <c r="L4" s="510"/>
      <c r="M4" s="481"/>
      <c r="N4" s="482"/>
      <c r="O4" s="511"/>
      <c r="P4" s="511"/>
      <c r="Q4" s="512"/>
      <c r="R4" s="481"/>
      <c r="S4" s="482"/>
      <c r="T4" s="509"/>
      <c r="U4" s="509"/>
      <c r="V4" s="510"/>
      <c r="W4" s="481"/>
      <c r="X4" s="482"/>
      <c r="Y4" s="509"/>
      <c r="Z4" s="509"/>
      <c r="AA4" s="513"/>
      <c r="AB4" s="482"/>
      <c r="AC4" s="482"/>
      <c r="AD4" s="483"/>
      <c r="AE4" s="483"/>
      <c r="AF4" s="499"/>
    </row>
    <row r="5" spans="2:32" ht="12.75" customHeight="1" x14ac:dyDescent="0.2">
      <c r="B5" s="507"/>
      <c r="C5" s="516"/>
      <c r="D5" s="516"/>
      <c r="E5" s="491" t="s">
        <v>155</v>
      </c>
      <c r="F5" s="491"/>
      <c r="G5" s="492"/>
      <c r="H5" s="485"/>
      <c r="I5" s="485"/>
      <c r="J5" s="491" t="s">
        <v>155</v>
      </c>
      <c r="K5" s="491"/>
      <c r="L5" s="492"/>
      <c r="M5" s="485"/>
      <c r="N5" s="485"/>
      <c r="O5" s="491" t="s">
        <v>155</v>
      </c>
      <c r="P5" s="491"/>
      <c r="Q5" s="492"/>
      <c r="R5" s="485"/>
      <c r="S5" s="485"/>
      <c r="T5" s="491" t="s">
        <v>155</v>
      </c>
      <c r="U5" s="491"/>
      <c r="V5" s="492"/>
      <c r="W5" s="485"/>
      <c r="X5" s="485"/>
      <c r="Y5" s="491" t="s">
        <v>155</v>
      </c>
      <c r="Z5" s="491"/>
      <c r="AA5" s="497"/>
      <c r="AB5" s="485"/>
      <c r="AC5" s="485"/>
      <c r="AD5" s="491" t="s">
        <v>155</v>
      </c>
      <c r="AE5" s="491"/>
      <c r="AF5" s="497"/>
    </row>
    <row r="6" spans="2:32" ht="12.75" customHeight="1" x14ac:dyDescent="0.2">
      <c r="B6" s="507"/>
      <c r="C6" s="516"/>
      <c r="D6" s="516"/>
      <c r="E6" s="50" t="s">
        <v>34</v>
      </c>
      <c r="F6" s="486" t="s">
        <v>155</v>
      </c>
      <c r="G6" s="496"/>
      <c r="H6" s="485"/>
      <c r="I6" s="485"/>
      <c r="J6" s="50" t="s">
        <v>34</v>
      </c>
      <c r="K6" s="486" t="s">
        <v>155</v>
      </c>
      <c r="L6" s="496"/>
      <c r="M6" s="485"/>
      <c r="N6" s="485"/>
      <c r="O6" s="50" t="s">
        <v>34</v>
      </c>
      <c r="P6" s="486" t="s">
        <v>155</v>
      </c>
      <c r="Q6" s="496"/>
      <c r="R6" s="485"/>
      <c r="S6" s="485"/>
      <c r="T6" s="50" t="s">
        <v>34</v>
      </c>
      <c r="U6" s="486" t="s">
        <v>155</v>
      </c>
      <c r="V6" s="496"/>
      <c r="W6" s="485"/>
      <c r="X6" s="485"/>
      <c r="Y6" s="50" t="s">
        <v>34</v>
      </c>
      <c r="Z6" s="486" t="s">
        <v>155</v>
      </c>
      <c r="AA6" s="487"/>
      <c r="AB6" s="485"/>
      <c r="AC6" s="485"/>
      <c r="AD6" s="50" t="s">
        <v>34</v>
      </c>
      <c r="AE6" s="486" t="s">
        <v>155</v>
      </c>
      <c r="AF6" s="487"/>
    </row>
    <row r="7" spans="2:32" ht="12.75" customHeight="1" x14ac:dyDescent="0.2">
      <c r="B7" s="508"/>
      <c r="C7" s="516"/>
      <c r="D7" s="516"/>
      <c r="E7" s="51" t="s">
        <v>35</v>
      </c>
      <c r="F7" s="461" t="s">
        <v>155</v>
      </c>
      <c r="G7" s="462"/>
      <c r="H7" s="485"/>
      <c r="I7" s="485"/>
      <c r="J7" s="51" t="s">
        <v>35</v>
      </c>
      <c r="K7" s="461" t="s">
        <v>155</v>
      </c>
      <c r="L7" s="462"/>
      <c r="M7" s="485"/>
      <c r="N7" s="485"/>
      <c r="O7" s="51" t="s">
        <v>35</v>
      </c>
      <c r="P7" s="461" t="s">
        <v>155</v>
      </c>
      <c r="Q7" s="462"/>
      <c r="R7" s="485"/>
      <c r="S7" s="485"/>
      <c r="T7" s="51" t="s">
        <v>35</v>
      </c>
      <c r="U7" s="461" t="s">
        <v>155</v>
      </c>
      <c r="V7" s="462"/>
      <c r="W7" s="485"/>
      <c r="X7" s="485"/>
      <c r="Y7" s="51" t="s">
        <v>35</v>
      </c>
      <c r="Z7" s="461" t="s">
        <v>155</v>
      </c>
      <c r="AA7" s="465"/>
      <c r="AB7" s="485"/>
      <c r="AC7" s="485"/>
      <c r="AD7" s="51" t="s">
        <v>35</v>
      </c>
      <c r="AE7" s="461" t="s">
        <v>155</v>
      </c>
      <c r="AF7" s="465"/>
    </row>
    <row r="8" spans="2:32" ht="18" customHeight="1" x14ac:dyDescent="0.2">
      <c r="B8" s="505" t="s">
        <v>7</v>
      </c>
      <c r="C8" s="471" t="s">
        <v>154</v>
      </c>
      <c r="D8" s="472"/>
      <c r="E8" s="509" t="s">
        <v>155</v>
      </c>
      <c r="F8" s="509"/>
      <c r="G8" s="510"/>
      <c r="H8" s="493" t="s">
        <v>154</v>
      </c>
      <c r="I8" s="480"/>
      <c r="J8" s="475" t="s">
        <v>155</v>
      </c>
      <c r="K8" s="475"/>
      <c r="L8" s="476"/>
      <c r="M8" s="493" t="s">
        <v>154</v>
      </c>
      <c r="N8" s="480"/>
      <c r="O8" s="475" t="s">
        <v>155</v>
      </c>
      <c r="P8" s="475"/>
      <c r="Q8" s="476"/>
      <c r="R8" s="493" t="s">
        <v>154</v>
      </c>
      <c r="S8" s="480"/>
      <c r="T8" s="475" t="s">
        <v>155</v>
      </c>
      <c r="U8" s="475"/>
      <c r="V8" s="476"/>
      <c r="W8" s="493" t="s">
        <v>154</v>
      </c>
      <c r="X8" s="480"/>
      <c r="Y8" s="475" t="s">
        <v>155</v>
      </c>
      <c r="Z8" s="475"/>
      <c r="AA8" s="498"/>
      <c r="AB8" s="480" t="s">
        <v>154</v>
      </c>
      <c r="AC8" s="480"/>
      <c r="AD8" s="475" t="s">
        <v>155</v>
      </c>
      <c r="AE8" s="475"/>
      <c r="AF8" s="498"/>
    </row>
    <row r="9" spans="2:32" ht="18" customHeight="1" x14ac:dyDescent="0.2">
      <c r="B9" s="507"/>
      <c r="C9" s="473"/>
      <c r="D9" s="474"/>
      <c r="E9" s="509"/>
      <c r="F9" s="509"/>
      <c r="G9" s="510"/>
      <c r="H9" s="494"/>
      <c r="I9" s="495"/>
      <c r="J9" s="483"/>
      <c r="K9" s="483"/>
      <c r="L9" s="484"/>
      <c r="M9" s="481"/>
      <c r="N9" s="482"/>
      <c r="O9" s="483"/>
      <c r="P9" s="483"/>
      <c r="Q9" s="484"/>
      <c r="R9" s="494"/>
      <c r="S9" s="495"/>
      <c r="T9" s="483"/>
      <c r="U9" s="483"/>
      <c r="V9" s="484"/>
      <c r="W9" s="494"/>
      <c r="X9" s="495"/>
      <c r="Y9" s="483"/>
      <c r="Z9" s="483"/>
      <c r="AA9" s="499"/>
      <c r="AB9" s="495"/>
      <c r="AC9" s="495"/>
      <c r="AD9" s="483"/>
      <c r="AE9" s="483"/>
      <c r="AF9" s="499"/>
    </row>
    <row r="10" spans="2:32" ht="12.75" customHeight="1" x14ac:dyDescent="0.2">
      <c r="B10" s="507"/>
      <c r="C10" s="516"/>
      <c r="D10" s="516"/>
      <c r="E10" s="491" t="s">
        <v>155</v>
      </c>
      <c r="F10" s="491"/>
      <c r="G10" s="492"/>
      <c r="H10" s="485"/>
      <c r="I10" s="485"/>
      <c r="J10" s="491" t="s">
        <v>155</v>
      </c>
      <c r="K10" s="491"/>
      <c r="L10" s="492"/>
      <c r="M10" s="485"/>
      <c r="N10" s="485"/>
      <c r="O10" s="491" t="s">
        <v>155</v>
      </c>
      <c r="P10" s="491"/>
      <c r="Q10" s="492"/>
      <c r="R10" s="485"/>
      <c r="S10" s="485"/>
      <c r="T10" s="491" t="s">
        <v>155</v>
      </c>
      <c r="U10" s="491"/>
      <c r="V10" s="492"/>
      <c r="W10" s="485"/>
      <c r="X10" s="485"/>
      <c r="Y10" s="491" t="s">
        <v>155</v>
      </c>
      <c r="Z10" s="491"/>
      <c r="AA10" s="497"/>
      <c r="AB10" s="485"/>
      <c r="AC10" s="485"/>
      <c r="AD10" s="491" t="s">
        <v>155</v>
      </c>
      <c r="AE10" s="491"/>
      <c r="AF10" s="497"/>
    </row>
    <row r="11" spans="2:32" ht="12.75" customHeight="1" x14ac:dyDescent="0.2">
      <c r="B11" s="507"/>
      <c r="C11" s="516"/>
      <c r="D11" s="516"/>
      <c r="E11" s="50" t="s">
        <v>34</v>
      </c>
      <c r="F11" s="486" t="s">
        <v>155</v>
      </c>
      <c r="G11" s="496"/>
      <c r="H11" s="485"/>
      <c r="I11" s="485"/>
      <c r="J11" s="50" t="s">
        <v>34</v>
      </c>
      <c r="K11" s="486" t="s">
        <v>155</v>
      </c>
      <c r="L11" s="496"/>
      <c r="M11" s="485"/>
      <c r="N11" s="485"/>
      <c r="O11" s="50" t="s">
        <v>34</v>
      </c>
      <c r="P11" s="486" t="s">
        <v>155</v>
      </c>
      <c r="Q11" s="496"/>
      <c r="R11" s="485"/>
      <c r="S11" s="485"/>
      <c r="T11" s="50" t="s">
        <v>34</v>
      </c>
      <c r="U11" s="486" t="s">
        <v>155</v>
      </c>
      <c r="V11" s="496"/>
      <c r="W11" s="485"/>
      <c r="X11" s="485"/>
      <c r="Y11" s="50" t="s">
        <v>34</v>
      </c>
      <c r="Z11" s="486" t="s">
        <v>155</v>
      </c>
      <c r="AA11" s="487"/>
      <c r="AB11" s="485"/>
      <c r="AC11" s="485"/>
      <c r="AD11" s="50" t="s">
        <v>34</v>
      </c>
      <c r="AE11" s="486" t="s">
        <v>155</v>
      </c>
      <c r="AF11" s="487"/>
    </row>
    <row r="12" spans="2:32" ht="12.75" customHeight="1" x14ac:dyDescent="0.2">
      <c r="B12" s="508"/>
      <c r="C12" s="516"/>
      <c r="D12" s="516"/>
      <c r="E12" s="51" t="s">
        <v>35</v>
      </c>
      <c r="F12" s="461" t="s">
        <v>155</v>
      </c>
      <c r="G12" s="462"/>
      <c r="H12" s="485"/>
      <c r="I12" s="485"/>
      <c r="J12" s="51" t="s">
        <v>35</v>
      </c>
      <c r="K12" s="461" t="s">
        <v>155</v>
      </c>
      <c r="L12" s="462"/>
      <c r="M12" s="485"/>
      <c r="N12" s="485"/>
      <c r="O12" s="51" t="s">
        <v>35</v>
      </c>
      <c r="P12" s="461" t="s">
        <v>155</v>
      </c>
      <c r="Q12" s="462"/>
      <c r="R12" s="485"/>
      <c r="S12" s="485"/>
      <c r="T12" s="51" t="s">
        <v>35</v>
      </c>
      <c r="U12" s="461" t="s">
        <v>155</v>
      </c>
      <c r="V12" s="462"/>
      <c r="W12" s="485"/>
      <c r="X12" s="485"/>
      <c r="Y12" s="51" t="s">
        <v>35</v>
      </c>
      <c r="Z12" s="461" t="s">
        <v>155</v>
      </c>
      <c r="AA12" s="465"/>
      <c r="AB12" s="485"/>
      <c r="AC12" s="485"/>
      <c r="AD12" s="51" t="s">
        <v>35</v>
      </c>
      <c r="AE12" s="461" t="s">
        <v>155</v>
      </c>
      <c r="AF12" s="465"/>
    </row>
    <row r="13" spans="2:32" ht="18" customHeight="1" x14ac:dyDescent="0.2">
      <c r="B13" s="505" t="s">
        <v>8</v>
      </c>
      <c r="C13" s="471" t="s">
        <v>154</v>
      </c>
      <c r="D13" s="472"/>
      <c r="E13" s="475" t="s">
        <v>155</v>
      </c>
      <c r="F13" s="475"/>
      <c r="G13" s="476"/>
      <c r="H13" s="479" t="s">
        <v>154</v>
      </c>
      <c r="I13" s="480"/>
      <c r="J13" s="475" t="s">
        <v>155</v>
      </c>
      <c r="K13" s="475"/>
      <c r="L13" s="476"/>
      <c r="M13" s="493" t="s">
        <v>154</v>
      </c>
      <c r="N13" s="480"/>
      <c r="O13" s="475" t="s">
        <v>155</v>
      </c>
      <c r="P13" s="475"/>
      <c r="Q13" s="476"/>
      <c r="R13" s="493" t="s">
        <v>154</v>
      </c>
      <c r="S13" s="480"/>
      <c r="T13" s="475" t="s">
        <v>155</v>
      </c>
      <c r="U13" s="475"/>
      <c r="V13" s="476"/>
      <c r="W13" s="493" t="s">
        <v>154</v>
      </c>
      <c r="X13" s="480"/>
      <c r="Y13" s="475" t="s">
        <v>155</v>
      </c>
      <c r="Z13" s="475"/>
      <c r="AA13" s="498"/>
      <c r="AB13" s="480" t="s">
        <v>154</v>
      </c>
      <c r="AC13" s="480"/>
      <c r="AD13" s="475" t="s">
        <v>155</v>
      </c>
      <c r="AE13" s="475"/>
      <c r="AF13" s="498"/>
    </row>
    <row r="14" spans="2:32" ht="18" customHeight="1" x14ac:dyDescent="0.2">
      <c r="B14" s="507"/>
      <c r="C14" s="473"/>
      <c r="D14" s="474"/>
      <c r="E14" s="483"/>
      <c r="F14" s="483"/>
      <c r="G14" s="484"/>
      <c r="H14" s="481"/>
      <c r="I14" s="482"/>
      <c r="J14" s="483"/>
      <c r="K14" s="483"/>
      <c r="L14" s="484"/>
      <c r="M14" s="481"/>
      <c r="N14" s="482"/>
      <c r="O14" s="483"/>
      <c r="P14" s="483"/>
      <c r="Q14" s="484"/>
      <c r="R14" s="481"/>
      <c r="S14" s="482"/>
      <c r="T14" s="483"/>
      <c r="U14" s="483"/>
      <c r="V14" s="484"/>
      <c r="W14" s="481"/>
      <c r="X14" s="482"/>
      <c r="Y14" s="483"/>
      <c r="Z14" s="483"/>
      <c r="AA14" s="499"/>
      <c r="AB14" s="482"/>
      <c r="AC14" s="482"/>
      <c r="AD14" s="483"/>
      <c r="AE14" s="483"/>
      <c r="AF14" s="499"/>
    </row>
    <row r="15" spans="2:32" ht="12.75" customHeight="1" x14ac:dyDescent="0.2">
      <c r="B15" s="507"/>
      <c r="C15" s="515"/>
      <c r="D15" s="515"/>
      <c r="E15" s="491" t="s">
        <v>155</v>
      </c>
      <c r="F15" s="491"/>
      <c r="G15" s="492"/>
      <c r="H15" s="485"/>
      <c r="I15" s="485"/>
      <c r="J15" s="491" t="s">
        <v>155</v>
      </c>
      <c r="K15" s="491"/>
      <c r="L15" s="492"/>
      <c r="M15" s="485"/>
      <c r="N15" s="485"/>
      <c r="O15" s="491" t="s">
        <v>155</v>
      </c>
      <c r="P15" s="491"/>
      <c r="Q15" s="492"/>
      <c r="R15" s="485"/>
      <c r="S15" s="485"/>
      <c r="T15" s="491" t="s">
        <v>155</v>
      </c>
      <c r="U15" s="491"/>
      <c r="V15" s="492"/>
      <c r="W15" s="485"/>
      <c r="X15" s="485"/>
      <c r="Y15" s="491" t="s">
        <v>155</v>
      </c>
      <c r="Z15" s="491"/>
      <c r="AA15" s="497"/>
      <c r="AB15" s="485"/>
      <c r="AC15" s="485"/>
      <c r="AD15" s="491" t="s">
        <v>155</v>
      </c>
      <c r="AE15" s="491"/>
      <c r="AF15" s="497"/>
    </row>
    <row r="16" spans="2:32" ht="12.75" customHeight="1" x14ac:dyDescent="0.2">
      <c r="B16" s="507"/>
      <c r="C16" s="515"/>
      <c r="D16" s="515"/>
      <c r="E16" s="50" t="s">
        <v>34</v>
      </c>
      <c r="F16" s="486" t="s">
        <v>155</v>
      </c>
      <c r="G16" s="496"/>
      <c r="H16" s="485"/>
      <c r="I16" s="485"/>
      <c r="J16" s="50" t="s">
        <v>34</v>
      </c>
      <c r="K16" s="486" t="s">
        <v>155</v>
      </c>
      <c r="L16" s="496"/>
      <c r="M16" s="485"/>
      <c r="N16" s="485"/>
      <c r="O16" s="50" t="s">
        <v>34</v>
      </c>
      <c r="P16" s="486" t="s">
        <v>155</v>
      </c>
      <c r="Q16" s="496"/>
      <c r="R16" s="485"/>
      <c r="S16" s="485"/>
      <c r="T16" s="50" t="s">
        <v>34</v>
      </c>
      <c r="U16" s="486" t="s">
        <v>155</v>
      </c>
      <c r="V16" s="496"/>
      <c r="W16" s="485"/>
      <c r="X16" s="485"/>
      <c r="Y16" s="50" t="s">
        <v>34</v>
      </c>
      <c r="Z16" s="486" t="s">
        <v>155</v>
      </c>
      <c r="AA16" s="487"/>
      <c r="AB16" s="485"/>
      <c r="AC16" s="485"/>
      <c r="AD16" s="50" t="s">
        <v>34</v>
      </c>
      <c r="AE16" s="486" t="s">
        <v>155</v>
      </c>
      <c r="AF16" s="487"/>
    </row>
    <row r="17" spans="2:32" ht="12.75" customHeight="1" x14ac:dyDescent="0.2">
      <c r="B17" s="508"/>
      <c r="C17" s="485"/>
      <c r="D17" s="485"/>
      <c r="E17" s="51" t="s">
        <v>35</v>
      </c>
      <c r="F17" s="461" t="s">
        <v>155</v>
      </c>
      <c r="G17" s="462"/>
      <c r="H17" s="485"/>
      <c r="I17" s="485"/>
      <c r="J17" s="51" t="s">
        <v>35</v>
      </c>
      <c r="K17" s="461" t="s">
        <v>155</v>
      </c>
      <c r="L17" s="462"/>
      <c r="M17" s="485"/>
      <c r="N17" s="485"/>
      <c r="O17" s="51" t="s">
        <v>35</v>
      </c>
      <c r="P17" s="461" t="s">
        <v>155</v>
      </c>
      <c r="Q17" s="462"/>
      <c r="R17" s="485"/>
      <c r="S17" s="485"/>
      <c r="T17" s="51" t="s">
        <v>35</v>
      </c>
      <c r="U17" s="461" t="s">
        <v>155</v>
      </c>
      <c r="V17" s="462"/>
      <c r="W17" s="485"/>
      <c r="X17" s="485"/>
      <c r="Y17" s="51" t="s">
        <v>35</v>
      </c>
      <c r="Z17" s="461" t="s">
        <v>155</v>
      </c>
      <c r="AA17" s="465"/>
      <c r="AB17" s="485"/>
      <c r="AC17" s="485"/>
      <c r="AD17" s="51" t="s">
        <v>35</v>
      </c>
      <c r="AE17" s="461" t="s">
        <v>155</v>
      </c>
      <c r="AF17" s="465"/>
    </row>
    <row r="18" spans="2:32" ht="18" customHeight="1" x14ac:dyDescent="0.2">
      <c r="B18" s="505" t="s">
        <v>9</v>
      </c>
      <c r="C18" s="471" t="s">
        <v>154</v>
      </c>
      <c r="D18" s="472"/>
      <c r="E18" s="475" t="s">
        <v>155</v>
      </c>
      <c r="F18" s="475"/>
      <c r="G18" s="476"/>
      <c r="H18" s="479" t="s">
        <v>154</v>
      </c>
      <c r="I18" s="480"/>
      <c r="J18" s="475" t="s">
        <v>155</v>
      </c>
      <c r="K18" s="475"/>
      <c r="L18" s="476"/>
      <c r="M18" s="493" t="s">
        <v>154</v>
      </c>
      <c r="N18" s="480"/>
      <c r="O18" s="475" t="s">
        <v>155</v>
      </c>
      <c r="P18" s="475"/>
      <c r="Q18" s="476"/>
      <c r="R18" s="493" t="s">
        <v>154</v>
      </c>
      <c r="S18" s="480"/>
      <c r="T18" s="475" t="s">
        <v>155</v>
      </c>
      <c r="U18" s="475"/>
      <c r="V18" s="476"/>
      <c r="W18" s="493" t="s">
        <v>154</v>
      </c>
      <c r="X18" s="480"/>
      <c r="Y18" s="475" t="s">
        <v>155</v>
      </c>
      <c r="Z18" s="475"/>
      <c r="AA18" s="498"/>
      <c r="AB18" s="480" t="s">
        <v>154</v>
      </c>
      <c r="AC18" s="480"/>
      <c r="AD18" s="475" t="s">
        <v>155</v>
      </c>
      <c r="AE18" s="475"/>
      <c r="AF18" s="498"/>
    </row>
    <row r="19" spans="2:32" ht="18" customHeight="1" x14ac:dyDescent="0.2">
      <c r="B19" s="507"/>
      <c r="C19" s="473"/>
      <c r="D19" s="474"/>
      <c r="E19" s="477"/>
      <c r="F19" s="477"/>
      <c r="G19" s="478"/>
      <c r="H19" s="481"/>
      <c r="I19" s="482"/>
      <c r="J19" s="483"/>
      <c r="K19" s="483"/>
      <c r="L19" s="484"/>
      <c r="M19" s="481"/>
      <c r="N19" s="482"/>
      <c r="O19" s="483"/>
      <c r="P19" s="483"/>
      <c r="Q19" s="484"/>
      <c r="R19" s="494"/>
      <c r="S19" s="495"/>
      <c r="T19" s="483"/>
      <c r="U19" s="483"/>
      <c r="V19" s="484"/>
      <c r="W19" s="481"/>
      <c r="X19" s="482"/>
      <c r="Y19" s="483"/>
      <c r="Z19" s="483"/>
      <c r="AA19" s="499"/>
      <c r="AB19" s="482"/>
      <c r="AC19" s="482"/>
      <c r="AD19" s="477"/>
      <c r="AE19" s="477"/>
      <c r="AF19" s="500"/>
    </row>
    <row r="20" spans="2:32" ht="12.75" customHeight="1" x14ac:dyDescent="0.2">
      <c r="B20" s="507"/>
      <c r="C20" s="514"/>
      <c r="D20" s="514"/>
      <c r="E20" s="491" t="s">
        <v>155</v>
      </c>
      <c r="F20" s="491"/>
      <c r="G20" s="492"/>
      <c r="H20" s="485"/>
      <c r="I20" s="485"/>
      <c r="J20" s="491" t="s">
        <v>155</v>
      </c>
      <c r="K20" s="491"/>
      <c r="L20" s="492"/>
      <c r="M20" s="485"/>
      <c r="N20" s="485"/>
      <c r="O20" s="491" t="s">
        <v>155</v>
      </c>
      <c r="P20" s="491"/>
      <c r="Q20" s="492"/>
      <c r="R20" s="485"/>
      <c r="S20" s="485"/>
      <c r="T20" s="491" t="s">
        <v>155</v>
      </c>
      <c r="U20" s="491"/>
      <c r="V20" s="492"/>
      <c r="W20" s="485"/>
      <c r="X20" s="485"/>
      <c r="Y20" s="491" t="s">
        <v>155</v>
      </c>
      <c r="Z20" s="491"/>
      <c r="AA20" s="497"/>
      <c r="AB20" s="485"/>
      <c r="AC20" s="485"/>
      <c r="AD20" s="491" t="s">
        <v>155</v>
      </c>
      <c r="AE20" s="491"/>
      <c r="AF20" s="497"/>
    </row>
    <row r="21" spans="2:32" ht="12.75" customHeight="1" x14ac:dyDescent="0.2">
      <c r="B21" s="507"/>
      <c r="C21" s="485"/>
      <c r="D21" s="485"/>
      <c r="E21" s="50" t="s">
        <v>34</v>
      </c>
      <c r="F21" s="486" t="s">
        <v>155</v>
      </c>
      <c r="G21" s="496"/>
      <c r="H21" s="485"/>
      <c r="I21" s="485"/>
      <c r="J21" s="50" t="s">
        <v>34</v>
      </c>
      <c r="K21" s="486" t="s">
        <v>155</v>
      </c>
      <c r="L21" s="496"/>
      <c r="M21" s="485"/>
      <c r="N21" s="485"/>
      <c r="O21" s="50" t="s">
        <v>34</v>
      </c>
      <c r="P21" s="486" t="s">
        <v>155</v>
      </c>
      <c r="Q21" s="496"/>
      <c r="R21" s="485"/>
      <c r="S21" s="485"/>
      <c r="T21" s="50" t="s">
        <v>34</v>
      </c>
      <c r="U21" s="486" t="s">
        <v>155</v>
      </c>
      <c r="V21" s="496"/>
      <c r="W21" s="485"/>
      <c r="X21" s="485"/>
      <c r="Y21" s="50" t="s">
        <v>34</v>
      </c>
      <c r="Z21" s="486" t="s">
        <v>155</v>
      </c>
      <c r="AA21" s="487"/>
      <c r="AB21" s="485"/>
      <c r="AC21" s="485"/>
      <c r="AD21" s="50" t="s">
        <v>34</v>
      </c>
      <c r="AE21" s="486" t="s">
        <v>155</v>
      </c>
      <c r="AF21" s="487"/>
    </row>
    <row r="22" spans="2:32" ht="12.75" customHeight="1" x14ac:dyDescent="0.2">
      <c r="B22" s="508"/>
      <c r="C22" s="466"/>
      <c r="D22" s="460"/>
      <c r="E22" s="51" t="s">
        <v>35</v>
      </c>
      <c r="F22" s="461" t="s">
        <v>155</v>
      </c>
      <c r="G22" s="462"/>
      <c r="H22" s="460"/>
      <c r="I22" s="460"/>
      <c r="J22" s="51" t="s">
        <v>35</v>
      </c>
      <c r="K22" s="461" t="s">
        <v>155</v>
      </c>
      <c r="L22" s="462"/>
      <c r="M22" s="460"/>
      <c r="N22" s="460"/>
      <c r="O22" s="51" t="s">
        <v>35</v>
      </c>
      <c r="P22" s="461" t="s">
        <v>155</v>
      </c>
      <c r="Q22" s="462"/>
      <c r="R22" s="460"/>
      <c r="S22" s="460"/>
      <c r="T22" s="51" t="s">
        <v>35</v>
      </c>
      <c r="U22" s="461" t="s">
        <v>155</v>
      </c>
      <c r="V22" s="462"/>
      <c r="W22" s="460"/>
      <c r="X22" s="460"/>
      <c r="Y22" s="51" t="s">
        <v>35</v>
      </c>
      <c r="Z22" s="461" t="s">
        <v>155</v>
      </c>
      <c r="AA22" s="465"/>
      <c r="AB22" s="460"/>
      <c r="AC22" s="460"/>
      <c r="AD22" s="51" t="s">
        <v>35</v>
      </c>
      <c r="AE22" s="461" t="s">
        <v>155</v>
      </c>
      <c r="AF22" s="465"/>
    </row>
    <row r="23" spans="2:32" ht="18" customHeight="1" x14ac:dyDescent="0.2">
      <c r="B23" s="505" t="s">
        <v>10</v>
      </c>
      <c r="C23" s="473" t="s">
        <v>154</v>
      </c>
      <c r="D23" s="474"/>
      <c r="E23" s="509" t="s">
        <v>155</v>
      </c>
      <c r="F23" s="509"/>
      <c r="G23" s="510"/>
      <c r="H23" s="494" t="s">
        <v>154</v>
      </c>
      <c r="I23" s="495"/>
      <c r="J23" s="509" t="s">
        <v>155</v>
      </c>
      <c r="K23" s="509"/>
      <c r="L23" s="510"/>
      <c r="M23" s="494" t="s">
        <v>154</v>
      </c>
      <c r="N23" s="495"/>
      <c r="O23" s="509" t="s">
        <v>155</v>
      </c>
      <c r="P23" s="511"/>
      <c r="Q23" s="512"/>
      <c r="R23" s="494" t="s">
        <v>154</v>
      </c>
      <c r="S23" s="495"/>
      <c r="T23" s="509" t="s">
        <v>155</v>
      </c>
      <c r="U23" s="509"/>
      <c r="V23" s="510"/>
      <c r="W23" s="494" t="s">
        <v>154</v>
      </c>
      <c r="X23" s="495"/>
      <c r="Y23" s="509" t="s">
        <v>155</v>
      </c>
      <c r="Z23" s="509"/>
      <c r="AA23" s="513"/>
      <c r="AB23" s="495" t="s">
        <v>154</v>
      </c>
      <c r="AC23" s="495"/>
      <c r="AD23" s="483" t="s">
        <v>155</v>
      </c>
      <c r="AE23" s="483"/>
      <c r="AF23" s="499"/>
    </row>
    <row r="24" spans="2:32" ht="18" customHeight="1" x14ac:dyDescent="0.2">
      <c r="B24" s="506"/>
      <c r="C24" s="473"/>
      <c r="D24" s="474"/>
      <c r="E24" s="509"/>
      <c r="F24" s="509"/>
      <c r="G24" s="510"/>
      <c r="H24" s="494"/>
      <c r="I24" s="495"/>
      <c r="J24" s="509"/>
      <c r="K24" s="509"/>
      <c r="L24" s="510"/>
      <c r="M24" s="481"/>
      <c r="N24" s="482"/>
      <c r="O24" s="511"/>
      <c r="P24" s="511"/>
      <c r="Q24" s="512"/>
      <c r="R24" s="481"/>
      <c r="S24" s="482"/>
      <c r="T24" s="509"/>
      <c r="U24" s="509"/>
      <c r="V24" s="510"/>
      <c r="W24" s="481"/>
      <c r="X24" s="482"/>
      <c r="Y24" s="509"/>
      <c r="Z24" s="509"/>
      <c r="AA24" s="513"/>
      <c r="AB24" s="482"/>
      <c r="AC24" s="482"/>
      <c r="AD24" s="483"/>
      <c r="AE24" s="483"/>
      <c r="AF24" s="499"/>
    </row>
    <row r="25" spans="2:32" ht="12.75" customHeight="1" x14ac:dyDescent="0.2">
      <c r="B25" s="507"/>
      <c r="C25" s="485"/>
      <c r="D25" s="485"/>
      <c r="E25" s="491" t="s">
        <v>155</v>
      </c>
      <c r="F25" s="491"/>
      <c r="G25" s="492"/>
      <c r="H25" s="485"/>
      <c r="I25" s="485"/>
      <c r="J25" s="491" t="s">
        <v>155</v>
      </c>
      <c r="K25" s="491"/>
      <c r="L25" s="492"/>
      <c r="M25" s="485"/>
      <c r="N25" s="485"/>
      <c r="O25" s="491" t="s">
        <v>155</v>
      </c>
      <c r="P25" s="491"/>
      <c r="Q25" s="492"/>
      <c r="R25" s="485"/>
      <c r="S25" s="485"/>
      <c r="T25" s="491" t="s">
        <v>155</v>
      </c>
      <c r="U25" s="491"/>
      <c r="V25" s="492"/>
      <c r="W25" s="485"/>
      <c r="X25" s="485"/>
      <c r="Y25" s="491" t="s">
        <v>155</v>
      </c>
      <c r="Z25" s="491"/>
      <c r="AA25" s="497"/>
      <c r="AB25" s="485"/>
      <c r="AC25" s="485"/>
      <c r="AD25" s="491" t="s">
        <v>155</v>
      </c>
      <c r="AE25" s="491"/>
      <c r="AF25" s="497"/>
    </row>
    <row r="26" spans="2:32" ht="12.75" customHeight="1" x14ac:dyDescent="0.2">
      <c r="B26" s="507"/>
      <c r="C26" s="485"/>
      <c r="D26" s="485"/>
      <c r="E26" s="50" t="s">
        <v>34</v>
      </c>
      <c r="F26" s="486" t="s">
        <v>155</v>
      </c>
      <c r="G26" s="496"/>
      <c r="H26" s="485"/>
      <c r="I26" s="485"/>
      <c r="J26" s="50" t="s">
        <v>34</v>
      </c>
      <c r="K26" s="486" t="s">
        <v>155</v>
      </c>
      <c r="L26" s="496"/>
      <c r="M26" s="485"/>
      <c r="N26" s="485"/>
      <c r="O26" s="50" t="s">
        <v>34</v>
      </c>
      <c r="P26" s="486" t="s">
        <v>155</v>
      </c>
      <c r="Q26" s="496"/>
      <c r="R26" s="485"/>
      <c r="S26" s="485"/>
      <c r="T26" s="50" t="s">
        <v>34</v>
      </c>
      <c r="U26" s="486" t="s">
        <v>155</v>
      </c>
      <c r="V26" s="496"/>
      <c r="W26" s="485"/>
      <c r="X26" s="485"/>
      <c r="Y26" s="50" t="s">
        <v>34</v>
      </c>
      <c r="Z26" s="486" t="s">
        <v>155</v>
      </c>
      <c r="AA26" s="487"/>
      <c r="AB26" s="485"/>
      <c r="AC26" s="485"/>
      <c r="AD26" s="50" t="s">
        <v>34</v>
      </c>
      <c r="AE26" s="486" t="s">
        <v>155</v>
      </c>
      <c r="AF26" s="487"/>
    </row>
    <row r="27" spans="2:32" ht="12.75" customHeight="1" x14ac:dyDescent="0.2">
      <c r="B27" s="508"/>
      <c r="C27" s="466"/>
      <c r="D27" s="460"/>
      <c r="E27" s="51" t="s">
        <v>35</v>
      </c>
      <c r="F27" s="461" t="s">
        <v>155</v>
      </c>
      <c r="G27" s="462"/>
      <c r="H27" s="460"/>
      <c r="I27" s="460"/>
      <c r="J27" s="51" t="s">
        <v>35</v>
      </c>
      <c r="K27" s="461" t="s">
        <v>155</v>
      </c>
      <c r="L27" s="462"/>
      <c r="M27" s="460"/>
      <c r="N27" s="460"/>
      <c r="O27" s="51" t="s">
        <v>35</v>
      </c>
      <c r="P27" s="461" t="s">
        <v>155</v>
      </c>
      <c r="Q27" s="462"/>
      <c r="R27" s="460"/>
      <c r="S27" s="460"/>
      <c r="T27" s="51" t="s">
        <v>35</v>
      </c>
      <c r="U27" s="461" t="s">
        <v>155</v>
      </c>
      <c r="V27" s="462"/>
      <c r="W27" s="460"/>
      <c r="X27" s="460"/>
      <c r="Y27" s="51" t="s">
        <v>35</v>
      </c>
      <c r="Z27" s="461" t="s">
        <v>155</v>
      </c>
      <c r="AA27" s="465"/>
      <c r="AB27" s="460"/>
      <c r="AC27" s="460"/>
      <c r="AD27" s="51" t="s">
        <v>35</v>
      </c>
      <c r="AE27" s="461" t="s">
        <v>155</v>
      </c>
      <c r="AF27" s="465"/>
    </row>
    <row r="28" spans="2:32" ht="18" customHeight="1" x14ac:dyDescent="0.2">
      <c r="B28" s="503">
        <v>0</v>
      </c>
      <c r="C28" s="471" t="s">
        <v>154</v>
      </c>
      <c r="D28" s="472"/>
      <c r="E28" s="475" t="s">
        <v>155</v>
      </c>
      <c r="F28" s="475"/>
      <c r="G28" s="476"/>
      <c r="H28" s="479" t="s">
        <v>156</v>
      </c>
      <c r="I28" s="480"/>
      <c r="J28" s="475" t="s">
        <v>155</v>
      </c>
      <c r="K28" s="475"/>
      <c r="L28" s="476"/>
      <c r="M28" s="493" t="s">
        <v>156</v>
      </c>
      <c r="N28" s="480"/>
      <c r="O28" s="475" t="s">
        <v>155</v>
      </c>
      <c r="P28" s="475"/>
      <c r="Q28" s="476"/>
      <c r="R28" s="493" t="s">
        <v>156</v>
      </c>
      <c r="S28" s="480"/>
      <c r="T28" s="475" t="s">
        <v>155</v>
      </c>
      <c r="U28" s="475"/>
      <c r="V28" s="476"/>
      <c r="W28" s="493" t="s">
        <v>156</v>
      </c>
      <c r="X28" s="480"/>
      <c r="Y28" s="475" t="s">
        <v>155</v>
      </c>
      <c r="Z28" s="475"/>
      <c r="AA28" s="498"/>
      <c r="AB28" s="480" t="s">
        <v>156</v>
      </c>
      <c r="AC28" s="480"/>
      <c r="AD28" s="475" t="s">
        <v>155</v>
      </c>
      <c r="AE28" s="475"/>
      <c r="AF28" s="498"/>
    </row>
    <row r="29" spans="2:32" ht="18" customHeight="1" x14ac:dyDescent="0.2">
      <c r="B29" s="467"/>
      <c r="C29" s="473"/>
      <c r="D29" s="474"/>
      <c r="E29" s="477"/>
      <c r="F29" s="477"/>
      <c r="G29" s="478"/>
      <c r="H29" s="481"/>
      <c r="I29" s="482"/>
      <c r="J29" s="483"/>
      <c r="K29" s="483"/>
      <c r="L29" s="484"/>
      <c r="M29" s="481"/>
      <c r="N29" s="482"/>
      <c r="O29" s="483"/>
      <c r="P29" s="483"/>
      <c r="Q29" s="484"/>
      <c r="R29" s="494"/>
      <c r="S29" s="495"/>
      <c r="T29" s="483"/>
      <c r="U29" s="483"/>
      <c r="V29" s="484"/>
      <c r="W29" s="481"/>
      <c r="X29" s="482"/>
      <c r="Y29" s="483"/>
      <c r="Z29" s="483"/>
      <c r="AA29" s="499"/>
      <c r="AB29" s="482"/>
      <c r="AC29" s="482"/>
      <c r="AD29" s="477"/>
      <c r="AE29" s="477"/>
      <c r="AF29" s="500"/>
    </row>
    <row r="30" spans="2:32" ht="12.75" customHeight="1" x14ac:dyDescent="0.2">
      <c r="B30" s="468"/>
      <c r="C30" s="485"/>
      <c r="D30" s="485"/>
      <c r="E30" s="491" t="s">
        <v>155</v>
      </c>
      <c r="F30" s="491"/>
      <c r="G30" s="492"/>
      <c r="H30" s="485"/>
      <c r="I30" s="485"/>
      <c r="J30" s="491" t="s">
        <v>155</v>
      </c>
      <c r="K30" s="491"/>
      <c r="L30" s="492"/>
      <c r="M30" s="485"/>
      <c r="N30" s="485"/>
      <c r="O30" s="491" t="s">
        <v>155</v>
      </c>
      <c r="P30" s="491"/>
      <c r="Q30" s="492"/>
      <c r="R30" s="485"/>
      <c r="S30" s="485"/>
      <c r="T30" s="491" t="s">
        <v>155</v>
      </c>
      <c r="U30" s="491"/>
      <c r="V30" s="492"/>
      <c r="W30" s="485"/>
      <c r="X30" s="485"/>
      <c r="Y30" s="491" t="s">
        <v>155</v>
      </c>
      <c r="Z30" s="491"/>
      <c r="AA30" s="497"/>
      <c r="AB30" s="485"/>
      <c r="AC30" s="485"/>
      <c r="AD30" s="491" t="s">
        <v>155</v>
      </c>
      <c r="AE30" s="491"/>
      <c r="AF30" s="497"/>
    </row>
    <row r="31" spans="2:32" ht="12.75" customHeight="1" x14ac:dyDescent="0.2">
      <c r="B31" s="469"/>
      <c r="C31" s="485"/>
      <c r="D31" s="485"/>
      <c r="E31" s="30" t="s">
        <v>34</v>
      </c>
      <c r="F31" s="486" t="s">
        <v>155</v>
      </c>
      <c r="G31" s="496"/>
      <c r="H31" s="485"/>
      <c r="I31" s="485"/>
      <c r="J31" s="30" t="s">
        <v>34</v>
      </c>
      <c r="K31" s="486" t="s">
        <v>155</v>
      </c>
      <c r="L31" s="496"/>
      <c r="M31" s="485"/>
      <c r="N31" s="485"/>
      <c r="O31" s="30" t="s">
        <v>34</v>
      </c>
      <c r="P31" s="486" t="s">
        <v>155</v>
      </c>
      <c r="Q31" s="496"/>
      <c r="R31" s="485"/>
      <c r="S31" s="485"/>
      <c r="T31" s="30" t="s">
        <v>34</v>
      </c>
      <c r="U31" s="486" t="s">
        <v>155</v>
      </c>
      <c r="V31" s="496"/>
      <c r="W31" s="485"/>
      <c r="X31" s="485"/>
      <c r="Y31" s="50" t="s">
        <v>34</v>
      </c>
      <c r="Z31" s="486" t="s">
        <v>155</v>
      </c>
      <c r="AA31" s="487"/>
      <c r="AB31" s="485"/>
      <c r="AC31" s="485"/>
      <c r="AD31" s="50" t="s">
        <v>34</v>
      </c>
      <c r="AE31" s="486" t="s">
        <v>155</v>
      </c>
      <c r="AF31" s="487"/>
    </row>
    <row r="32" spans="2:32" ht="12.75" customHeight="1" x14ac:dyDescent="0.2">
      <c r="B32" s="504"/>
      <c r="C32" s="466"/>
      <c r="D32" s="460"/>
      <c r="E32" s="110" t="s">
        <v>35</v>
      </c>
      <c r="F32" s="461" t="s">
        <v>155</v>
      </c>
      <c r="G32" s="462"/>
      <c r="H32" s="460"/>
      <c r="I32" s="460"/>
      <c r="J32" s="110" t="s">
        <v>35</v>
      </c>
      <c r="K32" s="461" t="s">
        <v>155</v>
      </c>
      <c r="L32" s="462"/>
      <c r="M32" s="460"/>
      <c r="N32" s="460"/>
      <c r="O32" s="110" t="s">
        <v>35</v>
      </c>
      <c r="P32" s="461" t="s">
        <v>155</v>
      </c>
      <c r="Q32" s="462"/>
      <c r="R32" s="460"/>
      <c r="S32" s="460"/>
      <c r="T32" s="110" t="s">
        <v>35</v>
      </c>
      <c r="U32" s="461" t="s">
        <v>155</v>
      </c>
      <c r="V32" s="462"/>
      <c r="W32" s="460"/>
      <c r="X32" s="460"/>
      <c r="Y32" s="51" t="s">
        <v>35</v>
      </c>
      <c r="Z32" s="461" t="s">
        <v>155</v>
      </c>
      <c r="AA32" s="465"/>
      <c r="AB32" s="460"/>
      <c r="AC32" s="460"/>
      <c r="AD32" s="51" t="s">
        <v>35</v>
      </c>
      <c r="AE32" s="461" t="s">
        <v>155</v>
      </c>
      <c r="AF32" s="465"/>
    </row>
    <row r="33" spans="1:32" ht="18" customHeight="1" x14ac:dyDescent="0.2">
      <c r="B33" s="503">
        <v>0</v>
      </c>
      <c r="C33" s="471" t="s">
        <v>154</v>
      </c>
      <c r="D33" s="472"/>
      <c r="E33" s="475" t="s">
        <v>155</v>
      </c>
      <c r="F33" s="475"/>
      <c r="G33" s="476"/>
      <c r="H33" s="479" t="s">
        <v>154</v>
      </c>
      <c r="I33" s="480"/>
      <c r="J33" s="475" t="s">
        <v>155</v>
      </c>
      <c r="K33" s="475"/>
      <c r="L33" s="476"/>
      <c r="M33" s="493" t="s">
        <v>154</v>
      </c>
      <c r="N33" s="480"/>
      <c r="O33" s="475" t="s">
        <v>155</v>
      </c>
      <c r="P33" s="475"/>
      <c r="Q33" s="476"/>
      <c r="R33" s="493" t="s">
        <v>154</v>
      </c>
      <c r="S33" s="480"/>
      <c r="T33" s="475" t="s">
        <v>155</v>
      </c>
      <c r="U33" s="475"/>
      <c r="V33" s="476"/>
      <c r="W33" s="493" t="s">
        <v>154</v>
      </c>
      <c r="X33" s="480"/>
      <c r="Y33" s="475" t="s">
        <v>155</v>
      </c>
      <c r="Z33" s="475"/>
      <c r="AA33" s="498"/>
      <c r="AB33" s="480" t="s">
        <v>154</v>
      </c>
      <c r="AC33" s="480"/>
      <c r="AD33" s="475" t="s">
        <v>155</v>
      </c>
      <c r="AE33" s="475"/>
      <c r="AF33" s="498"/>
    </row>
    <row r="34" spans="1:32" ht="18" customHeight="1" x14ac:dyDescent="0.2">
      <c r="B34" s="467"/>
      <c r="C34" s="473"/>
      <c r="D34" s="474"/>
      <c r="E34" s="477"/>
      <c r="F34" s="477"/>
      <c r="G34" s="478"/>
      <c r="H34" s="481"/>
      <c r="I34" s="482"/>
      <c r="J34" s="483"/>
      <c r="K34" s="483"/>
      <c r="L34" s="484"/>
      <c r="M34" s="481"/>
      <c r="N34" s="482"/>
      <c r="O34" s="483"/>
      <c r="P34" s="483"/>
      <c r="Q34" s="484"/>
      <c r="R34" s="494"/>
      <c r="S34" s="495"/>
      <c r="T34" s="483"/>
      <c r="U34" s="483"/>
      <c r="V34" s="484"/>
      <c r="W34" s="481"/>
      <c r="X34" s="482"/>
      <c r="Y34" s="483"/>
      <c r="Z34" s="483"/>
      <c r="AA34" s="499"/>
      <c r="AB34" s="482"/>
      <c r="AC34" s="482"/>
      <c r="AD34" s="477"/>
      <c r="AE34" s="477"/>
      <c r="AF34" s="500"/>
    </row>
    <row r="35" spans="1:32" ht="12.75" customHeight="1" x14ac:dyDescent="0.2">
      <c r="B35" s="468"/>
      <c r="C35" s="485"/>
      <c r="D35" s="485"/>
      <c r="E35" s="491" t="s">
        <v>155</v>
      </c>
      <c r="F35" s="491"/>
      <c r="G35" s="492"/>
      <c r="H35" s="485"/>
      <c r="I35" s="485"/>
      <c r="J35" s="491" t="s">
        <v>155</v>
      </c>
      <c r="K35" s="491"/>
      <c r="L35" s="492"/>
      <c r="M35" s="485"/>
      <c r="N35" s="485"/>
      <c r="O35" s="491" t="s">
        <v>155</v>
      </c>
      <c r="P35" s="491"/>
      <c r="Q35" s="492"/>
      <c r="R35" s="485"/>
      <c r="S35" s="485"/>
      <c r="T35" s="491" t="s">
        <v>155</v>
      </c>
      <c r="U35" s="491"/>
      <c r="V35" s="492"/>
      <c r="W35" s="485"/>
      <c r="X35" s="485"/>
      <c r="Y35" s="491" t="s">
        <v>155</v>
      </c>
      <c r="Z35" s="491"/>
      <c r="AA35" s="497"/>
      <c r="AB35" s="485"/>
      <c r="AC35" s="485"/>
      <c r="AD35" s="491" t="s">
        <v>155</v>
      </c>
      <c r="AE35" s="491"/>
      <c r="AF35" s="497"/>
    </row>
    <row r="36" spans="1:32" ht="12.75" customHeight="1" x14ac:dyDescent="0.2">
      <c r="B36" s="469"/>
      <c r="C36" s="485"/>
      <c r="D36" s="485"/>
      <c r="E36" s="50" t="s">
        <v>34</v>
      </c>
      <c r="F36" s="486" t="s">
        <v>155</v>
      </c>
      <c r="G36" s="496"/>
      <c r="H36" s="485"/>
      <c r="I36" s="485"/>
      <c r="J36" s="50" t="s">
        <v>34</v>
      </c>
      <c r="K36" s="486" t="s">
        <v>155</v>
      </c>
      <c r="L36" s="496"/>
      <c r="M36" s="485"/>
      <c r="N36" s="485"/>
      <c r="O36" s="50" t="s">
        <v>34</v>
      </c>
      <c r="P36" s="486" t="s">
        <v>155</v>
      </c>
      <c r="Q36" s="496"/>
      <c r="R36" s="485"/>
      <c r="S36" s="485"/>
      <c r="T36" s="50" t="s">
        <v>34</v>
      </c>
      <c r="U36" s="486" t="s">
        <v>155</v>
      </c>
      <c r="V36" s="496"/>
      <c r="W36" s="485"/>
      <c r="X36" s="485"/>
      <c r="Y36" s="50" t="s">
        <v>34</v>
      </c>
      <c r="Z36" s="463" t="s">
        <v>155</v>
      </c>
      <c r="AA36" s="464"/>
      <c r="AB36" s="485"/>
      <c r="AC36" s="485"/>
      <c r="AD36" s="50" t="s">
        <v>34</v>
      </c>
      <c r="AE36" s="486" t="s">
        <v>155</v>
      </c>
      <c r="AF36" s="487"/>
    </row>
    <row r="37" spans="1:32" ht="12.75" customHeight="1" thickBot="1" x14ac:dyDescent="0.25">
      <c r="B37" s="504"/>
      <c r="C37" s="466"/>
      <c r="D37" s="460"/>
      <c r="E37" s="51" t="s">
        <v>35</v>
      </c>
      <c r="F37" s="461" t="s">
        <v>155</v>
      </c>
      <c r="G37" s="462"/>
      <c r="H37" s="460"/>
      <c r="I37" s="460"/>
      <c r="J37" s="51" t="s">
        <v>35</v>
      </c>
      <c r="K37" s="461" t="s">
        <v>155</v>
      </c>
      <c r="L37" s="462"/>
      <c r="M37" s="460"/>
      <c r="N37" s="460"/>
      <c r="O37" s="51" t="s">
        <v>35</v>
      </c>
      <c r="P37" s="461" t="s">
        <v>155</v>
      </c>
      <c r="Q37" s="462"/>
      <c r="R37" s="460"/>
      <c r="S37" s="460"/>
      <c r="T37" s="51" t="s">
        <v>35</v>
      </c>
      <c r="U37" s="461" t="s">
        <v>155</v>
      </c>
      <c r="V37" s="462"/>
      <c r="W37" s="460"/>
      <c r="X37" s="460"/>
      <c r="Y37" s="51" t="s">
        <v>35</v>
      </c>
      <c r="Z37" s="501" t="s">
        <v>155</v>
      </c>
      <c r="AA37" s="502"/>
      <c r="AB37" s="460"/>
      <c r="AC37" s="460"/>
      <c r="AD37" s="51" t="s">
        <v>35</v>
      </c>
      <c r="AE37" s="461" t="s">
        <v>155</v>
      </c>
      <c r="AF37" s="465"/>
    </row>
    <row r="38" spans="1:32" ht="18" customHeight="1" x14ac:dyDescent="0.2">
      <c r="B38" s="488" t="s">
        <v>11</v>
      </c>
      <c r="C38" s="471" t="s">
        <v>154</v>
      </c>
      <c r="D38" s="472"/>
      <c r="E38" s="475" t="s">
        <v>155</v>
      </c>
      <c r="F38" s="475"/>
      <c r="G38" s="476"/>
      <c r="H38" s="479" t="s">
        <v>154</v>
      </c>
      <c r="I38" s="480"/>
      <c r="J38" s="475" t="s">
        <v>155</v>
      </c>
      <c r="K38" s="475"/>
      <c r="L38" s="476"/>
      <c r="M38" s="493" t="s">
        <v>154</v>
      </c>
      <c r="N38" s="480"/>
      <c r="O38" s="475" t="s">
        <v>155</v>
      </c>
      <c r="P38" s="475"/>
      <c r="Q38" s="476"/>
      <c r="R38" s="493" t="s">
        <v>154</v>
      </c>
      <c r="S38" s="480"/>
      <c r="T38" s="475" t="s">
        <v>155</v>
      </c>
      <c r="U38" s="475"/>
      <c r="V38" s="476"/>
      <c r="W38" s="493" t="s">
        <v>154</v>
      </c>
      <c r="X38" s="480"/>
      <c r="Y38" s="475" t="s">
        <v>155</v>
      </c>
      <c r="Z38" s="475"/>
      <c r="AA38" s="498"/>
      <c r="AB38" s="480" t="s">
        <v>154</v>
      </c>
      <c r="AC38" s="480"/>
      <c r="AD38" s="475" t="s">
        <v>155</v>
      </c>
      <c r="AE38" s="475"/>
      <c r="AF38" s="498"/>
    </row>
    <row r="39" spans="1:32" ht="18" customHeight="1" x14ac:dyDescent="0.2">
      <c r="B39" s="489"/>
      <c r="C39" s="473"/>
      <c r="D39" s="474"/>
      <c r="E39" s="477"/>
      <c r="F39" s="477"/>
      <c r="G39" s="478"/>
      <c r="H39" s="481"/>
      <c r="I39" s="482"/>
      <c r="J39" s="483"/>
      <c r="K39" s="483"/>
      <c r="L39" s="484"/>
      <c r="M39" s="481"/>
      <c r="N39" s="482"/>
      <c r="O39" s="483"/>
      <c r="P39" s="483"/>
      <c r="Q39" s="484"/>
      <c r="R39" s="494"/>
      <c r="S39" s="495"/>
      <c r="T39" s="483"/>
      <c r="U39" s="483"/>
      <c r="V39" s="484"/>
      <c r="W39" s="481"/>
      <c r="X39" s="482"/>
      <c r="Y39" s="483"/>
      <c r="Z39" s="483"/>
      <c r="AA39" s="499"/>
      <c r="AB39" s="482"/>
      <c r="AC39" s="482"/>
      <c r="AD39" s="477"/>
      <c r="AE39" s="477"/>
      <c r="AF39" s="500"/>
    </row>
    <row r="40" spans="1:32" ht="12.75" customHeight="1" x14ac:dyDescent="0.2">
      <c r="B40" s="489"/>
      <c r="C40" s="485"/>
      <c r="D40" s="485"/>
      <c r="E40" s="491" t="s">
        <v>155</v>
      </c>
      <c r="F40" s="491"/>
      <c r="G40" s="492"/>
      <c r="H40" s="485"/>
      <c r="I40" s="485"/>
      <c r="J40" s="491" t="s">
        <v>155</v>
      </c>
      <c r="K40" s="491"/>
      <c r="L40" s="492"/>
      <c r="M40" s="485"/>
      <c r="N40" s="485"/>
      <c r="O40" s="491" t="s">
        <v>155</v>
      </c>
      <c r="P40" s="491"/>
      <c r="Q40" s="492"/>
      <c r="R40" s="485"/>
      <c r="S40" s="485"/>
      <c r="T40" s="491" t="s">
        <v>155</v>
      </c>
      <c r="U40" s="491"/>
      <c r="V40" s="492"/>
      <c r="W40" s="485"/>
      <c r="X40" s="485"/>
      <c r="Y40" s="491" t="s">
        <v>155</v>
      </c>
      <c r="Z40" s="491"/>
      <c r="AA40" s="497"/>
      <c r="AB40" s="485"/>
      <c r="AC40" s="485"/>
      <c r="AD40" s="491" t="s">
        <v>155</v>
      </c>
      <c r="AE40" s="491"/>
      <c r="AF40" s="497"/>
    </row>
    <row r="41" spans="1:32" ht="12.75" customHeight="1" x14ac:dyDescent="0.2">
      <c r="B41" s="489"/>
      <c r="C41" s="485"/>
      <c r="D41" s="485"/>
      <c r="E41" s="50" t="s">
        <v>34</v>
      </c>
      <c r="F41" s="486" t="s">
        <v>155</v>
      </c>
      <c r="G41" s="496"/>
      <c r="H41" s="485"/>
      <c r="I41" s="485"/>
      <c r="J41" s="50" t="s">
        <v>34</v>
      </c>
      <c r="K41" s="486" t="s">
        <v>155</v>
      </c>
      <c r="L41" s="496"/>
      <c r="M41" s="485"/>
      <c r="N41" s="485"/>
      <c r="O41" s="50" t="s">
        <v>34</v>
      </c>
      <c r="P41" s="486" t="s">
        <v>155</v>
      </c>
      <c r="Q41" s="496"/>
      <c r="R41" s="485"/>
      <c r="S41" s="485"/>
      <c r="T41" s="50" t="s">
        <v>34</v>
      </c>
      <c r="U41" s="486" t="s">
        <v>155</v>
      </c>
      <c r="V41" s="496"/>
      <c r="W41" s="485"/>
      <c r="X41" s="485"/>
      <c r="Y41" s="50" t="s">
        <v>34</v>
      </c>
      <c r="Z41" s="463" t="s">
        <v>155</v>
      </c>
      <c r="AA41" s="464"/>
      <c r="AB41" s="485"/>
      <c r="AC41" s="485"/>
      <c r="AD41" s="50" t="s">
        <v>34</v>
      </c>
      <c r="AE41" s="486" t="s">
        <v>155</v>
      </c>
      <c r="AF41" s="487"/>
    </row>
    <row r="42" spans="1:32" ht="12.75" customHeight="1" x14ac:dyDescent="0.2">
      <c r="B42" s="490"/>
      <c r="C42" s="466"/>
      <c r="D42" s="460"/>
      <c r="E42" s="51" t="s">
        <v>35</v>
      </c>
      <c r="F42" s="461" t="s">
        <v>155</v>
      </c>
      <c r="G42" s="462"/>
      <c r="H42" s="460"/>
      <c r="I42" s="460"/>
      <c r="J42" s="51" t="s">
        <v>35</v>
      </c>
      <c r="K42" s="461" t="s">
        <v>155</v>
      </c>
      <c r="L42" s="462"/>
      <c r="M42" s="460"/>
      <c r="N42" s="460"/>
      <c r="O42" s="51" t="s">
        <v>35</v>
      </c>
      <c r="P42" s="461" t="s">
        <v>155</v>
      </c>
      <c r="Q42" s="462"/>
      <c r="R42" s="460"/>
      <c r="S42" s="460"/>
      <c r="T42" s="51" t="s">
        <v>35</v>
      </c>
      <c r="U42" s="461" t="s">
        <v>155</v>
      </c>
      <c r="V42" s="462"/>
      <c r="W42" s="460"/>
      <c r="X42" s="460"/>
      <c r="Y42" s="51" t="s">
        <v>35</v>
      </c>
      <c r="Z42" s="501" t="s">
        <v>155</v>
      </c>
      <c r="AA42" s="502"/>
      <c r="AB42" s="460"/>
      <c r="AC42" s="460"/>
      <c r="AD42" s="51" t="s">
        <v>35</v>
      </c>
      <c r="AE42" s="461" t="s">
        <v>155</v>
      </c>
      <c r="AF42" s="465"/>
    </row>
    <row r="43" spans="1:32" ht="18" customHeight="1" x14ac:dyDescent="0.2">
      <c r="B43" s="467" t="s">
        <v>11</v>
      </c>
      <c r="C43" s="471" t="s">
        <v>154</v>
      </c>
      <c r="D43" s="472"/>
      <c r="E43" s="475" t="s">
        <v>155</v>
      </c>
      <c r="F43" s="475"/>
      <c r="G43" s="476"/>
      <c r="H43" s="479" t="s">
        <v>154</v>
      </c>
      <c r="I43" s="480"/>
      <c r="J43" s="475" t="s">
        <v>155</v>
      </c>
      <c r="K43" s="475"/>
      <c r="L43" s="476"/>
      <c r="M43" s="493" t="s">
        <v>154</v>
      </c>
      <c r="N43" s="480"/>
      <c r="O43" s="475" t="s">
        <v>155</v>
      </c>
      <c r="P43" s="475"/>
      <c r="Q43" s="476"/>
      <c r="R43" s="493" t="s">
        <v>154</v>
      </c>
      <c r="S43" s="480"/>
      <c r="T43" s="475" t="s">
        <v>155</v>
      </c>
      <c r="U43" s="475"/>
      <c r="V43" s="476"/>
      <c r="W43" s="493" t="s">
        <v>154</v>
      </c>
      <c r="X43" s="480"/>
      <c r="Y43" s="475" t="s">
        <v>155</v>
      </c>
      <c r="Z43" s="475"/>
      <c r="AA43" s="498"/>
      <c r="AB43" s="480" t="s">
        <v>154</v>
      </c>
      <c r="AC43" s="480"/>
      <c r="AD43" s="475" t="s">
        <v>155</v>
      </c>
      <c r="AE43" s="475"/>
      <c r="AF43" s="498"/>
    </row>
    <row r="44" spans="1:32" ht="18" customHeight="1" x14ac:dyDescent="0.2">
      <c r="B44" s="467"/>
      <c r="C44" s="473"/>
      <c r="D44" s="474"/>
      <c r="E44" s="477"/>
      <c r="F44" s="477"/>
      <c r="G44" s="478"/>
      <c r="H44" s="481"/>
      <c r="I44" s="482"/>
      <c r="J44" s="483"/>
      <c r="K44" s="483"/>
      <c r="L44" s="484"/>
      <c r="M44" s="481"/>
      <c r="N44" s="482"/>
      <c r="O44" s="483"/>
      <c r="P44" s="483"/>
      <c r="Q44" s="484"/>
      <c r="R44" s="494"/>
      <c r="S44" s="495"/>
      <c r="T44" s="483"/>
      <c r="U44" s="483"/>
      <c r="V44" s="484"/>
      <c r="W44" s="481"/>
      <c r="X44" s="482"/>
      <c r="Y44" s="483"/>
      <c r="Z44" s="483"/>
      <c r="AA44" s="499"/>
      <c r="AB44" s="482"/>
      <c r="AC44" s="482"/>
      <c r="AD44" s="477"/>
      <c r="AE44" s="477"/>
      <c r="AF44" s="500"/>
    </row>
    <row r="45" spans="1:32" ht="12.75" customHeight="1" x14ac:dyDescent="0.2">
      <c r="B45" s="468"/>
      <c r="C45" s="485"/>
      <c r="D45" s="485"/>
      <c r="E45" s="491" t="s">
        <v>155</v>
      </c>
      <c r="F45" s="491"/>
      <c r="G45" s="492"/>
      <c r="H45" s="485"/>
      <c r="I45" s="485"/>
      <c r="J45" s="491" t="s">
        <v>155</v>
      </c>
      <c r="K45" s="491"/>
      <c r="L45" s="492"/>
      <c r="M45" s="485"/>
      <c r="N45" s="485"/>
      <c r="O45" s="491" t="s">
        <v>155</v>
      </c>
      <c r="P45" s="491"/>
      <c r="Q45" s="492"/>
      <c r="R45" s="485"/>
      <c r="S45" s="485"/>
      <c r="T45" s="491" t="s">
        <v>155</v>
      </c>
      <c r="U45" s="491"/>
      <c r="V45" s="492"/>
      <c r="W45" s="485"/>
      <c r="X45" s="485"/>
      <c r="Y45" s="491" t="s">
        <v>155</v>
      </c>
      <c r="Z45" s="491"/>
      <c r="AA45" s="497"/>
      <c r="AB45" s="485"/>
      <c r="AC45" s="485"/>
      <c r="AD45" s="491" t="s">
        <v>155</v>
      </c>
      <c r="AE45" s="491"/>
      <c r="AF45" s="497"/>
    </row>
    <row r="46" spans="1:32" ht="12.75" customHeight="1" x14ac:dyDescent="0.2">
      <c r="B46" s="469"/>
      <c r="C46" s="485"/>
      <c r="D46" s="485"/>
      <c r="E46" s="50" t="s">
        <v>34</v>
      </c>
      <c r="F46" s="486" t="s">
        <v>155</v>
      </c>
      <c r="G46" s="496"/>
      <c r="H46" s="485"/>
      <c r="I46" s="485"/>
      <c r="J46" s="50" t="s">
        <v>34</v>
      </c>
      <c r="K46" s="486" t="s">
        <v>155</v>
      </c>
      <c r="L46" s="496"/>
      <c r="M46" s="485"/>
      <c r="N46" s="485"/>
      <c r="O46" s="50" t="s">
        <v>34</v>
      </c>
      <c r="P46" s="486" t="s">
        <v>155</v>
      </c>
      <c r="Q46" s="496"/>
      <c r="R46" s="485"/>
      <c r="S46" s="485"/>
      <c r="T46" s="50" t="s">
        <v>34</v>
      </c>
      <c r="U46" s="486" t="s">
        <v>155</v>
      </c>
      <c r="V46" s="496"/>
      <c r="W46" s="485"/>
      <c r="X46" s="485"/>
      <c r="Y46" s="50" t="s">
        <v>34</v>
      </c>
      <c r="Z46" s="463" t="s">
        <v>155</v>
      </c>
      <c r="AA46" s="464"/>
      <c r="AB46" s="485"/>
      <c r="AC46" s="485"/>
      <c r="AD46" s="50" t="s">
        <v>34</v>
      </c>
      <c r="AE46" s="486" t="s">
        <v>155</v>
      </c>
      <c r="AF46" s="487"/>
    </row>
    <row r="47" spans="1:32" ht="12.75" customHeight="1" thickBot="1" x14ac:dyDescent="0.25">
      <c r="B47" s="470"/>
      <c r="C47" s="466"/>
      <c r="D47" s="460"/>
      <c r="E47" s="52" t="s">
        <v>35</v>
      </c>
      <c r="F47" s="461" t="s">
        <v>155</v>
      </c>
      <c r="G47" s="462"/>
      <c r="H47" s="460"/>
      <c r="I47" s="460"/>
      <c r="J47" s="52" t="s">
        <v>35</v>
      </c>
      <c r="K47" s="461" t="s">
        <v>155</v>
      </c>
      <c r="L47" s="462"/>
      <c r="M47" s="460"/>
      <c r="N47" s="460"/>
      <c r="O47" s="52" t="s">
        <v>35</v>
      </c>
      <c r="P47" s="461" t="s">
        <v>155</v>
      </c>
      <c r="Q47" s="462"/>
      <c r="R47" s="460"/>
      <c r="S47" s="460"/>
      <c r="T47" s="52" t="s">
        <v>35</v>
      </c>
      <c r="U47" s="461" t="s">
        <v>155</v>
      </c>
      <c r="V47" s="462"/>
      <c r="W47" s="460"/>
      <c r="X47" s="460"/>
      <c r="Y47" s="52" t="s">
        <v>35</v>
      </c>
      <c r="Z47" s="463" t="s">
        <v>155</v>
      </c>
      <c r="AA47" s="464"/>
      <c r="AB47" s="460"/>
      <c r="AC47" s="460"/>
      <c r="AD47" s="52" t="s">
        <v>35</v>
      </c>
      <c r="AE47" s="461" t="s">
        <v>155</v>
      </c>
      <c r="AF47" s="465"/>
    </row>
    <row r="48" spans="1:32" s="108" customFormat="1" ht="12" customHeight="1" x14ac:dyDescent="0.2">
      <c r="A48" s="454" t="s">
        <v>36</v>
      </c>
      <c r="B48" s="456" t="e">
        <v>#REF!</v>
      </c>
      <c r="C48" s="53" t="e">
        <v>#REF!</v>
      </c>
      <c r="D48" s="54"/>
      <c r="E48" s="55" t="e">
        <v>#REF!</v>
      </c>
      <c r="F48" s="54"/>
      <c r="G48" s="54"/>
      <c r="H48" s="56" t="e">
        <v>#REF!</v>
      </c>
      <c r="I48" s="54"/>
      <c r="J48" s="55" t="e">
        <v>#REF!</v>
      </c>
      <c r="K48" s="57"/>
      <c r="L48" s="54"/>
      <c r="M48" s="56" t="e">
        <v>#REF!</v>
      </c>
      <c r="N48" s="58"/>
      <c r="O48" s="55" t="e">
        <v>#REF!</v>
      </c>
      <c r="P48" s="58"/>
      <c r="Q48" s="58"/>
      <c r="R48" s="56" t="e">
        <v>#REF!</v>
      </c>
      <c r="S48" s="58"/>
      <c r="T48" s="55" t="e">
        <v>#REF!</v>
      </c>
      <c r="U48" s="58"/>
      <c r="V48" s="58"/>
      <c r="W48" s="56" t="e">
        <v>#REF!</v>
      </c>
      <c r="X48" s="58"/>
      <c r="Y48" s="55" t="e">
        <v>#REF!</v>
      </c>
      <c r="Z48" s="58"/>
      <c r="AA48" s="59"/>
      <c r="AB48" s="60" t="e">
        <v>#REF!</v>
      </c>
      <c r="AC48" s="57"/>
      <c r="AD48" s="55" t="e">
        <v>#REF!</v>
      </c>
      <c r="AE48" s="54"/>
      <c r="AF48" s="61"/>
    </row>
    <row r="49" spans="1:32" s="108" customFormat="1" ht="12" customHeight="1" x14ac:dyDescent="0.2">
      <c r="A49" s="455"/>
      <c r="B49" s="457"/>
      <c r="C49" s="62" t="e">
        <v>#REF!</v>
      </c>
      <c r="D49" s="63"/>
      <c r="E49" s="64" t="e">
        <v>#REF!</v>
      </c>
      <c r="F49" s="63"/>
      <c r="G49" s="63"/>
      <c r="H49" s="65" t="e">
        <v>#REF!</v>
      </c>
      <c r="I49" s="63"/>
      <c r="J49" s="64" t="e">
        <v>#REF!</v>
      </c>
      <c r="K49" s="66"/>
      <c r="L49" s="63"/>
      <c r="M49" s="65" t="e">
        <v>#REF!</v>
      </c>
      <c r="N49" s="67"/>
      <c r="O49" s="64" t="e">
        <v>#REF!</v>
      </c>
      <c r="P49" s="67"/>
      <c r="Q49" s="67"/>
      <c r="R49" s="65" t="e">
        <v>#REF!</v>
      </c>
      <c r="S49" s="67"/>
      <c r="T49" s="64" t="e">
        <v>#REF!</v>
      </c>
      <c r="U49" s="67"/>
      <c r="V49" s="67"/>
      <c r="W49" s="65" t="e">
        <v>#REF!</v>
      </c>
      <c r="X49" s="67"/>
      <c r="Y49" s="64" t="e">
        <v>#REF!</v>
      </c>
      <c r="Z49" s="67"/>
      <c r="AA49" s="68"/>
      <c r="AB49" s="63" t="e">
        <v>#REF!</v>
      </c>
      <c r="AC49" s="66"/>
      <c r="AD49" s="64" t="e">
        <v>#REF!</v>
      </c>
      <c r="AE49" s="63"/>
      <c r="AF49" s="69"/>
    </row>
    <row r="50" spans="1:32" s="108" customFormat="1" ht="12" customHeight="1" x14ac:dyDescent="0.2">
      <c r="A50" s="70"/>
      <c r="B50" s="458" t="s">
        <v>15</v>
      </c>
      <c r="C50" s="71" t="s">
        <v>91</v>
      </c>
      <c r="D50" s="72"/>
      <c r="E50" s="73" t="s">
        <v>91</v>
      </c>
      <c r="F50" s="72"/>
      <c r="G50" s="72"/>
      <c r="H50" s="74" t="s">
        <v>91</v>
      </c>
      <c r="I50" s="72"/>
      <c r="J50" s="73" t="s">
        <v>91</v>
      </c>
      <c r="K50" s="75"/>
      <c r="L50" s="72"/>
      <c r="M50" s="74" t="s">
        <v>91</v>
      </c>
      <c r="N50" s="75"/>
      <c r="O50" s="73" t="s">
        <v>91</v>
      </c>
      <c r="P50" s="72"/>
      <c r="Q50" s="75"/>
      <c r="R50" s="74" t="s">
        <v>91</v>
      </c>
      <c r="S50" s="72"/>
      <c r="T50" s="73" t="s">
        <v>91</v>
      </c>
      <c r="U50" s="76"/>
      <c r="V50" s="76"/>
      <c r="W50" s="74" t="s">
        <v>91</v>
      </c>
      <c r="X50" s="76"/>
      <c r="Y50" s="73" t="s">
        <v>91</v>
      </c>
      <c r="Z50" s="76"/>
      <c r="AA50" s="77"/>
      <c r="AB50" s="72" t="s">
        <v>91</v>
      </c>
      <c r="AC50" s="76"/>
      <c r="AD50" s="73" t="s">
        <v>91</v>
      </c>
      <c r="AE50" s="76"/>
      <c r="AF50" s="77"/>
    </row>
    <row r="51" spans="1:32" s="108" customFormat="1" ht="12" customHeight="1" thickBot="1" x14ac:dyDescent="0.25">
      <c r="A51" s="70"/>
      <c r="B51" s="459"/>
      <c r="C51" s="78" t="s">
        <v>91</v>
      </c>
      <c r="D51" s="79"/>
      <c r="E51" s="80" t="s">
        <v>91</v>
      </c>
      <c r="F51" s="79"/>
      <c r="G51" s="79"/>
      <c r="H51" s="81" t="s">
        <v>91</v>
      </c>
      <c r="I51" s="79"/>
      <c r="J51" s="80" t="s">
        <v>91</v>
      </c>
      <c r="K51" s="82"/>
      <c r="L51" s="79"/>
      <c r="M51" s="81" t="s">
        <v>91</v>
      </c>
      <c r="N51" s="82"/>
      <c r="O51" s="80" t="s">
        <v>91</v>
      </c>
      <c r="P51" s="79"/>
      <c r="Q51" s="82"/>
      <c r="R51" s="81" t="s">
        <v>91</v>
      </c>
      <c r="S51" s="79"/>
      <c r="T51" s="80" t="s">
        <v>91</v>
      </c>
      <c r="U51" s="83"/>
      <c r="V51" s="83"/>
      <c r="W51" s="81" t="s">
        <v>91</v>
      </c>
      <c r="X51" s="83"/>
      <c r="Y51" s="80" t="s">
        <v>91</v>
      </c>
      <c r="Z51" s="83"/>
      <c r="AA51" s="84"/>
      <c r="AB51" s="79" t="s">
        <v>91</v>
      </c>
      <c r="AC51" s="83"/>
      <c r="AD51" s="80" t="s">
        <v>91</v>
      </c>
      <c r="AE51" s="83"/>
      <c r="AF51" s="84"/>
    </row>
    <row r="52" spans="1:32" s="85" customFormat="1" ht="12.75" customHeight="1" x14ac:dyDescent="0.2">
      <c r="B52" s="86" t="s">
        <v>37</v>
      </c>
      <c r="C52" s="31"/>
      <c r="E52" s="87"/>
      <c r="F52" s="87"/>
      <c r="G52" s="87"/>
      <c r="H52" s="88"/>
      <c r="I52" s="87"/>
      <c r="J52" s="87"/>
      <c r="K52" s="87"/>
      <c r="L52" s="87"/>
      <c r="M52" s="88"/>
      <c r="N52" s="87"/>
      <c r="O52" s="87"/>
      <c r="P52" s="87"/>
      <c r="Q52" s="87"/>
      <c r="R52" s="88"/>
      <c r="S52" s="87"/>
      <c r="T52" s="87"/>
      <c r="U52" s="87"/>
      <c r="V52" s="87"/>
      <c r="W52" s="88"/>
      <c r="X52" s="87"/>
      <c r="Y52" s="87"/>
      <c r="Z52" s="87"/>
      <c r="AA52" s="89"/>
      <c r="AB52" s="90"/>
      <c r="AC52" s="87"/>
      <c r="AD52" s="87"/>
      <c r="AE52" s="87"/>
      <c r="AF52" s="89"/>
    </row>
    <row r="53" spans="1:32" s="85" customFormat="1" ht="12.75" customHeight="1" x14ac:dyDescent="0.2">
      <c r="B53" s="91"/>
      <c r="C53" s="31"/>
      <c r="H53" s="92"/>
      <c r="M53" s="92"/>
      <c r="R53" s="92"/>
      <c r="W53" s="92"/>
      <c r="AA53" s="93"/>
      <c r="AB53" s="31"/>
      <c r="AF53" s="93"/>
    </row>
    <row r="54" spans="1:32" s="85" customFormat="1" ht="12.75" customHeight="1" x14ac:dyDescent="0.2">
      <c r="B54" s="91"/>
      <c r="C54" s="31"/>
      <c r="H54" s="92"/>
      <c r="I54" s="94"/>
      <c r="M54" s="92"/>
      <c r="R54" s="92"/>
      <c r="W54" s="92"/>
      <c r="AA54" s="93"/>
      <c r="AB54" s="31"/>
      <c r="AF54" s="93"/>
    </row>
    <row r="55" spans="1:32" s="85" customFormat="1" ht="12.75" customHeight="1" x14ac:dyDescent="0.2">
      <c r="B55" s="91"/>
      <c r="C55" s="31"/>
      <c r="H55" s="92"/>
      <c r="M55" s="92"/>
      <c r="R55" s="92"/>
      <c r="W55" s="92"/>
      <c r="AA55" s="93"/>
      <c r="AB55" s="31"/>
      <c r="AF55" s="93"/>
    </row>
    <row r="56" spans="1:32" s="85" customFormat="1" ht="12.75" customHeight="1" x14ac:dyDescent="0.2">
      <c r="B56" s="91"/>
      <c r="C56" s="31"/>
      <c r="H56" s="92"/>
      <c r="M56" s="92"/>
      <c r="R56" s="92"/>
      <c r="W56" s="92"/>
      <c r="AA56" s="93"/>
      <c r="AB56" s="31"/>
      <c r="AF56" s="93"/>
    </row>
    <row r="57" spans="1:32" s="85" customFormat="1" ht="12.75" hidden="1" customHeight="1" x14ac:dyDescent="0.2">
      <c r="B57" s="91"/>
      <c r="C57" s="31"/>
      <c r="H57" s="92"/>
      <c r="I57" s="94"/>
      <c r="M57" s="92"/>
      <c r="R57" s="92"/>
      <c r="W57" s="92"/>
      <c r="AA57" s="93"/>
      <c r="AB57" s="31"/>
      <c r="AF57" s="93"/>
    </row>
    <row r="58" spans="1:32" s="85" customFormat="1" ht="12.75" hidden="1" customHeight="1" x14ac:dyDescent="0.2">
      <c r="B58" s="91"/>
      <c r="C58" s="31"/>
      <c r="H58" s="92"/>
      <c r="I58" s="94"/>
      <c r="M58" s="92"/>
      <c r="R58" s="92"/>
      <c r="W58" s="92"/>
      <c r="AA58" s="93"/>
      <c r="AB58" s="31"/>
      <c r="AF58" s="93"/>
    </row>
    <row r="59" spans="1:32" s="85" customFormat="1" ht="12.75" customHeight="1" x14ac:dyDescent="0.2">
      <c r="B59" s="91"/>
      <c r="C59" s="31"/>
      <c r="H59" s="92"/>
      <c r="I59" s="94"/>
      <c r="M59" s="92"/>
      <c r="R59" s="92"/>
      <c r="W59" s="92"/>
      <c r="AA59" s="93"/>
      <c r="AB59" s="31"/>
      <c r="AF59" s="93"/>
    </row>
    <row r="60" spans="1:32" s="85" customFormat="1" ht="12.75" customHeight="1" x14ac:dyDescent="0.2">
      <c r="B60" s="91"/>
      <c r="C60" s="31"/>
      <c r="H60" s="92"/>
      <c r="M60" s="92"/>
      <c r="R60" s="92"/>
      <c r="W60" s="92"/>
      <c r="AA60" s="93"/>
      <c r="AB60" s="31"/>
      <c r="AF60" s="93"/>
    </row>
    <row r="61" spans="1:32" s="85" customFormat="1" ht="12.75" hidden="1" customHeight="1" x14ac:dyDescent="0.2">
      <c r="B61" s="91"/>
      <c r="C61" s="31"/>
      <c r="H61" s="92"/>
      <c r="M61" s="92"/>
      <c r="R61" s="92"/>
      <c r="W61" s="92"/>
      <c r="AA61" s="93"/>
      <c r="AB61" s="31"/>
      <c r="AF61" s="93"/>
    </row>
    <row r="62" spans="1:32" s="85" customFormat="1" ht="12.75" hidden="1" customHeight="1" x14ac:dyDescent="0.2">
      <c r="B62" s="91"/>
      <c r="C62" s="31"/>
      <c r="H62" s="92"/>
      <c r="I62" s="94"/>
      <c r="J62" s="94"/>
      <c r="M62" s="92"/>
      <c r="R62" s="92"/>
      <c r="W62" s="92"/>
      <c r="AA62" s="93"/>
      <c r="AB62" s="31"/>
      <c r="AF62" s="93"/>
    </row>
    <row r="63" spans="1:32" s="85" customFormat="1" ht="12.75" hidden="1" customHeight="1" x14ac:dyDescent="0.2">
      <c r="B63" s="91"/>
      <c r="C63" s="31"/>
      <c r="H63" s="92"/>
      <c r="I63" s="94"/>
      <c r="J63" s="94"/>
      <c r="M63" s="92"/>
      <c r="R63" s="92"/>
      <c r="W63" s="92"/>
      <c r="AA63" s="93"/>
      <c r="AB63" s="31"/>
      <c r="AF63" s="93"/>
    </row>
    <row r="64" spans="1:32" s="85" customFormat="1" ht="12.75" hidden="1" customHeight="1" x14ac:dyDescent="0.2">
      <c r="B64" s="91"/>
      <c r="C64" s="31"/>
      <c r="H64" s="92"/>
      <c r="I64" s="94"/>
      <c r="J64" s="94"/>
      <c r="M64" s="92"/>
      <c r="R64" s="92"/>
      <c r="W64" s="92"/>
      <c r="AA64" s="93"/>
      <c r="AB64" s="31"/>
      <c r="AF64" s="93"/>
    </row>
    <row r="65" spans="2:32" s="85" customFormat="1" ht="12.75" customHeight="1" thickBot="1" x14ac:dyDescent="0.25">
      <c r="B65" s="95"/>
      <c r="C65" s="96"/>
      <c r="D65" s="97"/>
      <c r="E65" s="98"/>
      <c r="F65" s="97"/>
      <c r="G65" s="97"/>
      <c r="H65" s="99"/>
      <c r="I65" s="98"/>
      <c r="J65" s="98"/>
      <c r="K65" s="97"/>
      <c r="L65" s="97"/>
      <c r="M65" s="99"/>
      <c r="N65" s="97"/>
      <c r="O65" s="97"/>
      <c r="P65" s="97"/>
      <c r="Q65" s="97"/>
      <c r="R65" s="99"/>
      <c r="S65" s="97"/>
      <c r="T65" s="97"/>
      <c r="U65" s="97"/>
      <c r="V65" s="97"/>
      <c r="W65" s="99"/>
      <c r="X65" s="97"/>
      <c r="Y65" s="97"/>
      <c r="Z65" s="97"/>
      <c r="AA65" s="100"/>
      <c r="AB65" s="96"/>
      <c r="AC65" s="97"/>
      <c r="AD65" s="97"/>
      <c r="AE65" s="97"/>
      <c r="AF65" s="100"/>
    </row>
    <row r="66" spans="2:32" ht="18" customHeight="1" x14ac:dyDescent="0.2">
      <c r="D66" s="31"/>
    </row>
    <row r="67" spans="2:32" x14ac:dyDescent="0.2">
      <c r="D67" s="101"/>
    </row>
    <row r="68" spans="2:32" x14ac:dyDescent="0.2">
      <c r="D68" s="31" t="s">
        <v>38</v>
      </c>
      <c r="F68" s="27">
        <f t="shared" ref="F68:F80" si="0">COUNTIF(C$3:C$65,D68)</f>
        <v>0</v>
      </c>
      <c r="H68" s="32"/>
      <c r="I68" s="31" t="s">
        <v>38</v>
      </c>
      <c r="K68" s="27">
        <f t="shared" ref="K68:K80" si="1">COUNTIF(H$3:H$65,I68)</f>
        <v>0</v>
      </c>
      <c r="N68" s="31" t="s">
        <v>38</v>
      </c>
      <c r="P68" s="27">
        <f t="shared" ref="P68:P80" si="2">COUNTIF(M$3:M$65,N68)</f>
        <v>0</v>
      </c>
      <c r="S68" s="31" t="s">
        <v>38</v>
      </c>
      <c r="U68" s="27">
        <f t="shared" ref="U68:U80" si="3">COUNTIF(R$3:R$65,S68)</f>
        <v>0</v>
      </c>
      <c r="X68" s="31" t="s">
        <v>38</v>
      </c>
      <c r="Z68" s="27">
        <f t="shared" ref="Z68:Z80" si="4">COUNTIF(W$3:W$65,X68)</f>
        <v>0</v>
      </c>
      <c r="AC68" s="31" t="s">
        <v>38</v>
      </c>
      <c r="AE68" s="27">
        <f t="shared" ref="AE68:AE80" si="5">COUNTIF(AB$3:AB$65,AC68)</f>
        <v>0</v>
      </c>
    </row>
    <row r="69" spans="2:32" x14ac:dyDescent="0.2">
      <c r="D69" s="31" t="s">
        <v>39</v>
      </c>
      <c r="F69" s="27">
        <f t="shared" si="0"/>
        <v>0</v>
      </c>
      <c r="H69" s="29"/>
      <c r="I69" s="31" t="s">
        <v>39</v>
      </c>
      <c r="K69" s="27">
        <f t="shared" si="1"/>
        <v>0</v>
      </c>
      <c r="N69" s="31" t="s">
        <v>39</v>
      </c>
      <c r="P69" s="27">
        <f t="shared" si="2"/>
        <v>0</v>
      </c>
      <c r="S69" s="31" t="s">
        <v>39</v>
      </c>
      <c r="U69" s="27">
        <f t="shared" si="3"/>
        <v>0</v>
      </c>
      <c r="X69" s="31" t="s">
        <v>39</v>
      </c>
      <c r="Z69" s="27">
        <f t="shared" si="4"/>
        <v>0</v>
      </c>
      <c r="AC69" s="31" t="s">
        <v>39</v>
      </c>
      <c r="AE69" s="27">
        <f t="shared" si="5"/>
        <v>0</v>
      </c>
    </row>
    <row r="70" spans="2:32" x14ac:dyDescent="0.2">
      <c r="D70" s="31" t="s">
        <v>40</v>
      </c>
      <c r="F70" s="27">
        <f t="shared" si="0"/>
        <v>0</v>
      </c>
      <c r="H70" s="29"/>
      <c r="I70" s="31" t="s">
        <v>40</v>
      </c>
      <c r="K70" s="27">
        <f t="shared" si="1"/>
        <v>0</v>
      </c>
      <c r="N70" s="31" t="s">
        <v>40</v>
      </c>
      <c r="P70" s="27">
        <f t="shared" si="2"/>
        <v>0</v>
      </c>
      <c r="S70" s="31" t="s">
        <v>40</v>
      </c>
      <c r="U70" s="27">
        <f t="shared" si="3"/>
        <v>0</v>
      </c>
      <c r="X70" s="31" t="s">
        <v>40</v>
      </c>
      <c r="Z70" s="27">
        <f t="shared" si="4"/>
        <v>0</v>
      </c>
      <c r="AC70" s="31" t="s">
        <v>40</v>
      </c>
      <c r="AE70" s="27">
        <f t="shared" si="5"/>
        <v>0</v>
      </c>
    </row>
    <row r="71" spans="2:32" x14ac:dyDescent="0.2">
      <c r="D71" s="31" t="s">
        <v>41</v>
      </c>
      <c r="F71" s="27">
        <f t="shared" si="0"/>
        <v>0</v>
      </c>
      <c r="H71" s="29"/>
      <c r="I71" s="31" t="s">
        <v>41</v>
      </c>
      <c r="K71" s="27">
        <f t="shared" si="1"/>
        <v>0</v>
      </c>
      <c r="N71" s="31" t="s">
        <v>41</v>
      </c>
      <c r="P71" s="27">
        <f t="shared" si="2"/>
        <v>0</v>
      </c>
      <c r="S71" s="31" t="s">
        <v>41</v>
      </c>
      <c r="U71" s="27">
        <f t="shared" si="3"/>
        <v>0</v>
      </c>
      <c r="X71" s="31" t="s">
        <v>41</v>
      </c>
      <c r="Z71" s="27">
        <f t="shared" si="4"/>
        <v>0</v>
      </c>
      <c r="AC71" s="31" t="s">
        <v>41</v>
      </c>
      <c r="AE71" s="27">
        <f t="shared" si="5"/>
        <v>0</v>
      </c>
    </row>
    <row r="72" spans="2:32" x14ac:dyDescent="0.2">
      <c r="D72" s="31" t="s">
        <v>42</v>
      </c>
      <c r="F72" s="27">
        <f t="shared" si="0"/>
        <v>0</v>
      </c>
      <c r="H72" s="29"/>
      <c r="I72" s="31" t="s">
        <v>42</v>
      </c>
      <c r="K72" s="27">
        <f t="shared" si="1"/>
        <v>0</v>
      </c>
      <c r="N72" s="31" t="s">
        <v>42</v>
      </c>
      <c r="P72" s="27">
        <f t="shared" si="2"/>
        <v>0</v>
      </c>
      <c r="S72" s="31" t="s">
        <v>42</v>
      </c>
      <c r="U72" s="27">
        <f t="shared" si="3"/>
        <v>0</v>
      </c>
      <c r="X72" s="31" t="s">
        <v>42</v>
      </c>
      <c r="Z72" s="27">
        <f t="shared" si="4"/>
        <v>0</v>
      </c>
      <c r="AC72" s="31" t="s">
        <v>42</v>
      </c>
      <c r="AE72" s="27">
        <f t="shared" si="5"/>
        <v>0</v>
      </c>
    </row>
    <row r="73" spans="2:32" x14ac:dyDescent="0.2">
      <c r="D73" s="31" t="s">
        <v>43</v>
      </c>
      <c r="F73" s="27">
        <f t="shared" si="0"/>
        <v>0</v>
      </c>
      <c r="I73" s="31" t="s">
        <v>43</v>
      </c>
      <c r="K73" s="27">
        <f t="shared" si="1"/>
        <v>0</v>
      </c>
      <c r="N73" s="31" t="s">
        <v>43</v>
      </c>
      <c r="P73" s="27">
        <f t="shared" si="2"/>
        <v>0</v>
      </c>
      <c r="S73" s="31" t="s">
        <v>43</v>
      </c>
      <c r="U73" s="27">
        <f t="shared" si="3"/>
        <v>0</v>
      </c>
      <c r="X73" s="31" t="s">
        <v>43</v>
      </c>
      <c r="Z73" s="27">
        <f t="shared" si="4"/>
        <v>0</v>
      </c>
      <c r="AC73" s="31" t="s">
        <v>43</v>
      </c>
      <c r="AE73" s="27">
        <f t="shared" si="5"/>
        <v>0</v>
      </c>
    </row>
    <row r="74" spans="2:32" x14ac:dyDescent="0.2">
      <c r="D74" s="31" t="s">
        <v>44</v>
      </c>
      <c r="F74" s="27">
        <f t="shared" si="0"/>
        <v>0</v>
      </c>
      <c r="I74" s="31" t="s">
        <v>44</v>
      </c>
      <c r="K74" s="27">
        <f t="shared" si="1"/>
        <v>0</v>
      </c>
      <c r="N74" s="31" t="s">
        <v>44</v>
      </c>
      <c r="P74" s="27">
        <f t="shared" si="2"/>
        <v>0</v>
      </c>
      <c r="S74" s="31" t="s">
        <v>44</v>
      </c>
      <c r="U74" s="27">
        <f t="shared" si="3"/>
        <v>0</v>
      </c>
      <c r="X74" s="31" t="s">
        <v>44</v>
      </c>
      <c r="Z74" s="27">
        <f t="shared" si="4"/>
        <v>0</v>
      </c>
      <c r="AC74" s="31" t="s">
        <v>44</v>
      </c>
      <c r="AE74" s="27">
        <f t="shared" si="5"/>
        <v>0</v>
      </c>
    </row>
    <row r="75" spans="2:32" x14ac:dyDescent="0.2">
      <c r="D75" s="31" t="s">
        <v>45</v>
      </c>
      <c r="F75" s="27">
        <f t="shared" si="0"/>
        <v>0</v>
      </c>
      <c r="I75" s="31" t="s">
        <v>45</v>
      </c>
      <c r="K75" s="27">
        <f t="shared" si="1"/>
        <v>0</v>
      </c>
      <c r="N75" s="31" t="s">
        <v>45</v>
      </c>
      <c r="P75" s="27">
        <f t="shared" si="2"/>
        <v>0</v>
      </c>
      <c r="S75" s="31" t="s">
        <v>45</v>
      </c>
      <c r="U75" s="27">
        <f t="shared" si="3"/>
        <v>0</v>
      </c>
      <c r="X75" s="31" t="s">
        <v>45</v>
      </c>
      <c r="Z75" s="27">
        <f t="shared" si="4"/>
        <v>0</v>
      </c>
      <c r="AC75" s="31" t="s">
        <v>45</v>
      </c>
      <c r="AE75" s="27">
        <f t="shared" si="5"/>
        <v>0</v>
      </c>
    </row>
    <row r="76" spans="2:32" x14ac:dyDescent="0.2">
      <c r="D76" s="31" t="s">
        <v>46</v>
      </c>
      <c r="F76" s="27">
        <f t="shared" si="0"/>
        <v>0</v>
      </c>
      <c r="I76" s="31" t="s">
        <v>46</v>
      </c>
      <c r="K76" s="27">
        <f t="shared" si="1"/>
        <v>0</v>
      </c>
      <c r="N76" s="31" t="s">
        <v>46</v>
      </c>
      <c r="P76" s="27">
        <f t="shared" si="2"/>
        <v>0</v>
      </c>
      <c r="S76" s="31" t="s">
        <v>46</v>
      </c>
      <c r="U76" s="27">
        <f t="shared" si="3"/>
        <v>0</v>
      </c>
      <c r="X76" s="31" t="s">
        <v>46</v>
      </c>
      <c r="Z76" s="27">
        <f t="shared" si="4"/>
        <v>0</v>
      </c>
      <c r="AC76" s="31" t="s">
        <v>46</v>
      </c>
      <c r="AE76" s="27">
        <f t="shared" si="5"/>
        <v>0</v>
      </c>
    </row>
    <row r="77" spans="2:32" x14ac:dyDescent="0.2">
      <c r="D77" s="31" t="s">
        <v>47</v>
      </c>
      <c r="F77" s="27">
        <f t="shared" si="0"/>
        <v>0</v>
      </c>
      <c r="I77" s="31" t="s">
        <v>47</v>
      </c>
      <c r="K77" s="27">
        <f t="shared" si="1"/>
        <v>0</v>
      </c>
      <c r="N77" s="31" t="s">
        <v>47</v>
      </c>
      <c r="P77" s="27">
        <f t="shared" si="2"/>
        <v>0</v>
      </c>
      <c r="S77" s="31" t="s">
        <v>47</v>
      </c>
      <c r="U77" s="27">
        <f t="shared" si="3"/>
        <v>0</v>
      </c>
      <c r="X77" s="31" t="s">
        <v>47</v>
      </c>
      <c r="Z77" s="27">
        <f t="shared" si="4"/>
        <v>0</v>
      </c>
      <c r="AC77" s="31" t="s">
        <v>47</v>
      </c>
      <c r="AE77" s="27">
        <f t="shared" si="5"/>
        <v>0</v>
      </c>
    </row>
    <row r="78" spans="2:32" x14ac:dyDescent="0.2">
      <c r="D78" s="31" t="s">
        <v>48</v>
      </c>
      <c r="F78" s="27">
        <f t="shared" si="0"/>
        <v>0</v>
      </c>
      <c r="I78" s="31" t="s">
        <v>48</v>
      </c>
      <c r="K78" s="27">
        <f t="shared" si="1"/>
        <v>0</v>
      </c>
      <c r="N78" s="31" t="s">
        <v>48</v>
      </c>
      <c r="P78" s="27">
        <f t="shared" si="2"/>
        <v>0</v>
      </c>
      <c r="S78" s="31" t="s">
        <v>48</v>
      </c>
      <c r="U78" s="27">
        <f t="shared" si="3"/>
        <v>0</v>
      </c>
      <c r="X78" s="31" t="s">
        <v>48</v>
      </c>
      <c r="Z78" s="27">
        <f t="shared" si="4"/>
        <v>0</v>
      </c>
      <c r="AC78" s="31" t="s">
        <v>48</v>
      </c>
      <c r="AE78" s="27">
        <f t="shared" si="5"/>
        <v>0</v>
      </c>
    </row>
    <row r="79" spans="2:32" x14ac:dyDescent="0.2">
      <c r="D79" s="31" t="s">
        <v>49</v>
      </c>
      <c r="F79" s="27">
        <f t="shared" si="0"/>
        <v>0</v>
      </c>
      <c r="I79" s="31" t="s">
        <v>49</v>
      </c>
      <c r="K79" s="27">
        <f t="shared" si="1"/>
        <v>0</v>
      </c>
      <c r="N79" s="31" t="s">
        <v>49</v>
      </c>
      <c r="P79" s="27">
        <f t="shared" si="2"/>
        <v>0</v>
      </c>
      <c r="S79" s="31" t="s">
        <v>49</v>
      </c>
      <c r="U79" s="27">
        <f t="shared" si="3"/>
        <v>0</v>
      </c>
      <c r="X79" s="31" t="s">
        <v>49</v>
      </c>
      <c r="Z79" s="27">
        <f t="shared" si="4"/>
        <v>0</v>
      </c>
      <c r="AC79" s="31" t="s">
        <v>49</v>
      </c>
      <c r="AE79" s="27">
        <f t="shared" si="5"/>
        <v>0</v>
      </c>
    </row>
    <row r="80" spans="2:32" x14ac:dyDescent="0.2">
      <c r="D80" s="31" t="s">
        <v>50</v>
      </c>
      <c r="F80" s="27">
        <f t="shared" si="0"/>
        <v>0</v>
      </c>
      <c r="I80" s="31" t="s">
        <v>50</v>
      </c>
      <c r="K80" s="27">
        <f t="shared" si="1"/>
        <v>0</v>
      </c>
      <c r="M80" s="102"/>
      <c r="N80" s="31" t="s">
        <v>50</v>
      </c>
      <c r="P80" s="27">
        <f t="shared" si="2"/>
        <v>0</v>
      </c>
      <c r="S80" s="31" t="s">
        <v>50</v>
      </c>
      <c r="U80" s="27">
        <f t="shared" si="3"/>
        <v>0</v>
      </c>
      <c r="X80" s="31" t="s">
        <v>50</v>
      </c>
      <c r="Z80" s="27">
        <f t="shared" si="4"/>
        <v>0</v>
      </c>
      <c r="AC80" s="31" t="s">
        <v>50</v>
      </c>
      <c r="AE80" s="27">
        <f t="shared" si="5"/>
        <v>0</v>
      </c>
    </row>
    <row r="81" spans="4:29" x14ac:dyDescent="0.2">
      <c r="D81" s="31"/>
      <c r="I81" s="31"/>
      <c r="M81" s="103"/>
      <c r="N81" s="31"/>
      <c r="S81" s="31"/>
      <c r="X81" s="31"/>
      <c r="AC81" s="31"/>
    </row>
    <row r="82" spans="4:29" x14ac:dyDescent="0.2">
      <c r="D82" s="31"/>
      <c r="I82" s="31"/>
      <c r="M82" s="103"/>
      <c r="N82" s="31"/>
      <c r="S82" s="31"/>
      <c r="X82" s="31"/>
      <c r="AC82" s="31"/>
    </row>
    <row r="83" spans="4:29" x14ac:dyDescent="0.2">
      <c r="M83" s="103"/>
    </row>
    <row r="84" spans="4:29" x14ac:dyDescent="0.2">
      <c r="M84" s="103"/>
    </row>
    <row r="85" spans="4:29" ht="13.5" thickBot="1" x14ac:dyDescent="0.25">
      <c r="M85" s="103"/>
    </row>
    <row r="86" spans="4:29" ht="12.75" customHeight="1" x14ac:dyDescent="0.2">
      <c r="D86" s="104" t="s">
        <v>38</v>
      </c>
      <c r="F86" s="33" t="s">
        <v>51</v>
      </c>
    </row>
    <row r="87" spans="4:29" x14ac:dyDescent="0.2">
      <c r="D87" s="105" t="s">
        <v>39</v>
      </c>
      <c r="F87" s="34" t="s">
        <v>52</v>
      </c>
    </row>
    <row r="88" spans="4:29" x14ac:dyDescent="0.2">
      <c r="D88" s="105" t="s">
        <v>40</v>
      </c>
      <c r="F88" s="34" t="s">
        <v>53</v>
      </c>
    </row>
    <row r="89" spans="4:29" x14ac:dyDescent="0.2">
      <c r="D89" s="105" t="s">
        <v>43</v>
      </c>
      <c r="F89" s="34" t="s">
        <v>54</v>
      </c>
    </row>
    <row r="90" spans="4:29" x14ac:dyDescent="0.2">
      <c r="D90" s="105" t="s">
        <v>42</v>
      </c>
      <c r="F90" s="34" t="s">
        <v>55</v>
      </c>
    </row>
    <row r="91" spans="4:29" x14ac:dyDescent="0.2">
      <c r="D91" s="105" t="s">
        <v>41</v>
      </c>
      <c r="F91" s="34"/>
    </row>
    <row r="92" spans="4:29" x14ac:dyDescent="0.2">
      <c r="D92" s="105" t="s">
        <v>44</v>
      </c>
      <c r="F92" s="34"/>
    </row>
    <row r="93" spans="4:29" ht="13.5" thickBot="1" x14ac:dyDescent="0.25">
      <c r="D93" s="106" t="s">
        <v>45</v>
      </c>
      <c r="F93" s="34"/>
    </row>
    <row r="94" spans="4:29" x14ac:dyDescent="0.2">
      <c r="D94" s="105" t="s">
        <v>46</v>
      </c>
      <c r="F94" s="34"/>
    </row>
    <row r="95" spans="4:29" x14ac:dyDescent="0.2">
      <c r="D95" s="105" t="s">
        <v>47</v>
      </c>
      <c r="F95" s="34"/>
    </row>
    <row r="96" spans="4:29" x14ac:dyDescent="0.2">
      <c r="D96" s="105" t="s">
        <v>48</v>
      </c>
      <c r="F96" s="34"/>
    </row>
    <row r="97" spans="4:6" x14ac:dyDescent="0.2">
      <c r="D97" s="105" t="s">
        <v>49</v>
      </c>
      <c r="F97" s="34"/>
    </row>
    <row r="98" spans="4:6" x14ac:dyDescent="0.2">
      <c r="D98" s="105" t="s">
        <v>50</v>
      </c>
      <c r="F98" s="34"/>
    </row>
    <row r="99" spans="4:6" x14ac:dyDescent="0.2">
      <c r="D99" s="105" t="s">
        <v>56</v>
      </c>
      <c r="F99" s="34"/>
    </row>
    <row r="100" spans="4:6" x14ac:dyDescent="0.2">
      <c r="D100" s="105" t="s">
        <v>57</v>
      </c>
      <c r="F100" s="34"/>
    </row>
    <row r="101" spans="4:6" x14ac:dyDescent="0.2">
      <c r="D101" s="105" t="s">
        <v>58</v>
      </c>
      <c r="F101" s="34"/>
    </row>
    <row r="102" spans="4:6" x14ac:dyDescent="0.2">
      <c r="D102" s="105" t="s">
        <v>59</v>
      </c>
      <c r="F102" s="34"/>
    </row>
    <row r="103" spans="4:6" x14ac:dyDescent="0.2">
      <c r="D103" s="105" t="s">
        <v>60</v>
      </c>
      <c r="F103" s="34"/>
    </row>
    <row r="104" spans="4:6" x14ac:dyDescent="0.2">
      <c r="D104" s="105" t="s">
        <v>61</v>
      </c>
      <c r="F104" s="34"/>
    </row>
    <row r="105" spans="4:6" x14ac:dyDescent="0.2">
      <c r="D105" s="105" t="s">
        <v>62</v>
      </c>
      <c r="F105" s="34"/>
    </row>
    <row r="106" spans="4:6" ht="12.75" customHeight="1" thickBot="1" x14ac:dyDescent="0.25">
      <c r="D106" s="106" t="s">
        <v>63</v>
      </c>
      <c r="F106" s="35"/>
    </row>
    <row r="108" spans="4:6" ht="12.75" customHeight="1" x14ac:dyDescent="0.2"/>
    <row r="109" spans="4:6" ht="12.75" customHeight="1" x14ac:dyDescent="0.2"/>
    <row r="112" spans="4:6" x14ac:dyDescent="0.2">
      <c r="D112" s="103"/>
    </row>
    <row r="113" spans="4:4" ht="12.75" customHeight="1" x14ac:dyDescent="0.2">
      <c r="D113" s="103"/>
    </row>
    <row r="114" spans="4:4" ht="12.75" customHeight="1" x14ac:dyDescent="0.2">
      <c r="D114" s="103"/>
    </row>
    <row r="115" spans="4:4" x14ac:dyDescent="0.2">
      <c r="D115" s="103"/>
    </row>
    <row r="116" spans="4:4" x14ac:dyDescent="0.2">
      <c r="D116" s="103"/>
    </row>
    <row r="117" spans="4:4" x14ac:dyDescent="0.2">
      <c r="D117" s="103"/>
    </row>
    <row r="118" spans="4:4" x14ac:dyDescent="0.2">
      <c r="D118" s="103"/>
    </row>
    <row r="119" spans="4:4" ht="12.75" customHeight="1" x14ac:dyDescent="0.2">
      <c r="D119" s="103"/>
    </row>
    <row r="120" spans="4:4" x14ac:dyDescent="0.2">
      <c r="D120" s="103"/>
    </row>
    <row r="121" spans="4:4" x14ac:dyDescent="0.2">
      <c r="D121" s="103"/>
    </row>
    <row r="122" spans="4:4" x14ac:dyDescent="0.2">
      <c r="D122" s="103"/>
    </row>
    <row r="123" spans="4:4" x14ac:dyDescent="0.2">
      <c r="D123" s="103"/>
    </row>
    <row r="124" spans="4:4" x14ac:dyDescent="0.2">
      <c r="D124" s="103"/>
    </row>
    <row r="125" spans="4:4" x14ac:dyDescent="0.2">
      <c r="D125" s="103"/>
    </row>
    <row r="126" spans="4:4" x14ac:dyDescent="0.2">
      <c r="D126" s="103"/>
    </row>
    <row r="127" spans="4:4" x14ac:dyDescent="0.2">
      <c r="D127" s="103"/>
    </row>
    <row r="128" spans="4:4" x14ac:dyDescent="0.2">
      <c r="D128" s="103"/>
    </row>
    <row r="129" spans="4:4" x14ac:dyDescent="0.2">
      <c r="D129" s="103"/>
    </row>
    <row r="130" spans="4:4" x14ac:dyDescent="0.2">
      <c r="D130" s="103"/>
    </row>
    <row r="131" spans="4:4" x14ac:dyDescent="0.2">
      <c r="D131" s="103"/>
    </row>
    <row r="132" spans="4:4" x14ac:dyDescent="0.2">
      <c r="D132" s="103"/>
    </row>
    <row r="133" spans="4:4" x14ac:dyDescent="0.2">
      <c r="D133" s="103"/>
    </row>
    <row r="136" spans="4:4" x14ac:dyDescent="0.2">
      <c r="D136" s="103"/>
    </row>
    <row r="137" spans="4:4" x14ac:dyDescent="0.2">
      <c r="D137" s="103"/>
    </row>
    <row r="138" spans="4:4" x14ac:dyDescent="0.2">
      <c r="D138" s="103"/>
    </row>
    <row r="139" spans="4:4" x14ac:dyDescent="0.2">
      <c r="D139" s="103"/>
    </row>
    <row r="140" spans="4:4" x14ac:dyDescent="0.2">
      <c r="D140" s="103"/>
    </row>
    <row r="141" spans="4:4" x14ac:dyDescent="0.2">
      <c r="D141" s="103"/>
    </row>
    <row r="142" spans="4:4" x14ac:dyDescent="0.2">
      <c r="D142" s="103"/>
    </row>
    <row r="143" spans="4:4" x14ac:dyDescent="0.2">
      <c r="D143" s="103"/>
    </row>
    <row r="144" spans="4:4" x14ac:dyDescent="0.2">
      <c r="D144" s="103"/>
    </row>
    <row r="145" spans="4:4" x14ac:dyDescent="0.2">
      <c r="D145" s="103"/>
    </row>
    <row r="146" spans="4:4" x14ac:dyDescent="0.2">
      <c r="D146" s="103"/>
    </row>
    <row r="147" spans="4:4" x14ac:dyDescent="0.2">
      <c r="D147" s="103"/>
    </row>
    <row r="148" spans="4:4" x14ac:dyDescent="0.2">
      <c r="D148" s="103"/>
    </row>
    <row r="149" spans="4:4" x14ac:dyDescent="0.2">
      <c r="D149" s="103"/>
    </row>
    <row r="150" spans="4:4" x14ac:dyDescent="0.2">
      <c r="D150" s="103"/>
    </row>
  </sheetData>
  <mergeCells count="451">
    <mergeCell ref="C5:D5"/>
    <mergeCell ref="E5:G5"/>
    <mergeCell ref="H5:I5"/>
    <mergeCell ref="J5:L5"/>
    <mergeCell ref="M5:N5"/>
    <mergeCell ref="O5:Q5"/>
    <mergeCell ref="C1:AA1"/>
    <mergeCell ref="E2:G2"/>
    <mergeCell ref="J2:L2"/>
    <mergeCell ref="O2:Q2"/>
    <mergeCell ref="T2:V2"/>
    <mergeCell ref="Y2:AA2"/>
    <mergeCell ref="W3:X4"/>
    <mergeCell ref="Y3:AA4"/>
    <mergeCell ref="AD3:AF4"/>
    <mergeCell ref="R6:S6"/>
    <mergeCell ref="U6:V6"/>
    <mergeCell ref="W6:X6"/>
    <mergeCell ref="Z6:AA6"/>
    <mergeCell ref="R5:S5"/>
    <mergeCell ref="T5:V5"/>
    <mergeCell ref="W5:X5"/>
    <mergeCell ref="Y5:AA5"/>
    <mergeCell ref="AB5:AC5"/>
    <mergeCell ref="AD5:AF5"/>
    <mergeCell ref="AB6:AC6"/>
    <mergeCell ref="AE6:AF6"/>
    <mergeCell ref="AD2:AF2"/>
    <mergeCell ref="B3:B7"/>
    <mergeCell ref="C3:D4"/>
    <mergeCell ref="E3:G4"/>
    <mergeCell ref="H3:I4"/>
    <mergeCell ref="J3:L4"/>
    <mergeCell ref="M3:N4"/>
    <mergeCell ref="O3:Q4"/>
    <mergeCell ref="R3:S4"/>
    <mergeCell ref="T3:V4"/>
    <mergeCell ref="AE7:AF7"/>
    <mergeCell ref="C7:D7"/>
    <mergeCell ref="F7:G7"/>
    <mergeCell ref="H7:I7"/>
    <mergeCell ref="K7:L7"/>
    <mergeCell ref="M7:N7"/>
    <mergeCell ref="P7:Q7"/>
    <mergeCell ref="P6:Q6"/>
    <mergeCell ref="R7:S7"/>
    <mergeCell ref="U7:V7"/>
    <mergeCell ref="W7:X7"/>
    <mergeCell ref="Z7:AA7"/>
    <mergeCell ref="AB7:AC7"/>
    <mergeCell ref="AB3:AC4"/>
    <mergeCell ref="C6:D6"/>
    <mergeCell ref="F6:G6"/>
    <mergeCell ref="H6:I6"/>
    <mergeCell ref="K6:L6"/>
    <mergeCell ref="M6:N6"/>
    <mergeCell ref="Y8:AA9"/>
    <mergeCell ref="AB8:AC9"/>
    <mergeCell ref="C8:D9"/>
    <mergeCell ref="E8:G9"/>
    <mergeCell ref="H8:I9"/>
    <mergeCell ref="J8:L9"/>
    <mergeCell ref="M8:N9"/>
    <mergeCell ref="O8:Q9"/>
    <mergeCell ref="R8:S9"/>
    <mergeCell ref="T8:V9"/>
    <mergeCell ref="W8:X9"/>
    <mergeCell ref="E10:G10"/>
    <mergeCell ref="H10:I10"/>
    <mergeCell ref="J10:L10"/>
    <mergeCell ref="M10:N10"/>
    <mergeCell ref="O10:Q10"/>
    <mergeCell ref="R10:S10"/>
    <mergeCell ref="C11:D11"/>
    <mergeCell ref="F11:G11"/>
    <mergeCell ref="H11:I11"/>
    <mergeCell ref="K11:L11"/>
    <mergeCell ref="M11:N11"/>
    <mergeCell ref="P11:Q11"/>
    <mergeCell ref="AE12:AF12"/>
    <mergeCell ref="P12:Q12"/>
    <mergeCell ref="R12:S12"/>
    <mergeCell ref="U12:V12"/>
    <mergeCell ref="AD15:AF15"/>
    <mergeCell ref="AD13:AF14"/>
    <mergeCell ref="U11:V11"/>
    <mergeCell ref="W11:X11"/>
    <mergeCell ref="AD8:AF9"/>
    <mergeCell ref="Y10:AA10"/>
    <mergeCell ref="AB10:AC10"/>
    <mergeCell ref="AD10:AF10"/>
    <mergeCell ref="T10:V10"/>
    <mergeCell ref="W10:X10"/>
    <mergeCell ref="AE11:AF11"/>
    <mergeCell ref="Y15:AA15"/>
    <mergeCell ref="AB15:AC15"/>
    <mergeCell ref="C15:D15"/>
    <mergeCell ref="E15:G15"/>
    <mergeCell ref="H15:I15"/>
    <mergeCell ref="J15:L15"/>
    <mergeCell ref="M15:N15"/>
    <mergeCell ref="O15:Q15"/>
    <mergeCell ref="Z11:AA11"/>
    <mergeCell ref="AB11:AC11"/>
    <mergeCell ref="W12:X12"/>
    <mergeCell ref="Z12:AA12"/>
    <mergeCell ref="AB12:AC12"/>
    <mergeCell ref="R11:S11"/>
    <mergeCell ref="W13:X14"/>
    <mergeCell ref="Y13:AA14"/>
    <mergeCell ref="AB13:AC14"/>
    <mergeCell ref="B13:B17"/>
    <mergeCell ref="C13:D14"/>
    <mergeCell ref="E13:G14"/>
    <mergeCell ref="H13:I14"/>
    <mergeCell ref="J13:L14"/>
    <mergeCell ref="B8:B12"/>
    <mergeCell ref="R15:S15"/>
    <mergeCell ref="T15:V15"/>
    <mergeCell ref="W15:X15"/>
    <mergeCell ref="M13:N14"/>
    <mergeCell ref="O13:Q14"/>
    <mergeCell ref="R13:S14"/>
    <mergeCell ref="T13:V14"/>
    <mergeCell ref="W16:X16"/>
    <mergeCell ref="R16:S16"/>
    <mergeCell ref="U16:V16"/>
    <mergeCell ref="R17:S17"/>
    <mergeCell ref="U17:V17"/>
    <mergeCell ref="C12:D12"/>
    <mergeCell ref="F12:G12"/>
    <mergeCell ref="H12:I12"/>
    <mergeCell ref="K12:L12"/>
    <mergeCell ref="M12:N12"/>
    <mergeCell ref="C10:D10"/>
    <mergeCell ref="AE16:AF16"/>
    <mergeCell ref="C16:D16"/>
    <mergeCell ref="F16:G16"/>
    <mergeCell ref="H16:I16"/>
    <mergeCell ref="K16:L16"/>
    <mergeCell ref="M16:N16"/>
    <mergeCell ref="P16:Q16"/>
    <mergeCell ref="C17:D17"/>
    <mergeCell ref="F17:G17"/>
    <mergeCell ref="H17:I17"/>
    <mergeCell ref="K17:L17"/>
    <mergeCell ref="M17:N17"/>
    <mergeCell ref="P17:Q17"/>
    <mergeCell ref="Z16:AA16"/>
    <mergeCell ref="AB16:AC16"/>
    <mergeCell ref="O18:Q19"/>
    <mergeCell ref="R18:S19"/>
    <mergeCell ref="T18:V19"/>
    <mergeCell ref="Y20:AA20"/>
    <mergeCell ref="AB20:AC20"/>
    <mergeCell ref="AD20:AF20"/>
    <mergeCell ref="W17:X17"/>
    <mergeCell ref="Z17:AA17"/>
    <mergeCell ref="AB17:AC17"/>
    <mergeCell ref="AE17:AF17"/>
    <mergeCell ref="Y18:AA19"/>
    <mergeCell ref="AB18:AC19"/>
    <mergeCell ref="W20:X20"/>
    <mergeCell ref="W18:X19"/>
    <mergeCell ref="C21:D21"/>
    <mergeCell ref="F21:G21"/>
    <mergeCell ref="H21:I21"/>
    <mergeCell ref="K21:L21"/>
    <mergeCell ref="M21:N21"/>
    <mergeCell ref="AD18:AF19"/>
    <mergeCell ref="C20:D20"/>
    <mergeCell ref="E20:G20"/>
    <mergeCell ref="H20:I20"/>
    <mergeCell ref="J20:L20"/>
    <mergeCell ref="P21:Q21"/>
    <mergeCell ref="R21:S21"/>
    <mergeCell ref="U21:V21"/>
    <mergeCell ref="W21:X21"/>
    <mergeCell ref="AE21:AF21"/>
    <mergeCell ref="C18:D19"/>
    <mergeCell ref="E18:G19"/>
    <mergeCell ref="H18:I19"/>
    <mergeCell ref="J18:L19"/>
    <mergeCell ref="M18:N19"/>
    <mergeCell ref="M20:N20"/>
    <mergeCell ref="O20:Q20"/>
    <mergeCell ref="R20:S20"/>
    <mergeCell ref="T20:V20"/>
    <mergeCell ref="P22:Q22"/>
    <mergeCell ref="R22:S22"/>
    <mergeCell ref="U22:V22"/>
    <mergeCell ref="W22:X22"/>
    <mergeCell ref="Z22:AA22"/>
    <mergeCell ref="AB22:AC22"/>
    <mergeCell ref="C25:D25"/>
    <mergeCell ref="E25:G25"/>
    <mergeCell ref="H25:I25"/>
    <mergeCell ref="J25:L25"/>
    <mergeCell ref="M25:N25"/>
    <mergeCell ref="O25:Q25"/>
    <mergeCell ref="C22:D22"/>
    <mergeCell ref="F22:G22"/>
    <mergeCell ref="H22:I22"/>
    <mergeCell ref="K22:L22"/>
    <mergeCell ref="M22:N22"/>
    <mergeCell ref="R26:S26"/>
    <mergeCell ref="U26:V26"/>
    <mergeCell ref="R27:S27"/>
    <mergeCell ref="U27:V27"/>
    <mergeCell ref="Z21:AA21"/>
    <mergeCell ref="AB21:AC21"/>
    <mergeCell ref="AD25:AF25"/>
    <mergeCell ref="W23:X24"/>
    <mergeCell ref="Y23:AA24"/>
    <mergeCell ref="AB23:AC24"/>
    <mergeCell ref="AD23:AF24"/>
    <mergeCell ref="Y25:AA25"/>
    <mergeCell ref="AB25:AC25"/>
    <mergeCell ref="Z26:AA26"/>
    <mergeCell ref="AB26:AC26"/>
    <mergeCell ref="AE26:AF26"/>
    <mergeCell ref="AE22:AF22"/>
    <mergeCell ref="B23:B27"/>
    <mergeCell ref="C23:D24"/>
    <mergeCell ref="E23:G24"/>
    <mergeCell ref="H23:I24"/>
    <mergeCell ref="J23:L24"/>
    <mergeCell ref="B18:B22"/>
    <mergeCell ref="R25:S25"/>
    <mergeCell ref="T25:V25"/>
    <mergeCell ref="W25:X25"/>
    <mergeCell ref="M23:N24"/>
    <mergeCell ref="O23:Q24"/>
    <mergeCell ref="R23:S24"/>
    <mergeCell ref="T23:V24"/>
    <mergeCell ref="W26:X26"/>
    <mergeCell ref="C26:D26"/>
    <mergeCell ref="F26:G26"/>
    <mergeCell ref="H26:I26"/>
    <mergeCell ref="K26:L26"/>
    <mergeCell ref="M26:N26"/>
    <mergeCell ref="P26:Q26"/>
    <mergeCell ref="C27:D27"/>
    <mergeCell ref="F27:G27"/>
    <mergeCell ref="H27:I27"/>
    <mergeCell ref="K27:L27"/>
    <mergeCell ref="M27:N27"/>
    <mergeCell ref="P27:Q27"/>
    <mergeCell ref="Y30:AA30"/>
    <mergeCell ref="AB30:AC30"/>
    <mergeCell ref="AD30:AF30"/>
    <mergeCell ref="W27:X27"/>
    <mergeCell ref="Z27:AA27"/>
    <mergeCell ref="AB27:AC27"/>
    <mergeCell ref="AE27:AF27"/>
    <mergeCell ref="Y28:AA29"/>
    <mergeCell ref="AB28:AC29"/>
    <mergeCell ref="T28:V29"/>
    <mergeCell ref="W28:X29"/>
    <mergeCell ref="AD35:AF35"/>
    <mergeCell ref="AD33:AF34"/>
    <mergeCell ref="U31:V31"/>
    <mergeCell ref="W31:X31"/>
    <mergeCell ref="AD28:AF29"/>
    <mergeCell ref="C30:D30"/>
    <mergeCell ref="E30:G30"/>
    <mergeCell ref="H30:I30"/>
    <mergeCell ref="J30:L30"/>
    <mergeCell ref="M30:N30"/>
    <mergeCell ref="O30:Q30"/>
    <mergeCell ref="R30:S30"/>
    <mergeCell ref="C31:D31"/>
    <mergeCell ref="F31:G31"/>
    <mergeCell ref="H31:I31"/>
    <mergeCell ref="K31:L31"/>
    <mergeCell ref="M31:N31"/>
    <mergeCell ref="P31:Q31"/>
    <mergeCell ref="C28:D29"/>
    <mergeCell ref="E28:G29"/>
    <mergeCell ref="H28:I29"/>
    <mergeCell ref="J28:L29"/>
    <mergeCell ref="M28:N29"/>
    <mergeCell ref="T30:V30"/>
    <mergeCell ref="AE31:AF31"/>
    <mergeCell ref="C32:D32"/>
    <mergeCell ref="F32:G32"/>
    <mergeCell ref="H32:I32"/>
    <mergeCell ref="K32:L32"/>
    <mergeCell ref="M32:N32"/>
    <mergeCell ref="AE32:AF32"/>
    <mergeCell ref="P32:Q32"/>
    <mergeCell ref="R32:S32"/>
    <mergeCell ref="U32:V32"/>
    <mergeCell ref="Z31:AA31"/>
    <mergeCell ref="AB31:AC31"/>
    <mergeCell ref="W32:X32"/>
    <mergeCell ref="Z32:AA32"/>
    <mergeCell ref="AB32:AC32"/>
    <mergeCell ref="R31:S31"/>
    <mergeCell ref="Y35:AA35"/>
    <mergeCell ref="AB35:AC35"/>
    <mergeCell ref="Z36:AA36"/>
    <mergeCell ref="AB36:AC36"/>
    <mergeCell ref="C35:D35"/>
    <mergeCell ref="E35:G35"/>
    <mergeCell ref="H35:I35"/>
    <mergeCell ref="J35:L35"/>
    <mergeCell ref="M35:N35"/>
    <mergeCell ref="O35:Q35"/>
    <mergeCell ref="C36:D36"/>
    <mergeCell ref="F36:G36"/>
    <mergeCell ref="H36:I36"/>
    <mergeCell ref="K36:L36"/>
    <mergeCell ref="M36:N36"/>
    <mergeCell ref="P36:Q36"/>
    <mergeCell ref="W33:X34"/>
    <mergeCell ref="Y33:AA34"/>
    <mergeCell ref="AB33:AC34"/>
    <mergeCell ref="B33:B37"/>
    <mergeCell ref="C33:D34"/>
    <mergeCell ref="E33:G34"/>
    <mergeCell ref="H33:I34"/>
    <mergeCell ref="J33:L34"/>
    <mergeCell ref="B28:B32"/>
    <mergeCell ref="R35:S35"/>
    <mergeCell ref="T35:V35"/>
    <mergeCell ref="W35:X35"/>
    <mergeCell ref="M33:N34"/>
    <mergeCell ref="O33:Q34"/>
    <mergeCell ref="R33:S34"/>
    <mergeCell ref="T33:V34"/>
    <mergeCell ref="W36:X36"/>
    <mergeCell ref="R36:S36"/>
    <mergeCell ref="U36:V36"/>
    <mergeCell ref="R37:S37"/>
    <mergeCell ref="U37:V37"/>
    <mergeCell ref="W30:X30"/>
    <mergeCell ref="O28:Q29"/>
    <mergeCell ref="R28:S29"/>
    <mergeCell ref="C37:D37"/>
    <mergeCell ref="F37:G37"/>
    <mergeCell ref="H37:I37"/>
    <mergeCell ref="K37:L37"/>
    <mergeCell ref="M37:N37"/>
    <mergeCell ref="P37:Q37"/>
    <mergeCell ref="AD40:AF40"/>
    <mergeCell ref="W37:X37"/>
    <mergeCell ref="Z37:AA37"/>
    <mergeCell ref="AB37:AC37"/>
    <mergeCell ref="AE37:AF37"/>
    <mergeCell ref="Y38:AA39"/>
    <mergeCell ref="AB38:AC39"/>
    <mergeCell ref="AD38:AF39"/>
    <mergeCell ref="J40:L40"/>
    <mergeCell ref="M40:N40"/>
    <mergeCell ref="O40:Q40"/>
    <mergeCell ref="AE36:AF36"/>
    <mergeCell ref="C41:D41"/>
    <mergeCell ref="F41:G41"/>
    <mergeCell ref="H41:I41"/>
    <mergeCell ref="K41:L41"/>
    <mergeCell ref="M41:N41"/>
    <mergeCell ref="P41:Q41"/>
    <mergeCell ref="W38:X39"/>
    <mergeCell ref="Y40:AA40"/>
    <mergeCell ref="AB40:AC40"/>
    <mergeCell ref="C38:D39"/>
    <mergeCell ref="E38:G39"/>
    <mergeCell ref="H38:I39"/>
    <mergeCell ref="J38:L39"/>
    <mergeCell ref="M38:N39"/>
    <mergeCell ref="R40:S40"/>
    <mergeCell ref="T40:V40"/>
    <mergeCell ref="W40:X40"/>
    <mergeCell ref="O38:Q39"/>
    <mergeCell ref="R38:S39"/>
    <mergeCell ref="T38:V39"/>
    <mergeCell ref="C40:D40"/>
    <mergeCell ref="E40:G40"/>
    <mergeCell ref="H40:I40"/>
    <mergeCell ref="Z41:AA41"/>
    <mergeCell ref="AB41:AC41"/>
    <mergeCell ref="AE41:AF41"/>
    <mergeCell ref="C42:D42"/>
    <mergeCell ref="F42:G42"/>
    <mergeCell ref="H42:I42"/>
    <mergeCell ref="K42:L42"/>
    <mergeCell ref="M42:N42"/>
    <mergeCell ref="AD45:AF45"/>
    <mergeCell ref="W43:X44"/>
    <mergeCell ref="Y43:AA44"/>
    <mergeCell ref="AB43:AC44"/>
    <mergeCell ref="AD43:AF44"/>
    <mergeCell ref="Y45:AA45"/>
    <mergeCell ref="AB45:AC45"/>
    <mergeCell ref="AE42:AF42"/>
    <mergeCell ref="P42:Q42"/>
    <mergeCell ref="R42:S42"/>
    <mergeCell ref="U42:V42"/>
    <mergeCell ref="W42:X42"/>
    <mergeCell ref="Z42:AA42"/>
    <mergeCell ref="AB42:AC42"/>
    <mergeCell ref="C45:D45"/>
    <mergeCell ref="E45:G45"/>
    <mergeCell ref="B38:B42"/>
    <mergeCell ref="R45:S45"/>
    <mergeCell ref="T45:V45"/>
    <mergeCell ref="W45:X45"/>
    <mergeCell ref="M43:N44"/>
    <mergeCell ref="O43:Q44"/>
    <mergeCell ref="R43:S44"/>
    <mergeCell ref="T43:V44"/>
    <mergeCell ref="W46:X46"/>
    <mergeCell ref="C46:D46"/>
    <mergeCell ref="F46:G46"/>
    <mergeCell ref="H46:I46"/>
    <mergeCell ref="K46:L46"/>
    <mergeCell ref="M46:N46"/>
    <mergeCell ref="P46:Q46"/>
    <mergeCell ref="R46:S46"/>
    <mergeCell ref="U46:V46"/>
    <mergeCell ref="H45:I45"/>
    <mergeCell ref="J45:L45"/>
    <mergeCell ref="M45:N45"/>
    <mergeCell ref="O45:Q45"/>
    <mergeCell ref="R41:S41"/>
    <mergeCell ref="U41:V41"/>
    <mergeCell ref="W41:X41"/>
    <mergeCell ref="A48:A49"/>
    <mergeCell ref="B48:B49"/>
    <mergeCell ref="B50:B51"/>
    <mergeCell ref="R47:S47"/>
    <mergeCell ref="U47:V47"/>
    <mergeCell ref="W47:X47"/>
    <mergeCell ref="Z47:AA47"/>
    <mergeCell ref="AB47:AC47"/>
    <mergeCell ref="AE47:AF47"/>
    <mergeCell ref="C47:D47"/>
    <mergeCell ref="F47:G47"/>
    <mergeCell ref="H47:I47"/>
    <mergeCell ref="K47:L47"/>
    <mergeCell ref="M47:N47"/>
    <mergeCell ref="P47:Q47"/>
    <mergeCell ref="B43:B47"/>
    <mergeCell ref="C43:D44"/>
    <mergeCell ref="E43:G44"/>
    <mergeCell ref="H43:I44"/>
    <mergeCell ref="J43:L44"/>
    <mergeCell ref="Z46:AA46"/>
    <mergeCell ref="AB46:AC46"/>
    <mergeCell ref="AE46:AF46"/>
  </mergeCells>
  <conditionalFormatting sqref="C52:C65 H52:H65 M52:M65 R52:R65 W52:W65 AB52:AB65 D68:D82">
    <cfRule type="expression" dxfId="16" priority="6" stopIfTrue="1">
      <formula>IF(E52=0,1,0)</formula>
    </cfRule>
  </conditionalFormatting>
  <conditionalFormatting sqref="I68:I82">
    <cfRule type="expression" dxfId="15" priority="5" stopIfTrue="1">
      <formula>IF(K68=0,1,0)</formula>
    </cfRule>
  </conditionalFormatting>
  <conditionalFormatting sqref="N68:N82">
    <cfRule type="expression" dxfId="14" priority="4" stopIfTrue="1">
      <formula>IF(P68=0,1,0)</formula>
    </cfRule>
  </conditionalFormatting>
  <conditionalFormatting sqref="S68:S82">
    <cfRule type="expression" dxfId="13" priority="3" stopIfTrue="1">
      <formula>IF(U68=0,1,0)</formula>
    </cfRule>
  </conditionalFormatting>
  <conditionalFormatting sqref="X68:X82">
    <cfRule type="expression" dxfId="12" priority="2" stopIfTrue="1">
      <formula>IF(Z68=0,1,0)</formula>
    </cfRule>
  </conditionalFormatting>
  <conditionalFormatting sqref="AC68:AC82">
    <cfRule type="expression" dxfId="11" priority="1" stopIfTrue="1">
      <formula>IF(AE68=0,1,0)</formula>
    </cfRule>
  </conditionalFormatting>
  <dataValidations count="4">
    <dataValidation type="list" allowBlank="1" showInputMessage="1" showErrorMessage="1" sqref="H52:H65 C52:C65 AB52:AB65 W52:W65 R52:R65 M52:M65" xr:uid="{A45A0897-2D7C-42D6-AD50-55BDA0D8EED1}">
      <formula1>$D$86:$D$106</formula1>
    </dataValidation>
    <dataValidation type="list" operator="equal" allowBlank="1" showErrorMessage="1" prompt="asldkfjhakldf_x000a_" sqref="H35:I37 R40:S42 H40:I42 C40:D42 W40:X42 AB40:AC42 C35:D37 M45:N47 R45:S47 H45:I47 C45:D47 W45:X47 C5:D7 AB30:AC32 W30:X32 AB35:AC37 W35:X37 R30:S32 M30:N32 H30:I32 M35:N37 R35:S37 M40:N42 AB25:AC27 W25:X27 R25:S27 M25:N27 H25:I27 C25:D27 C20:D22 H20:I22 M20:N22 W20:X22 AB20:AC22 AB15:AC17 W15:X17 M15:N17 H15:I17 C15:D17 C10:D12 AB5:AC7 AB10:AC12 W10:X12 R10:S12 M10:N12 H10:I12 W5:X7 R5:S7 M5:N7 H5:I7 R15:S22 AB45:AC47" xr:uid="{7A045570-257B-4A4B-AF98-3A7F0F49C693}">
      <formula1>$D$86:$D$106</formula1>
    </dataValidation>
    <dataValidation type="list" allowBlank="1" showInputMessage="1" showErrorMessage="1" sqref="X55:X59 X62:X65" xr:uid="{AD460E98-789C-4783-AC7A-AF87237892F8}">
      <formula1>$D$59:$D$72</formula1>
    </dataValidation>
    <dataValidation type="list" allowBlank="1" showInputMessage="1" showErrorMessage="1" sqref="AD52:AD65 J52:J65 O52:O65 T52:T65 Y52:Y65 E52:E65" xr:uid="{1A32BA42-2AB3-4A70-B450-DF9ACECC30F9}">
      <formula1>$F$86:$F$107</formula1>
    </dataValidation>
  </dataValidations>
  <printOptions horizontalCentered="1" verticalCentered="1"/>
  <pageMargins left="0.59055118110236227" right="0.59055118110236227" top="0.19685039370078741" bottom="0.19685039370078741" header="0.19685039370078741" footer="0.19685039370078741"/>
  <pageSetup paperSize="8" scale="84" orientation="landscape" r:id="rId1"/>
  <headerFooter alignWithMargins="0">
    <oddFooter>&amp;Lerstellt/freigegeben: M. Mayrhofer&amp;CTourenplan vom:&amp;D&amp;RAusgabedatum: 27.06.06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79ACA-B4B9-4B2A-AD6B-BC58859FEB83}">
  <sheetPr codeName="Tabelle3">
    <pageSetUpPr fitToPage="1"/>
  </sheetPr>
  <dimension ref="A1:AL145"/>
  <sheetViews>
    <sheetView topLeftCell="B1" zoomScaleNormal="100" zoomScaleSheetLayoutView="70" workbookViewId="0">
      <pane xSplit="1" ySplit="2" topLeftCell="C3" activePane="bottomRight" state="frozen"/>
      <selection activeCell="J3" sqref="J3:L4"/>
      <selection pane="topRight" activeCell="J3" sqref="J3:L4"/>
      <selection pane="bottomLeft" activeCell="J3" sqref="J3:L4"/>
      <selection pane="bottomRight" activeCell="H16" sqref="H16:I16"/>
    </sheetView>
  </sheetViews>
  <sheetFormatPr baseColWidth="10" defaultColWidth="8.88671875" defaultRowHeight="12.75" x14ac:dyDescent="0.2"/>
  <cols>
    <col min="1" max="1" width="3.21875" style="27" hidden="1" customWidth="1"/>
    <col min="2" max="2" width="15.6640625" style="27" customWidth="1"/>
    <col min="3" max="3" width="6" style="27" customWidth="1"/>
    <col min="4" max="4" width="8.6640625" style="27" customWidth="1"/>
    <col min="5" max="5" width="6.109375" style="27" bestFit="1" customWidth="1"/>
    <col min="6" max="7" width="4.6640625" style="27" customWidth="1"/>
    <col min="8" max="8" width="6.88671875" style="27" customWidth="1"/>
    <col min="9" max="9" width="8.109375" style="27" customWidth="1"/>
    <col min="10" max="10" width="5.21875" style="27" customWidth="1"/>
    <col min="11" max="12" width="4.6640625" style="27" customWidth="1"/>
    <col min="13" max="13" width="7.109375" style="27" customWidth="1"/>
    <col min="14" max="14" width="8.5546875" style="27" customWidth="1"/>
    <col min="15" max="15" width="5.21875" style="27" customWidth="1"/>
    <col min="16" max="17" width="4.6640625" style="27" customWidth="1"/>
    <col min="18" max="18" width="8.77734375" style="27" customWidth="1"/>
    <col min="19" max="19" width="8.6640625" style="27" customWidth="1"/>
    <col min="20" max="20" width="5.21875" style="27" customWidth="1"/>
    <col min="21" max="22" width="4.6640625" style="27" customWidth="1"/>
    <col min="23" max="23" width="5.77734375" style="27" customWidth="1"/>
    <col min="24" max="24" width="8.5546875" style="27" customWidth="1"/>
    <col min="25" max="25" width="5.21875" style="27" customWidth="1"/>
    <col min="26" max="26" width="4.5546875" style="27" customWidth="1"/>
    <col min="27" max="27" width="4.6640625" style="27" customWidth="1"/>
    <col min="28" max="28" width="6.88671875" style="27" customWidth="1"/>
    <col min="29" max="29" width="8.44140625" style="27" customWidth="1"/>
    <col min="30" max="30" width="5.21875" style="27" customWidth="1"/>
    <col min="31" max="32" width="4.6640625" style="27" customWidth="1"/>
    <col min="33" max="35" width="2.88671875" style="27" customWidth="1"/>
    <col min="36" max="16384" width="8.88671875" style="27"/>
  </cols>
  <sheetData>
    <row r="1" spans="2:38" ht="30" customHeight="1" thickBot="1" x14ac:dyDescent="0.4">
      <c r="B1" s="44"/>
      <c r="C1" s="530" t="s">
        <v>153</v>
      </c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2"/>
      <c r="AB1" s="45"/>
      <c r="AC1" s="45"/>
      <c r="AD1" s="45"/>
      <c r="AE1" s="45"/>
      <c r="AF1" s="46"/>
    </row>
    <row r="2" spans="2:38" ht="14.1" customHeight="1" thickBot="1" x14ac:dyDescent="0.25">
      <c r="B2" s="47"/>
      <c r="C2" s="28" t="s">
        <v>27</v>
      </c>
      <c r="D2" s="48">
        <v>45663</v>
      </c>
      <c r="E2" s="517" t="s">
        <v>28</v>
      </c>
      <c r="F2" s="517"/>
      <c r="G2" s="518"/>
      <c r="H2" s="28" t="s">
        <v>29</v>
      </c>
      <c r="I2" s="48">
        <f>D2+1</f>
        <v>45664</v>
      </c>
      <c r="J2" s="517" t="s">
        <v>28</v>
      </c>
      <c r="K2" s="517"/>
      <c r="L2" s="518"/>
      <c r="M2" s="28" t="s">
        <v>30</v>
      </c>
      <c r="N2" s="49">
        <f>D2+2</f>
        <v>45665</v>
      </c>
      <c r="O2" s="517" t="s">
        <v>28</v>
      </c>
      <c r="P2" s="517"/>
      <c r="Q2" s="518"/>
      <c r="R2" s="28" t="s">
        <v>31</v>
      </c>
      <c r="S2" s="49">
        <f>D2+3</f>
        <v>45666</v>
      </c>
      <c r="T2" s="517" t="s">
        <v>28</v>
      </c>
      <c r="U2" s="517"/>
      <c r="V2" s="518"/>
      <c r="W2" s="28" t="s">
        <v>32</v>
      </c>
      <c r="X2" s="49">
        <f>D2+4</f>
        <v>45667</v>
      </c>
      <c r="Y2" s="517" t="s">
        <v>28</v>
      </c>
      <c r="Z2" s="517"/>
      <c r="AA2" s="518"/>
      <c r="AB2" s="109" t="s">
        <v>33</v>
      </c>
      <c r="AC2" s="49">
        <f>D2+5</f>
        <v>45668</v>
      </c>
      <c r="AD2" s="517" t="s">
        <v>28</v>
      </c>
      <c r="AE2" s="517"/>
      <c r="AF2" s="518"/>
    </row>
    <row r="3" spans="2:38" ht="18" customHeight="1" x14ac:dyDescent="0.2">
      <c r="B3" s="488" t="s">
        <v>16</v>
      </c>
      <c r="C3" s="520" t="s">
        <v>154</v>
      </c>
      <c r="D3" s="521"/>
      <c r="E3" s="522" t="s">
        <v>155</v>
      </c>
      <c r="F3" s="522"/>
      <c r="G3" s="523"/>
      <c r="H3" s="524" t="s">
        <v>154</v>
      </c>
      <c r="I3" s="525"/>
      <c r="J3" s="522" t="s">
        <v>155</v>
      </c>
      <c r="K3" s="522"/>
      <c r="L3" s="523"/>
      <c r="M3" s="524" t="s">
        <v>154</v>
      </c>
      <c r="N3" s="525"/>
      <c r="O3" s="522" t="s">
        <v>155</v>
      </c>
      <c r="P3" s="526"/>
      <c r="Q3" s="527"/>
      <c r="R3" s="524" t="s">
        <v>154</v>
      </c>
      <c r="S3" s="525"/>
      <c r="T3" s="522" t="s">
        <v>155</v>
      </c>
      <c r="U3" s="522"/>
      <c r="V3" s="523"/>
      <c r="W3" s="524" t="s">
        <v>154</v>
      </c>
      <c r="X3" s="525"/>
      <c r="Y3" s="522" t="s">
        <v>155</v>
      </c>
      <c r="Z3" s="522"/>
      <c r="AA3" s="533"/>
      <c r="AB3" s="525" t="s">
        <v>154</v>
      </c>
      <c r="AC3" s="525"/>
      <c r="AD3" s="528" t="s">
        <v>155</v>
      </c>
      <c r="AE3" s="528"/>
      <c r="AF3" s="529"/>
    </row>
    <row r="4" spans="2:38" ht="18" customHeight="1" x14ac:dyDescent="0.2">
      <c r="B4" s="489"/>
      <c r="C4" s="473"/>
      <c r="D4" s="474"/>
      <c r="E4" s="509"/>
      <c r="F4" s="509"/>
      <c r="G4" s="510"/>
      <c r="H4" s="494"/>
      <c r="I4" s="495"/>
      <c r="J4" s="509"/>
      <c r="K4" s="509"/>
      <c r="L4" s="510"/>
      <c r="M4" s="481"/>
      <c r="N4" s="482"/>
      <c r="O4" s="511"/>
      <c r="P4" s="511"/>
      <c r="Q4" s="512"/>
      <c r="R4" s="481"/>
      <c r="S4" s="482"/>
      <c r="T4" s="509"/>
      <c r="U4" s="509"/>
      <c r="V4" s="510"/>
      <c r="W4" s="481"/>
      <c r="X4" s="482"/>
      <c r="Y4" s="509"/>
      <c r="Z4" s="509"/>
      <c r="AA4" s="513"/>
      <c r="AB4" s="482"/>
      <c r="AC4" s="482"/>
      <c r="AD4" s="483"/>
      <c r="AE4" s="483"/>
      <c r="AF4" s="499"/>
    </row>
    <row r="5" spans="2:38" ht="12.75" customHeight="1" x14ac:dyDescent="0.2">
      <c r="B5" s="489"/>
      <c r="C5" s="516"/>
      <c r="D5" s="516"/>
      <c r="E5" s="491" t="s">
        <v>155</v>
      </c>
      <c r="F5" s="491"/>
      <c r="G5" s="492"/>
      <c r="H5" s="485"/>
      <c r="I5" s="485"/>
      <c r="J5" s="491" t="s">
        <v>155</v>
      </c>
      <c r="K5" s="491"/>
      <c r="L5" s="492"/>
      <c r="M5" s="485"/>
      <c r="N5" s="485"/>
      <c r="O5" s="491" t="s">
        <v>155</v>
      </c>
      <c r="P5" s="491"/>
      <c r="Q5" s="492"/>
      <c r="R5" s="485"/>
      <c r="S5" s="485"/>
      <c r="T5" s="491" t="s">
        <v>155</v>
      </c>
      <c r="U5" s="491"/>
      <c r="V5" s="492"/>
      <c r="W5" s="485"/>
      <c r="X5" s="485"/>
      <c r="Y5" s="491" t="s">
        <v>155</v>
      </c>
      <c r="Z5" s="491"/>
      <c r="AA5" s="497"/>
      <c r="AB5" s="485"/>
      <c r="AC5" s="485"/>
      <c r="AD5" s="491" t="s">
        <v>155</v>
      </c>
      <c r="AE5" s="491"/>
      <c r="AF5" s="497"/>
    </row>
    <row r="6" spans="2:38" ht="12.75" customHeight="1" x14ac:dyDescent="0.2">
      <c r="B6" s="489"/>
      <c r="C6" s="516"/>
      <c r="D6" s="516"/>
      <c r="E6" s="50" t="s">
        <v>34</v>
      </c>
      <c r="F6" s="486" t="s">
        <v>155</v>
      </c>
      <c r="G6" s="496"/>
      <c r="H6" s="485"/>
      <c r="I6" s="485"/>
      <c r="J6" s="50" t="s">
        <v>34</v>
      </c>
      <c r="K6" s="486" t="s">
        <v>155</v>
      </c>
      <c r="L6" s="496"/>
      <c r="M6" s="485"/>
      <c r="N6" s="485"/>
      <c r="O6" s="50" t="s">
        <v>34</v>
      </c>
      <c r="P6" s="486" t="s">
        <v>155</v>
      </c>
      <c r="Q6" s="496"/>
      <c r="R6" s="485"/>
      <c r="S6" s="485"/>
      <c r="T6" s="50" t="s">
        <v>34</v>
      </c>
      <c r="U6" s="486" t="s">
        <v>155</v>
      </c>
      <c r="V6" s="496"/>
      <c r="W6" s="485"/>
      <c r="X6" s="485"/>
      <c r="Y6" s="50" t="s">
        <v>34</v>
      </c>
      <c r="Z6" s="486" t="s">
        <v>155</v>
      </c>
      <c r="AA6" s="487"/>
      <c r="AB6" s="485"/>
      <c r="AC6" s="485"/>
      <c r="AD6" s="50" t="s">
        <v>34</v>
      </c>
      <c r="AE6" s="486" t="s">
        <v>155</v>
      </c>
      <c r="AF6" s="487"/>
    </row>
    <row r="7" spans="2:38" ht="12.75" customHeight="1" x14ac:dyDescent="0.2">
      <c r="B7" s="490"/>
      <c r="C7" s="541"/>
      <c r="D7" s="542"/>
      <c r="E7" s="51" t="s">
        <v>35</v>
      </c>
      <c r="F7" s="461" t="s">
        <v>155</v>
      </c>
      <c r="G7" s="462"/>
      <c r="H7" s="485"/>
      <c r="I7" s="485"/>
      <c r="J7" s="51" t="s">
        <v>35</v>
      </c>
      <c r="K7" s="461" t="s">
        <v>155</v>
      </c>
      <c r="L7" s="462"/>
      <c r="M7" s="485"/>
      <c r="N7" s="485"/>
      <c r="O7" s="51" t="s">
        <v>35</v>
      </c>
      <c r="P7" s="461" t="s">
        <v>155</v>
      </c>
      <c r="Q7" s="462"/>
      <c r="R7" s="485"/>
      <c r="S7" s="485"/>
      <c r="T7" s="51" t="s">
        <v>35</v>
      </c>
      <c r="U7" s="461" t="s">
        <v>155</v>
      </c>
      <c r="V7" s="462"/>
      <c r="W7" s="485"/>
      <c r="X7" s="485"/>
      <c r="Y7" s="51" t="s">
        <v>35</v>
      </c>
      <c r="Z7" s="461" t="s">
        <v>155</v>
      </c>
      <c r="AA7" s="465"/>
      <c r="AB7" s="485"/>
      <c r="AC7" s="485"/>
      <c r="AD7" s="51" t="s">
        <v>35</v>
      </c>
      <c r="AE7" s="461" t="s">
        <v>155</v>
      </c>
      <c r="AF7" s="465"/>
    </row>
    <row r="8" spans="2:38" ht="18" customHeight="1" x14ac:dyDescent="0.2">
      <c r="B8" s="538" t="s">
        <v>17</v>
      </c>
      <c r="C8" s="473" t="s">
        <v>154</v>
      </c>
      <c r="D8" s="474"/>
      <c r="E8" s="509" t="s">
        <v>155</v>
      </c>
      <c r="F8" s="509"/>
      <c r="G8" s="510"/>
      <c r="H8" s="493" t="s">
        <v>154</v>
      </c>
      <c r="I8" s="480"/>
      <c r="J8" s="475" t="s">
        <v>155</v>
      </c>
      <c r="K8" s="475"/>
      <c r="L8" s="476"/>
      <c r="M8" s="493" t="s">
        <v>154</v>
      </c>
      <c r="N8" s="480"/>
      <c r="O8" s="475" t="s">
        <v>155</v>
      </c>
      <c r="P8" s="475"/>
      <c r="Q8" s="476"/>
      <c r="R8" s="493" t="s">
        <v>154</v>
      </c>
      <c r="S8" s="480"/>
      <c r="T8" s="475" t="s">
        <v>155</v>
      </c>
      <c r="U8" s="475"/>
      <c r="V8" s="476"/>
      <c r="W8" s="493" t="s">
        <v>154</v>
      </c>
      <c r="X8" s="480"/>
      <c r="Y8" s="475" t="s">
        <v>155</v>
      </c>
      <c r="Z8" s="475"/>
      <c r="AA8" s="498"/>
      <c r="AB8" s="480" t="s">
        <v>154</v>
      </c>
      <c r="AC8" s="480"/>
      <c r="AD8" s="475" t="s">
        <v>155</v>
      </c>
      <c r="AE8" s="475"/>
      <c r="AF8" s="498"/>
    </row>
    <row r="9" spans="2:38" ht="18" customHeight="1" x14ac:dyDescent="0.2">
      <c r="B9" s="539"/>
      <c r="C9" s="473"/>
      <c r="D9" s="474"/>
      <c r="E9" s="509"/>
      <c r="F9" s="509"/>
      <c r="G9" s="510"/>
      <c r="H9" s="494"/>
      <c r="I9" s="495"/>
      <c r="J9" s="483"/>
      <c r="K9" s="483"/>
      <c r="L9" s="484"/>
      <c r="M9" s="481"/>
      <c r="N9" s="482"/>
      <c r="O9" s="483"/>
      <c r="P9" s="483"/>
      <c r="Q9" s="484"/>
      <c r="R9" s="494"/>
      <c r="S9" s="495"/>
      <c r="T9" s="483"/>
      <c r="U9" s="483"/>
      <c r="V9" s="484"/>
      <c r="W9" s="494"/>
      <c r="X9" s="495"/>
      <c r="Y9" s="483"/>
      <c r="Z9" s="483"/>
      <c r="AA9" s="499"/>
      <c r="AB9" s="495"/>
      <c r="AC9" s="495"/>
      <c r="AD9" s="483"/>
      <c r="AE9" s="483"/>
      <c r="AF9" s="499"/>
    </row>
    <row r="10" spans="2:38" ht="12.75" customHeight="1" x14ac:dyDescent="0.2">
      <c r="B10" s="539"/>
      <c r="C10" s="516"/>
      <c r="D10" s="516"/>
      <c r="E10" s="491" t="s">
        <v>155</v>
      </c>
      <c r="F10" s="491"/>
      <c r="G10" s="492"/>
      <c r="H10" s="485"/>
      <c r="I10" s="485"/>
      <c r="J10" s="491" t="s">
        <v>155</v>
      </c>
      <c r="K10" s="491"/>
      <c r="L10" s="492"/>
      <c r="M10" s="485"/>
      <c r="N10" s="485"/>
      <c r="O10" s="491" t="s">
        <v>155</v>
      </c>
      <c r="P10" s="491"/>
      <c r="Q10" s="492"/>
      <c r="R10" s="485"/>
      <c r="S10" s="485"/>
      <c r="T10" s="491" t="s">
        <v>155</v>
      </c>
      <c r="U10" s="491"/>
      <c r="V10" s="492"/>
      <c r="W10" s="485"/>
      <c r="X10" s="485"/>
      <c r="Y10" s="491" t="s">
        <v>155</v>
      </c>
      <c r="Z10" s="491"/>
      <c r="AA10" s="497"/>
      <c r="AB10" s="485"/>
      <c r="AC10" s="485"/>
      <c r="AD10" s="491" t="s">
        <v>155</v>
      </c>
      <c r="AE10" s="491"/>
      <c r="AF10" s="497"/>
    </row>
    <row r="11" spans="2:38" ht="12.75" customHeight="1" x14ac:dyDescent="0.2">
      <c r="B11" s="539"/>
      <c r="C11" s="516"/>
      <c r="D11" s="516"/>
      <c r="E11" s="50" t="s">
        <v>34</v>
      </c>
      <c r="F11" s="486" t="s">
        <v>155</v>
      </c>
      <c r="G11" s="496"/>
      <c r="H11" s="485"/>
      <c r="I11" s="485"/>
      <c r="J11" s="50" t="s">
        <v>34</v>
      </c>
      <c r="K11" s="486" t="s">
        <v>155</v>
      </c>
      <c r="L11" s="496"/>
      <c r="M11" s="485"/>
      <c r="N11" s="485"/>
      <c r="O11" s="50" t="s">
        <v>34</v>
      </c>
      <c r="P11" s="486" t="s">
        <v>155</v>
      </c>
      <c r="Q11" s="496"/>
      <c r="R11" s="485"/>
      <c r="S11" s="485"/>
      <c r="T11" s="50" t="s">
        <v>34</v>
      </c>
      <c r="U11" s="486" t="s">
        <v>155</v>
      </c>
      <c r="V11" s="496"/>
      <c r="W11" s="485"/>
      <c r="X11" s="485"/>
      <c r="Y11" s="50" t="s">
        <v>34</v>
      </c>
      <c r="Z11" s="486" t="s">
        <v>155</v>
      </c>
      <c r="AA11" s="487"/>
      <c r="AB11" s="485"/>
      <c r="AC11" s="485"/>
      <c r="AD11" s="50" t="s">
        <v>34</v>
      </c>
      <c r="AE11" s="486" t="s">
        <v>155</v>
      </c>
      <c r="AF11" s="487"/>
    </row>
    <row r="12" spans="2:38" ht="12.75" customHeight="1" x14ac:dyDescent="0.2">
      <c r="B12" s="540"/>
      <c r="C12" s="516"/>
      <c r="D12" s="516"/>
      <c r="E12" s="51" t="s">
        <v>35</v>
      </c>
      <c r="F12" s="461" t="s">
        <v>155</v>
      </c>
      <c r="G12" s="462"/>
      <c r="H12" s="485"/>
      <c r="I12" s="485"/>
      <c r="J12" s="51" t="s">
        <v>35</v>
      </c>
      <c r="K12" s="461" t="s">
        <v>155</v>
      </c>
      <c r="L12" s="462"/>
      <c r="M12" s="485"/>
      <c r="N12" s="485"/>
      <c r="O12" s="51" t="s">
        <v>35</v>
      </c>
      <c r="P12" s="461" t="s">
        <v>155</v>
      </c>
      <c r="Q12" s="462"/>
      <c r="R12" s="485"/>
      <c r="S12" s="485"/>
      <c r="T12" s="51" t="s">
        <v>35</v>
      </c>
      <c r="U12" s="461" t="s">
        <v>155</v>
      </c>
      <c r="V12" s="462"/>
      <c r="W12" s="485"/>
      <c r="X12" s="485"/>
      <c r="Y12" s="51" t="s">
        <v>35</v>
      </c>
      <c r="Z12" s="461" t="s">
        <v>155</v>
      </c>
      <c r="AA12" s="465"/>
      <c r="AB12" s="485"/>
      <c r="AC12" s="485"/>
      <c r="AD12" s="51" t="s">
        <v>35</v>
      </c>
      <c r="AE12" s="461" t="s">
        <v>155</v>
      </c>
      <c r="AF12" s="465"/>
    </row>
    <row r="13" spans="2:38" ht="18" customHeight="1" x14ac:dyDescent="0.2">
      <c r="B13" s="538" t="s">
        <v>17</v>
      </c>
      <c r="C13" s="471" t="s">
        <v>154</v>
      </c>
      <c r="D13" s="472"/>
      <c r="E13" s="475" t="s">
        <v>155</v>
      </c>
      <c r="F13" s="475"/>
      <c r="G13" s="476"/>
      <c r="H13" s="479" t="s">
        <v>154</v>
      </c>
      <c r="I13" s="480"/>
      <c r="J13" s="475" t="s">
        <v>155</v>
      </c>
      <c r="K13" s="475"/>
      <c r="L13" s="476"/>
      <c r="M13" s="493" t="s">
        <v>154</v>
      </c>
      <c r="N13" s="480"/>
      <c r="O13" s="475" t="s">
        <v>155</v>
      </c>
      <c r="P13" s="475"/>
      <c r="Q13" s="476"/>
      <c r="R13" s="493" t="s">
        <v>154</v>
      </c>
      <c r="S13" s="480"/>
      <c r="T13" s="475" t="s">
        <v>155</v>
      </c>
      <c r="U13" s="475"/>
      <c r="V13" s="476"/>
      <c r="W13" s="493" t="s">
        <v>154</v>
      </c>
      <c r="X13" s="480"/>
      <c r="Y13" s="475" t="s">
        <v>155</v>
      </c>
      <c r="Z13" s="475"/>
      <c r="AA13" s="498"/>
      <c r="AB13" s="480" t="s">
        <v>154</v>
      </c>
      <c r="AC13" s="480"/>
      <c r="AD13" s="475" t="s">
        <v>155</v>
      </c>
      <c r="AE13" s="475"/>
      <c r="AF13" s="498"/>
    </row>
    <row r="14" spans="2:38" ht="18" customHeight="1" x14ac:dyDescent="0.2">
      <c r="B14" s="539"/>
      <c r="C14" s="473"/>
      <c r="D14" s="474"/>
      <c r="E14" s="483"/>
      <c r="F14" s="483"/>
      <c r="G14" s="484"/>
      <c r="H14" s="481"/>
      <c r="I14" s="482"/>
      <c r="J14" s="483"/>
      <c r="K14" s="483"/>
      <c r="L14" s="484"/>
      <c r="M14" s="481"/>
      <c r="N14" s="482"/>
      <c r="O14" s="483"/>
      <c r="P14" s="483"/>
      <c r="Q14" s="484"/>
      <c r="R14" s="481"/>
      <c r="S14" s="482"/>
      <c r="T14" s="483"/>
      <c r="U14" s="483"/>
      <c r="V14" s="484"/>
      <c r="W14" s="481"/>
      <c r="X14" s="482"/>
      <c r="Y14" s="483"/>
      <c r="Z14" s="483"/>
      <c r="AA14" s="499"/>
      <c r="AB14" s="482"/>
      <c r="AC14" s="482"/>
      <c r="AD14" s="483"/>
      <c r="AE14" s="483"/>
      <c r="AF14" s="499"/>
    </row>
    <row r="15" spans="2:38" ht="12.75" customHeight="1" x14ac:dyDescent="0.2">
      <c r="B15" s="539"/>
      <c r="C15" s="516"/>
      <c r="D15" s="516"/>
      <c r="E15" s="491" t="s">
        <v>155</v>
      </c>
      <c r="F15" s="491"/>
      <c r="G15" s="492"/>
      <c r="H15" s="485"/>
      <c r="I15" s="485"/>
      <c r="J15" s="491" t="s">
        <v>155</v>
      </c>
      <c r="K15" s="491"/>
      <c r="L15" s="492"/>
      <c r="M15" s="485"/>
      <c r="N15" s="485"/>
      <c r="O15" s="491" t="s">
        <v>155</v>
      </c>
      <c r="P15" s="491"/>
      <c r="Q15" s="492"/>
      <c r="R15" s="485"/>
      <c r="S15" s="485"/>
      <c r="T15" s="491" t="s">
        <v>155</v>
      </c>
      <c r="U15" s="491"/>
      <c r="V15" s="492"/>
      <c r="W15" s="485"/>
      <c r="X15" s="485"/>
      <c r="Y15" s="491" t="s">
        <v>155</v>
      </c>
      <c r="Z15" s="491"/>
      <c r="AA15" s="497"/>
      <c r="AB15" s="485"/>
      <c r="AC15" s="485"/>
      <c r="AD15" s="491" t="s">
        <v>155</v>
      </c>
      <c r="AE15" s="491"/>
      <c r="AF15" s="497"/>
    </row>
    <row r="16" spans="2:38" ht="12.75" customHeight="1" x14ac:dyDescent="0.2">
      <c r="B16" s="539"/>
      <c r="C16" s="515"/>
      <c r="D16" s="515"/>
      <c r="E16" s="50" t="s">
        <v>34</v>
      </c>
      <c r="F16" s="486" t="s">
        <v>155</v>
      </c>
      <c r="G16" s="496"/>
      <c r="H16" s="485"/>
      <c r="I16" s="485"/>
      <c r="J16" s="50" t="s">
        <v>34</v>
      </c>
      <c r="K16" s="486" t="s">
        <v>155</v>
      </c>
      <c r="L16" s="496"/>
      <c r="M16" s="485"/>
      <c r="N16" s="485"/>
      <c r="O16" s="50" t="s">
        <v>34</v>
      </c>
      <c r="P16" s="486" t="s">
        <v>155</v>
      </c>
      <c r="Q16" s="496"/>
      <c r="R16" s="485"/>
      <c r="S16" s="485"/>
      <c r="T16" s="50" t="s">
        <v>34</v>
      </c>
      <c r="U16" s="486" t="s">
        <v>155</v>
      </c>
      <c r="V16" s="496"/>
      <c r="W16" s="485"/>
      <c r="X16" s="485"/>
      <c r="Y16" s="50" t="s">
        <v>34</v>
      </c>
      <c r="Z16" s="486" t="s">
        <v>155</v>
      </c>
      <c r="AA16" s="487"/>
      <c r="AB16" s="485"/>
      <c r="AC16" s="485"/>
      <c r="AD16" s="50" t="s">
        <v>34</v>
      </c>
      <c r="AE16" s="486" t="s">
        <v>155</v>
      </c>
      <c r="AF16" s="487"/>
      <c r="AL16" s="107"/>
    </row>
    <row r="17" spans="2:32" ht="12.75" customHeight="1" x14ac:dyDescent="0.2">
      <c r="B17" s="540"/>
      <c r="C17" s="485"/>
      <c r="D17" s="485"/>
      <c r="E17" s="51" t="s">
        <v>35</v>
      </c>
      <c r="F17" s="461" t="s">
        <v>155</v>
      </c>
      <c r="G17" s="462"/>
      <c r="H17" s="485"/>
      <c r="I17" s="485"/>
      <c r="J17" s="51" t="s">
        <v>35</v>
      </c>
      <c r="K17" s="461" t="s">
        <v>155</v>
      </c>
      <c r="L17" s="462"/>
      <c r="M17" s="485"/>
      <c r="N17" s="485"/>
      <c r="O17" s="51" t="s">
        <v>35</v>
      </c>
      <c r="P17" s="461" t="s">
        <v>155</v>
      </c>
      <c r="Q17" s="462"/>
      <c r="R17" s="485"/>
      <c r="S17" s="485"/>
      <c r="T17" s="51" t="s">
        <v>35</v>
      </c>
      <c r="U17" s="461" t="s">
        <v>155</v>
      </c>
      <c r="V17" s="462"/>
      <c r="W17" s="485"/>
      <c r="X17" s="485"/>
      <c r="Y17" s="51" t="s">
        <v>35</v>
      </c>
      <c r="Z17" s="461" t="s">
        <v>155</v>
      </c>
      <c r="AA17" s="465"/>
      <c r="AB17" s="485"/>
      <c r="AC17" s="485"/>
      <c r="AD17" s="51" t="s">
        <v>35</v>
      </c>
      <c r="AE17" s="461" t="s">
        <v>155</v>
      </c>
      <c r="AF17" s="465"/>
    </row>
    <row r="18" spans="2:32" ht="18" customHeight="1" x14ac:dyDescent="0.2">
      <c r="B18" s="538" t="s">
        <v>18</v>
      </c>
      <c r="C18" s="471" t="s">
        <v>154</v>
      </c>
      <c r="D18" s="472"/>
      <c r="E18" s="475" t="s">
        <v>155</v>
      </c>
      <c r="F18" s="475"/>
      <c r="G18" s="476"/>
      <c r="H18" s="479" t="s">
        <v>154</v>
      </c>
      <c r="I18" s="480"/>
      <c r="J18" s="475" t="s">
        <v>155</v>
      </c>
      <c r="K18" s="475"/>
      <c r="L18" s="476"/>
      <c r="M18" s="493" t="s">
        <v>154</v>
      </c>
      <c r="N18" s="480"/>
      <c r="O18" s="475" t="s">
        <v>155</v>
      </c>
      <c r="P18" s="475"/>
      <c r="Q18" s="476"/>
      <c r="R18" s="493" t="s">
        <v>154</v>
      </c>
      <c r="S18" s="480"/>
      <c r="T18" s="475" t="s">
        <v>155</v>
      </c>
      <c r="U18" s="475"/>
      <c r="V18" s="476"/>
      <c r="W18" s="493" t="s">
        <v>154</v>
      </c>
      <c r="X18" s="480"/>
      <c r="Y18" s="475" t="s">
        <v>155</v>
      </c>
      <c r="Z18" s="475"/>
      <c r="AA18" s="498"/>
      <c r="AB18" s="480" t="s">
        <v>154</v>
      </c>
      <c r="AC18" s="480"/>
      <c r="AD18" s="475" t="s">
        <v>155</v>
      </c>
      <c r="AE18" s="475"/>
      <c r="AF18" s="498"/>
    </row>
    <row r="19" spans="2:32" ht="18" customHeight="1" x14ac:dyDescent="0.2">
      <c r="B19" s="539"/>
      <c r="C19" s="473"/>
      <c r="D19" s="474"/>
      <c r="E19" s="477"/>
      <c r="F19" s="477"/>
      <c r="G19" s="478"/>
      <c r="H19" s="481"/>
      <c r="I19" s="482"/>
      <c r="J19" s="477"/>
      <c r="K19" s="477"/>
      <c r="L19" s="478"/>
      <c r="M19" s="481"/>
      <c r="N19" s="482"/>
      <c r="O19" s="483"/>
      <c r="P19" s="483"/>
      <c r="Q19" s="484"/>
      <c r="R19" s="481"/>
      <c r="S19" s="482"/>
      <c r="T19" s="483"/>
      <c r="U19" s="483"/>
      <c r="V19" s="484"/>
      <c r="W19" s="481"/>
      <c r="X19" s="482"/>
      <c r="Y19" s="483"/>
      <c r="Z19" s="483"/>
      <c r="AA19" s="499"/>
      <c r="AB19" s="482"/>
      <c r="AC19" s="482"/>
      <c r="AD19" s="477"/>
      <c r="AE19" s="477"/>
      <c r="AF19" s="500"/>
    </row>
    <row r="20" spans="2:32" ht="12.75" customHeight="1" x14ac:dyDescent="0.2">
      <c r="B20" s="539"/>
      <c r="C20" s="514"/>
      <c r="D20" s="514"/>
      <c r="E20" s="491" t="s">
        <v>155</v>
      </c>
      <c r="F20" s="491"/>
      <c r="G20" s="492"/>
      <c r="H20" s="485"/>
      <c r="I20" s="485"/>
      <c r="J20" s="491" t="s">
        <v>155</v>
      </c>
      <c r="K20" s="491"/>
      <c r="L20" s="492"/>
      <c r="M20" s="485"/>
      <c r="N20" s="485"/>
      <c r="O20" s="491" t="s">
        <v>155</v>
      </c>
      <c r="P20" s="491"/>
      <c r="Q20" s="492"/>
      <c r="R20" s="485"/>
      <c r="S20" s="485"/>
      <c r="T20" s="491" t="s">
        <v>155</v>
      </c>
      <c r="U20" s="491"/>
      <c r="V20" s="492"/>
      <c r="W20" s="485"/>
      <c r="X20" s="485"/>
      <c r="Y20" s="491" t="s">
        <v>155</v>
      </c>
      <c r="Z20" s="491"/>
      <c r="AA20" s="497"/>
      <c r="AB20" s="485"/>
      <c r="AC20" s="485"/>
      <c r="AD20" s="491" t="s">
        <v>155</v>
      </c>
      <c r="AE20" s="491"/>
      <c r="AF20" s="497"/>
    </row>
    <row r="21" spans="2:32" ht="12.75" customHeight="1" x14ac:dyDescent="0.2">
      <c r="B21" s="539"/>
      <c r="C21" s="485"/>
      <c r="D21" s="485"/>
      <c r="E21" s="50" t="s">
        <v>34</v>
      </c>
      <c r="F21" s="486" t="s">
        <v>155</v>
      </c>
      <c r="G21" s="496"/>
      <c r="H21" s="485"/>
      <c r="I21" s="485"/>
      <c r="J21" s="50" t="s">
        <v>34</v>
      </c>
      <c r="K21" s="486" t="s">
        <v>155</v>
      </c>
      <c r="L21" s="496"/>
      <c r="M21" s="485"/>
      <c r="N21" s="485"/>
      <c r="O21" s="50" t="s">
        <v>34</v>
      </c>
      <c r="P21" s="486" t="s">
        <v>155</v>
      </c>
      <c r="Q21" s="496"/>
      <c r="R21" s="485"/>
      <c r="S21" s="485"/>
      <c r="T21" s="50" t="s">
        <v>34</v>
      </c>
      <c r="U21" s="486" t="s">
        <v>155</v>
      </c>
      <c r="V21" s="496"/>
      <c r="W21" s="485"/>
      <c r="X21" s="485"/>
      <c r="Y21" s="50" t="s">
        <v>34</v>
      </c>
      <c r="Z21" s="486" t="s">
        <v>155</v>
      </c>
      <c r="AA21" s="487"/>
      <c r="AB21" s="485"/>
      <c r="AC21" s="485"/>
      <c r="AD21" s="50" t="s">
        <v>34</v>
      </c>
      <c r="AE21" s="486" t="s">
        <v>155</v>
      </c>
      <c r="AF21" s="487"/>
    </row>
    <row r="22" spans="2:32" ht="12.75" customHeight="1" x14ac:dyDescent="0.2">
      <c r="B22" s="540"/>
      <c r="C22" s="466"/>
      <c r="D22" s="460"/>
      <c r="E22" s="51" t="s">
        <v>35</v>
      </c>
      <c r="F22" s="461" t="s">
        <v>155</v>
      </c>
      <c r="G22" s="462"/>
      <c r="H22" s="485"/>
      <c r="I22" s="485"/>
      <c r="J22" s="51" t="s">
        <v>35</v>
      </c>
      <c r="K22" s="461" t="s">
        <v>155</v>
      </c>
      <c r="L22" s="462"/>
      <c r="M22" s="485"/>
      <c r="N22" s="485"/>
      <c r="O22" s="51" t="s">
        <v>35</v>
      </c>
      <c r="P22" s="461" t="s">
        <v>155</v>
      </c>
      <c r="Q22" s="462"/>
      <c r="R22" s="485"/>
      <c r="S22" s="485"/>
      <c r="T22" s="51" t="s">
        <v>35</v>
      </c>
      <c r="U22" s="461" t="s">
        <v>155</v>
      </c>
      <c r="V22" s="462"/>
      <c r="W22" s="485"/>
      <c r="X22" s="485"/>
      <c r="Y22" s="51" t="s">
        <v>35</v>
      </c>
      <c r="Z22" s="461" t="s">
        <v>155</v>
      </c>
      <c r="AA22" s="465"/>
      <c r="AB22" s="485"/>
      <c r="AC22" s="485"/>
      <c r="AD22" s="51" t="s">
        <v>35</v>
      </c>
      <c r="AE22" s="461" t="s">
        <v>155</v>
      </c>
      <c r="AF22" s="465"/>
    </row>
    <row r="23" spans="2:32" ht="18" customHeight="1" x14ac:dyDescent="0.2">
      <c r="B23" s="538">
        <v>0</v>
      </c>
      <c r="C23" s="471" t="s">
        <v>154</v>
      </c>
      <c r="D23" s="472"/>
      <c r="E23" s="475" t="s">
        <v>155</v>
      </c>
      <c r="F23" s="475"/>
      <c r="G23" s="476"/>
      <c r="H23" s="479" t="s">
        <v>154</v>
      </c>
      <c r="I23" s="480"/>
      <c r="J23" s="475" t="s">
        <v>155</v>
      </c>
      <c r="K23" s="475"/>
      <c r="L23" s="476"/>
      <c r="M23" s="493" t="s">
        <v>154</v>
      </c>
      <c r="N23" s="480"/>
      <c r="O23" s="475" t="s">
        <v>155</v>
      </c>
      <c r="P23" s="475"/>
      <c r="Q23" s="476"/>
      <c r="R23" s="493" t="s">
        <v>154</v>
      </c>
      <c r="S23" s="480"/>
      <c r="T23" s="475" t="s">
        <v>155</v>
      </c>
      <c r="U23" s="475"/>
      <c r="V23" s="476"/>
      <c r="W23" s="493" t="s">
        <v>154</v>
      </c>
      <c r="X23" s="480"/>
      <c r="Y23" s="475" t="s">
        <v>155</v>
      </c>
      <c r="Z23" s="475"/>
      <c r="AA23" s="498"/>
      <c r="AB23" s="480" t="s">
        <v>154</v>
      </c>
      <c r="AC23" s="480"/>
      <c r="AD23" s="475" t="s">
        <v>155</v>
      </c>
      <c r="AE23" s="475"/>
      <c r="AF23" s="498"/>
    </row>
    <row r="24" spans="2:32" ht="18" customHeight="1" x14ac:dyDescent="0.2">
      <c r="B24" s="489"/>
      <c r="C24" s="473"/>
      <c r="D24" s="474"/>
      <c r="E24" s="477"/>
      <c r="F24" s="477"/>
      <c r="G24" s="478"/>
      <c r="H24" s="481"/>
      <c r="I24" s="482"/>
      <c r="J24" s="477"/>
      <c r="K24" s="477"/>
      <c r="L24" s="478"/>
      <c r="M24" s="481"/>
      <c r="N24" s="482"/>
      <c r="O24" s="483"/>
      <c r="P24" s="483"/>
      <c r="Q24" s="484"/>
      <c r="R24" s="481"/>
      <c r="S24" s="482"/>
      <c r="T24" s="483"/>
      <c r="U24" s="483"/>
      <c r="V24" s="484"/>
      <c r="W24" s="481"/>
      <c r="X24" s="482"/>
      <c r="Y24" s="483"/>
      <c r="Z24" s="483"/>
      <c r="AA24" s="499"/>
      <c r="AB24" s="482"/>
      <c r="AC24" s="482"/>
      <c r="AD24" s="477"/>
      <c r="AE24" s="477"/>
      <c r="AF24" s="500"/>
    </row>
    <row r="25" spans="2:32" ht="12.75" customHeight="1" x14ac:dyDescent="0.2">
      <c r="B25" s="539"/>
      <c r="C25" s="514"/>
      <c r="D25" s="514"/>
      <c r="E25" s="491" t="s">
        <v>155</v>
      </c>
      <c r="F25" s="491"/>
      <c r="G25" s="492"/>
      <c r="H25" s="485"/>
      <c r="I25" s="485"/>
      <c r="J25" s="491" t="s">
        <v>155</v>
      </c>
      <c r="K25" s="491"/>
      <c r="L25" s="492"/>
      <c r="M25" s="485"/>
      <c r="N25" s="485"/>
      <c r="O25" s="491" t="s">
        <v>155</v>
      </c>
      <c r="P25" s="491"/>
      <c r="Q25" s="492"/>
      <c r="R25" s="485"/>
      <c r="S25" s="485"/>
      <c r="T25" s="491" t="s">
        <v>155</v>
      </c>
      <c r="U25" s="491"/>
      <c r="V25" s="492"/>
      <c r="W25" s="485"/>
      <c r="X25" s="485"/>
      <c r="Y25" s="491" t="s">
        <v>155</v>
      </c>
      <c r="Z25" s="491"/>
      <c r="AA25" s="497"/>
      <c r="AB25" s="485"/>
      <c r="AC25" s="485"/>
      <c r="AD25" s="491" t="s">
        <v>155</v>
      </c>
      <c r="AE25" s="491"/>
      <c r="AF25" s="497"/>
    </row>
    <row r="26" spans="2:32" ht="12.75" customHeight="1" x14ac:dyDescent="0.2">
      <c r="B26" s="539"/>
      <c r="C26" s="485"/>
      <c r="D26" s="485"/>
      <c r="E26" s="50" t="s">
        <v>34</v>
      </c>
      <c r="F26" s="486" t="s">
        <v>155</v>
      </c>
      <c r="G26" s="496"/>
      <c r="H26" s="485"/>
      <c r="I26" s="485"/>
      <c r="J26" s="50" t="s">
        <v>34</v>
      </c>
      <c r="K26" s="486" t="s">
        <v>155</v>
      </c>
      <c r="L26" s="496"/>
      <c r="M26" s="485"/>
      <c r="N26" s="485"/>
      <c r="O26" s="50" t="s">
        <v>34</v>
      </c>
      <c r="P26" s="486" t="s">
        <v>155</v>
      </c>
      <c r="Q26" s="496"/>
      <c r="R26" s="485"/>
      <c r="S26" s="485"/>
      <c r="T26" s="50" t="s">
        <v>34</v>
      </c>
      <c r="U26" s="486" t="s">
        <v>155</v>
      </c>
      <c r="V26" s="496"/>
      <c r="W26" s="485"/>
      <c r="X26" s="485"/>
      <c r="Y26" s="50" t="s">
        <v>34</v>
      </c>
      <c r="Z26" s="486" t="s">
        <v>155</v>
      </c>
      <c r="AA26" s="487"/>
      <c r="AB26" s="485"/>
      <c r="AC26" s="485"/>
      <c r="AD26" s="50" t="s">
        <v>34</v>
      </c>
      <c r="AE26" s="486" t="s">
        <v>155</v>
      </c>
      <c r="AF26" s="487"/>
    </row>
    <row r="27" spans="2:32" ht="12.75" customHeight="1" x14ac:dyDescent="0.2">
      <c r="B27" s="540"/>
      <c r="C27" s="466"/>
      <c r="D27" s="460"/>
      <c r="E27" s="51" t="s">
        <v>35</v>
      </c>
      <c r="F27" s="461" t="s">
        <v>155</v>
      </c>
      <c r="G27" s="462"/>
      <c r="H27" s="460"/>
      <c r="I27" s="460"/>
      <c r="J27" s="51" t="s">
        <v>35</v>
      </c>
      <c r="K27" s="461" t="s">
        <v>155</v>
      </c>
      <c r="L27" s="462"/>
      <c r="M27" s="460"/>
      <c r="N27" s="460"/>
      <c r="O27" s="51" t="s">
        <v>35</v>
      </c>
      <c r="P27" s="461" t="s">
        <v>155</v>
      </c>
      <c r="Q27" s="462"/>
      <c r="R27" s="460"/>
      <c r="S27" s="460"/>
      <c r="T27" s="51" t="s">
        <v>35</v>
      </c>
      <c r="U27" s="461" t="s">
        <v>155</v>
      </c>
      <c r="V27" s="462"/>
      <c r="W27" s="460"/>
      <c r="X27" s="460"/>
      <c r="Y27" s="51" t="s">
        <v>35</v>
      </c>
      <c r="Z27" s="461" t="s">
        <v>155</v>
      </c>
      <c r="AA27" s="465"/>
      <c r="AB27" s="460"/>
      <c r="AC27" s="460"/>
      <c r="AD27" s="51" t="s">
        <v>35</v>
      </c>
      <c r="AE27" s="461" t="s">
        <v>155</v>
      </c>
      <c r="AF27" s="465"/>
    </row>
    <row r="28" spans="2:32" ht="18" customHeight="1" x14ac:dyDescent="0.2">
      <c r="B28" s="534">
        <v>0</v>
      </c>
      <c r="C28" s="471" t="s">
        <v>154</v>
      </c>
      <c r="D28" s="472"/>
      <c r="E28" s="475" t="s">
        <v>155</v>
      </c>
      <c r="F28" s="475"/>
      <c r="G28" s="476"/>
      <c r="H28" s="479" t="s">
        <v>156</v>
      </c>
      <c r="I28" s="480"/>
      <c r="J28" s="475" t="s">
        <v>155</v>
      </c>
      <c r="K28" s="475"/>
      <c r="L28" s="476"/>
      <c r="M28" s="493" t="s">
        <v>156</v>
      </c>
      <c r="N28" s="480"/>
      <c r="O28" s="475" t="s">
        <v>155</v>
      </c>
      <c r="P28" s="475"/>
      <c r="Q28" s="476"/>
      <c r="R28" s="493" t="s">
        <v>156</v>
      </c>
      <c r="S28" s="480"/>
      <c r="T28" s="475" t="s">
        <v>155</v>
      </c>
      <c r="U28" s="475"/>
      <c r="V28" s="476"/>
      <c r="W28" s="493" t="s">
        <v>156</v>
      </c>
      <c r="X28" s="480"/>
      <c r="Y28" s="475" t="s">
        <v>155</v>
      </c>
      <c r="Z28" s="475"/>
      <c r="AA28" s="498"/>
      <c r="AB28" s="480" t="s">
        <v>156</v>
      </c>
      <c r="AC28" s="480"/>
      <c r="AD28" s="475" t="s">
        <v>155</v>
      </c>
      <c r="AE28" s="475"/>
      <c r="AF28" s="498"/>
    </row>
    <row r="29" spans="2:32" ht="18" customHeight="1" x14ac:dyDescent="0.2">
      <c r="B29" s="535"/>
      <c r="C29" s="473"/>
      <c r="D29" s="474"/>
      <c r="E29" s="477"/>
      <c r="F29" s="477"/>
      <c r="G29" s="478"/>
      <c r="H29" s="481"/>
      <c r="I29" s="482"/>
      <c r="J29" s="477"/>
      <c r="K29" s="477"/>
      <c r="L29" s="478"/>
      <c r="M29" s="481"/>
      <c r="N29" s="482"/>
      <c r="O29" s="483"/>
      <c r="P29" s="483"/>
      <c r="Q29" s="484"/>
      <c r="R29" s="481"/>
      <c r="S29" s="482"/>
      <c r="T29" s="483"/>
      <c r="U29" s="483"/>
      <c r="V29" s="484"/>
      <c r="W29" s="481"/>
      <c r="X29" s="482"/>
      <c r="Y29" s="483"/>
      <c r="Z29" s="483"/>
      <c r="AA29" s="499"/>
      <c r="AB29" s="482"/>
      <c r="AC29" s="482"/>
      <c r="AD29" s="477"/>
      <c r="AE29" s="477"/>
      <c r="AF29" s="500"/>
    </row>
    <row r="30" spans="2:32" ht="12.75" customHeight="1" x14ac:dyDescent="0.2">
      <c r="B30" s="535"/>
      <c r="C30" s="514"/>
      <c r="D30" s="514"/>
      <c r="E30" s="491" t="s">
        <v>155</v>
      </c>
      <c r="F30" s="491"/>
      <c r="G30" s="492"/>
      <c r="H30" s="485"/>
      <c r="I30" s="485"/>
      <c r="J30" s="491" t="s">
        <v>155</v>
      </c>
      <c r="K30" s="491"/>
      <c r="L30" s="492"/>
      <c r="M30" s="485"/>
      <c r="N30" s="485"/>
      <c r="O30" s="491" t="s">
        <v>155</v>
      </c>
      <c r="P30" s="491"/>
      <c r="Q30" s="492"/>
      <c r="R30" s="485"/>
      <c r="S30" s="485"/>
      <c r="T30" s="491" t="s">
        <v>155</v>
      </c>
      <c r="U30" s="491"/>
      <c r="V30" s="492"/>
      <c r="W30" s="485"/>
      <c r="X30" s="485"/>
      <c r="Y30" s="491" t="s">
        <v>155</v>
      </c>
      <c r="Z30" s="491"/>
      <c r="AA30" s="497"/>
      <c r="AB30" s="485"/>
      <c r="AC30" s="485"/>
      <c r="AD30" s="491" t="s">
        <v>155</v>
      </c>
      <c r="AE30" s="491"/>
      <c r="AF30" s="497"/>
    </row>
    <row r="31" spans="2:32" ht="12.75" customHeight="1" x14ac:dyDescent="0.2">
      <c r="B31" s="536"/>
      <c r="C31" s="485"/>
      <c r="D31" s="485"/>
      <c r="E31" s="50" t="s">
        <v>34</v>
      </c>
      <c r="F31" s="486" t="s">
        <v>155</v>
      </c>
      <c r="G31" s="496"/>
      <c r="H31" s="485"/>
      <c r="I31" s="485"/>
      <c r="J31" s="50" t="s">
        <v>34</v>
      </c>
      <c r="K31" s="486" t="s">
        <v>155</v>
      </c>
      <c r="L31" s="496"/>
      <c r="M31" s="485"/>
      <c r="N31" s="485"/>
      <c r="O31" s="50" t="s">
        <v>34</v>
      </c>
      <c r="P31" s="486" t="s">
        <v>155</v>
      </c>
      <c r="Q31" s="496"/>
      <c r="R31" s="485"/>
      <c r="S31" s="485"/>
      <c r="T31" s="50" t="s">
        <v>34</v>
      </c>
      <c r="U31" s="486" t="s">
        <v>155</v>
      </c>
      <c r="V31" s="496"/>
      <c r="W31" s="485"/>
      <c r="X31" s="485"/>
      <c r="Y31" s="50" t="s">
        <v>34</v>
      </c>
      <c r="Z31" s="486" t="s">
        <v>155</v>
      </c>
      <c r="AA31" s="487"/>
      <c r="AB31" s="485"/>
      <c r="AC31" s="485"/>
      <c r="AD31" s="50" t="s">
        <v>34</v>
      </c>
      <c r="AE31" s="486" t="s">
        <v>155</v>
      </c>
      <c r="AF31" s="487"/>
    </row>
    <row r="32" spans="2:32" ht="12.75" customHeight="1" x14ac:dyDescent="0.2">
      <c r="B32" s="537"/>
      <c r="C32" s="466"/>
      <c r="D32" s="460"/>
      <c r="E32" s="51" t="s">
        <v>35</v>
      </c>
      <c r="F32" s="461" t="s">
        <v>155</v>
      </c>
      <c r="G32" s="462"/>
      <c r="H32" s="460"/>
      <c r="I32" s="460"/>
      <c r="J32" s="51" t="s">
        <v>35</v>
      </c>
      <c r="K32" s="461" t="s">
        <v>155</v>
      </c>
      <c r="L32" s="462"/>
      <c r="M32" s="460"/>
      <c r="N32" s="460"/>
      <c r="O32" s="51" t="s">
        <v>35</v>
      </c>
      <c r="P32" s="461" t="s">
        <v>155</v>
      </c>
      <c r="Q32" s="462"/>
      <c r="R32" s="460"/>
      <c r="S32" s="460"/>
      <c r="T32" s="51" t="s">
        <v>35</v>
      </c>
      <c r="U32" s="461" t="s">
        <v>155</v>
      </c>
      <c r="V32" s="462"/>
      <c r="W32" s="460"/>
      <c r="X32" s="460"/>
      <c r="Y32" s="51" t="s">
        <v>35</v>
      </c>
      <c r="Z32" s="461" t="s">
        <v>155</v>
      </c>
      <c r="AA32" s="465"/>
      <c r="AB32" s="460"/>
      <c r="AC32" s="460"/>
      <c r="AD32" s="51" t="s">
        <v>35</v>
      </c>
      <c r="AE32" s="461" t="s">
        <v>155</v>
      </c>
      <c r="AF32" s="465"/>
    </row>
    <row r="33" spans="1:32" ht="18" customHeight="1" x14ac:dyDescent="0.2">
      <c r="B33" s="534" t="s">
        <v>11</v>
      </c>
      <c r="C33" s="471" t="s">
        <v>154</v>
      </c>
      <c r="D33" s="472"/>
      <c r="E33" s="475" t="s">
        <v>155</v>
      </c>
      <c r="F33" s="475"/>
      <c r="G33" s="476"/>
      <c r="H33" s="479" t="s">
        <v>154</v>
      </c>
      <c r="I33" s="480"/>
      <c r="J33" s="475" t="s">
        <v>155</v>
      </c>
      <c r="K33" s="475"/>
      <c r="L33" s="476"/>
      <c r="M33" s="493" t="s">
        <v>154</v>
      </c>
      <c r="N33" s="480"/>
      <c r="O33" s="475" t="s">
        <v>155</v>
      </c>
      <c r="P33" s="475"/>
      <c r="Q33" s="476"/>
      <c r="R33" s="493" t="s">
        <v>154</v>
      </c>
      <c r="S33" s="480"/>
      <c r="T33" s="475" t="s">
        <v>155</v>
      </c>
      <c r="U33" s="475"/>
      <c r="V33" s="476"/>
      <c r="W33" s="493" t="s">
        <v>154</v>
      </c>
      <c r="X33" s="480"/>
      <c r="Y33" s="475" t="s">
        <v>155</v>
      </c>
      <c r="Z33" s="475"/>
      <c r="AA33" s="498"/>
      <c r="AB33" s="480" t="s">
        <v>154</v>
      </c>
      <c r="AC33" s="480"/>
      <c r="AD33" s="475" t="s">
        <v>155</v>
      </c>
      <c r="AE33" s="475"/>
      <c r="AF33" s="498"/>
    </row>
    <row r="34" spans="1:32" ht="18" customHeight="1" x14ac:dyDescent="0.2">
      <c r="B34" s="535"/>
      <c r="C34" s="473"/>
      <c r="D34" s="474"/>
      <c r="E34" s="477"/>
      <c r="F34" s="477"/>
      <c r="G34" s="478"/>
      <c r="H34" s="481"/>
      <c r="I34" s="482"/>
      <c r="J34" s="477"/>
      <c r="K34" s="477"/>
      <c r="L34" s="478"/>
      <c r="M34" s="481"/>
      <c r="N34" s="482"/>
      <c r="O34" s="483"/>
      <c r="P34" s="483"/>
      <c r="Q34" s="484"/>
      <c r="R34" s="481"/>
      <c r="S34" s="482"/>
      <c r="T34" s="483"/>
      <c r="U34" s="483"/>
      <c r="V34" s="484"/>
      <c r="W34" s="481"/>
      <c r="X34" s="482"/>
      <c r="Y34" s="483"/>
      <c r="Z34" s="483"/>
      <c r="AA34" s="499"/>
      <c r="AB34" s="482"/>
      <c r="AC34" s="482"/>
      <c r="AD34" s="477"/>
      <c r="AE34" s="477"/>
      <c r="AF34" s="500"/>
    </row>
    <row r="35" spans="1:32" ht="12.75" customHeight="1" x14ac:dyDescent="0.2">
      <c r="B35" s="535"/>
      <c r="C35" s="514"/>
      <c r="D35" s="514"/>
      <c r="E35" s="491" t="s">
        <v>155</v>
      </c>
      <c r="F35" s="491"/>
      <c r="G35" s="492"/>
      <c r="H35" s="485"/>
      <c r="I35" s="485"/>
      <c r="J35" s="491" t="s">
        <v>155</v>
      </c>
      <c r="K35" s="491"/>
      <c r="L35" s="492"/>
      <c r="M35" s="485"/>
      <c r="N35" s="485"/>
      <c r="O35" s="491" t="s">
        <v>155</v>
      </c>
      <c r="P35" s="491"/>
      <c r="Q35" s="492"/>
      <c r="R35" s="485"/>
      <c r="S35" s="485"/>
      <c r="T35" s="491" t="s">
        <v>155</v>
      </c>
      <c r="U35" s="491"/>
      <c r="V35" s="492"/>
      <c r="W35" s="485"/>
      <c r="X35" s="485"/>
      <c r="Y35" s="491" t="s">
        <v>155</v>
      </c>
      <c r="Z35" s="491"/>
      <c r="AA35" s="497"/>
      <c r="AB35" s="485"/>
      <c r="AC35" s="485"/>
      <c r="AD35" s="491" t="s">
        <v>155</v>
      </c>
      <c r="AE35" s="491"/>
      <c r="AF35" s="497"/>
    </row>
    <row r="36" spans="1:32" ht="12.75" customHeight="1" x14ac:dyDescent="0.2">
      <c r="B36" s="536"/>
      <c r="C36" s="485"/>
      <c r="D36" s="485"/>
      <c r="E36" s="50" t="s">
        <v>34</v>
      </c>
      <c r="F36" s="486" t="s">
        <v>155</v>
      </c>
      <c r="G36" s="496"/>
      <c r="H36" s="485"/>
      <c r="I36" s="485"/>
      <c r="J36" s="50" t="s">
        <v>34</v>
      </c>
      <c r="K36" s="486" t="s">
        <v>155</v>
      </c>
      <c r="L36" s="496"/>
      <c r="M36" s="485"/>
      <c r="N36" s="485"/>
      <c r="O36" s="50" t="s">
        <v>34</v>
      </c>
      <c r="P36" s="486" t="s">
        <v>155</v>
      </c>
      <c r="Q36" s="496"/>
      <c r="R36" s="485"/>
      <c r="S36" s="485"/>
      <c r="T36" s="50" t="s">
        <v>34</v>
      </c>
      <c r="U36" s="486" t="s">
        <v>155</v>
      </c>
      <c r="V36" s="496"/>
      <c r="W36" s="485"/>
      <c r="X36" s="485"/>
      <c r="Y36" s="50" t="s">
        <v>34</v>
      </c>
      <c r="Z36" s="486" t="s">
        <v>155</v>
      </c>
      <c r="AA36" s="487"/>
      <c r="AB36" s="485"/>
      <c r="AC36" s="485"/>
      <c r="AD36" s="50" t="s">
        <v>34</v>
      </c>
      <c r="AE36" s="486" t="s">
        <v>155</v>
      </c>
      <c r="AF36" s="487"/>
    </row>
    <row r="37" spans="1:32" ht="12.75" customHeight="1" x14ac:dyDescent="0.2">
      <c r="B37" s="537"/>
      <c r="C37" s="466"/>
      <c r="D37" s="460"/>
      <c r="E37" s="51" t="s">
        <v>35</v>
      </c>
      <c r="F37" s="461" t="s">
        <v>155</v>
      </c>
      <c r="G37" s="462"/>
      <c r="H37" s="460"/>
      <c r="I37" s="460"/>
      <c r="J37" s="51" t="s">
        <v>35</v>
      </c>
      <c r="K37" s="461" t="s">
        <v>155</v>
      </c>
      <c r="L37" s="462"/>
      <c r="M37" s="460"/>
      <c r="N37" s="460"/>
      <c r="O37" s="51" t="s">
        <v>35</v>
      </c>
      <c r="P37" s="461" t="s">
        <v>155</v>
      </c>
      <c r="Q37" s="462"/>
      <c r="R37" s="460"/>
      <c r="S37" s="460"/>
      <c r="T37" s="51" t="s">
        <v>35</v>
      </c>
      <c r="U37" s="461" t="s">
        <v>155</v>
      </c>
      <c r="V37" s="462"/>
      <c r="W37" s="460"/>
      <c r="X37" s="460"/>
      <c r="Y37" s="51" t="s">
        <v>35</v>
      </c>
      <c r="Z37" s="461" t="s">
        <v>155</v>
      </c>
      <c r="AA37" s="465"/>
      <c r="AB37" s="460"/>
      <c r="AC37" s="460"/>
      <c r="AD37" s="51" t="s">
        <v>35</v>
      </c>
      <c r="AE37" s="461" t="s">
        <v>155</v>
      </c>
      <c r="AF37" s="465"/>
    </row>
    <row r="38" spans="1:32" ht="18" customHeight="1" x14ac:dyDescent="0.2">
      <c r="B38" s="534" t="s">
        <v>11</v>
      </c>
      <c r="C38" s="471" t="s">
        <v>154</v>
      </c>
      <c r="D38" s="472"/>
      <c r="E38" s="475" t="s">
        <v>155</v>
      </c>
      <c r="F38" s="475"/>
      <c r="G38" s="476"/>
      <c r="H38" s="479" t="s">
        <v>154</v>
      </c>
      <c r="I38" s="480"/>
      <c r="J38" s="475" t="s">
        <v>155</v>
      </c>
      <c r="K38" s="475"/>
      <c r="L38" s="476"/>
      <c r="M38" s="493" t="s">
        <v>154</v>
      </c>
      <c r="N38" s="480"/>
      <c r="O38" s="475" t="s">
        <v>155</v>
      </c>
      <c r="P38" s="475"/>
      <c r="Q38" s="476"/>
      <c r="R38" s="493" t="s">
        <v>154</v>
      </c>
      <c r="S38" s="480"/>
      <c r="T38" s="475" t="s">
        <v>155</v>
      </c>
      <c r="U38" s="475"/>
      <c r="V38" s="476"/>
      <c r="W38" s="493" t="s">
        <v>154</v>
      </c>
      <c r="X38" s="480"/>
      <c r="Y38" s="475" t="s">
        <v>155</v>
      </c>
      <c r="Z38" s="475"/>
      <c r="AA38" s="498"/>
      <c r="AB38" s="480" t="s">
        <v>154</v>
      </c>
      <c r="AC38" s="480"/>
      <c r="AD38" s="475" t="s">
        <v>155</v>
      </c>
      <c r="AE38" s="475"/>
      <c r="AF38" s="498"/>
    </row>
    <row r="39" spans="1:32" ht="18" customHeight="1" x14ac:dyDescent="0.2">
      <c r="B39" s="535"/>
      <c r="C39" s="473"/>
      <c r="D39" s="474"/>
      <c r="E39" s="477"/>
      <c r="F39" s="477"/>
      <c r="G39" s="478"/>
      <c r="H39" s="481"/>
      <c r="I39" s="482"/>
      <c r="J39" s="477"/>
      <c r="K39" s="477"/>
      <c r="L39" s="478"/>
      <c r="M39" s="481"/>
      <c r="N39" s="482"/>
      <c r="O39" s="483"/>
      <c r="P39" s="483"/>
      <c r="Q39" s="484"/>
      <c r="R39" s="481"/>
      <c r="S39" s="482"/>
      <c r="T39" s="483"/>
      <c r="U39" s="483"/>
      <c r="V39" s="484"/>
      <c r="W39" s="481"/>
      <c r="X39" s="482"/>
      <c r="Y39" s="483"/>
      <c r="Z39" s="483"/>
      <c r="AA39" s="499"/>
      <c r="AB39" s="482"/>
      <c r="AC39" s="482"/>
      <c r="AD39" s="477"/>
      <c r="AE39" s="477"/>
      <c r="AF39" s="500"/>
    </row>
    <row r="40" spans="1:32" ht="12.75" customHeight="1" x14ac:dyDescent="0.2">
      <c r="B40" s="535"/>
      <c r="C40" s="514"/>
      <c r="D40" s="514"/>
      <c r="E40" s="491" t="s">
        <v>155</v>
      </c>
      <c r="F40" s="491"/>
      <c r="G40" s="492"/>
      <c r="H40" s="485"/>
      <c r="I40" s="485"/>
      <c r="J40" s="491" t="s">
        <v>155</v>
      </c>
      <c r="K40" s="491"/>
      <c r="L40" s="492"/>
      <c r="M40" s="485"/>
      <c r="N40" s="485"/>
      <c r="O40" s="491" t="s">
        <v>155</v>
      </c>
      <c r="P40" s="491"/>
      <c r="Q40" s="492"/>
      <c r="R40" s="485"/>
      <c r="S40" s="485"/>
      <c r="T40" s="491" t="s">
        <v>155</v>
      </c>
      <c r="U40" s="491"/>
      <c r="V40" s="492"/>
      <c r="W40" s="485"/>
      <c r="X40" s="485"/>
      <c r="Y40" s="491" t="s">
        <v>155</v>
      </c>
      <c r="Z40" s="491"/>
      <c r="AA40" s="497"/>
      <c r="AB40" s="485"/>
      <c r="AC40" s="485"/>
      <c r="AD40" s="491" t="s">
        <v>155</v>
      </c>
      <c r="AE40" s="491"/>
      <c r="AF40" s="497"/>
    </row>
    <row r="41" spans="1:32" ht="12.75" customHeight="1" x14ac:dyDescent="0.2">
      <c r="B41" s="536"/>
      <c r="C41" s="485"/>
      <c r="D41" s="485"/>
      <c r="E41" s="50" t="s">
        <v>34</v>
      </c>
      <c r="F41" s="486" t="s">
        <v>155</v>
      </c>
      <c r="G41" s="496"/>
      <c r="H41" s="485"/>
      <c r="I41" s="485"/>
      <c r="J41" s="50" t="s">
        <v>34</v>
      </c>
      <c r="K41" s="486" t="s">
        <v>155</v>
      </c>
      <c r="L41" s="496"/>
      <c r="M41" s="485"/>
      <c r="N41" s="485"/>
      <c r="O41" s="50" t="s">
        <v>34</v>
      </c>
      <c r="P41" s="486" t="s">
        <v>155</v>
      </c>
      <c r="Q41" s="496"/>
      <c r="R41" s="485"/>
      <c r="S41" s="485"/>
      <c r="T41" s="50" t="s">
        <v>34</v>
      </c>
      <c r="U41" s="486" t="s">
        <v>155</v>
      </c>
      <c r="V41" s="496"/>
      <c r="W41" s="485"/>
      <c r="X41" s="485"/>
      <c r="Y41" s="50" t="s">
        <v>34</v>
      </c>
      <c r="Z41" s="486" t="s">
        <v>155</v>
      </c>
      <c r="AA41" s="487"/>
      <c r="AB41" s="485"/>
      <c r="AC41" s="485"/>
      <c r="AD41" s="50" t="s">
        <v>34</v>
      </c>
      <c r="AE41" s="486" t="s">
        <v>155</v>
      </c>
      <c r="AF41" s="487"/>
    </row>
    <row r="42" spans="1:32" ht="12.75" customHeight="1" thickBot="1" x14ac:dyDescent="0.25">
      <c r="B42" s="537"/>
      <c r="C42" s="466"/>
      <c r="D42" s="460"/>
      <c r="E42" s="51" t="s">
        <v>35</v>
      </c>
      <c r="F42" s="461" t="s">
        <v>155</v>
      </c>
      <c r="G42" s="462"/>
      <c r="H42" s="460"/>
      <c r="I42" s="460"/>
      <c r="J42" s="51" t="s">
        <v>35</v>
      </c>
      <c r="K42" s="461" t="s">
        <v>155</v>
      </c>
      <c r="L42" s="462"/>
      <c r="M42" s="460"/>
      <c r="N42" s="460"/>
      <c r="O42" s="51" t="s">
        <v>35</v>
      </c>
      <c r="P42" s="461" t="s">
        <v>155</v>
      </c>
      <c r="Q42" s="462"/>
      <c r="R42" s="460"/>
      <c r="S42" s="460"/>
      <c r="T42" s="51" t="s">
        <v>35</v>
      </c>
      <c r="U42" s="461" t="s">
        <v>155</v>
      </c>
      <c r="V42" s="462"/>
      <c r="W42" s="460"/>
      <c r="X42" s="460"/>
      <c r="Y42" s="51" t="s">
        <v>35</v>
      </c>
      <c r="Z42" s="461" t="s">
        <v>155</v>
      </c>
      <c r="AA42" s="465"/>
      <c r="AB42" s="460"/>
      <c r="AC42" s="460"/>
      <c r="AD42" s="51" t="s">
        <v>35</v>
      </c>
      <c r="AE42" s="461" t="s">
        <v>155</v>
      </c>
      <c r="AF42" s="465"/>
    </row>
    <row r="43" spans="1:32" s="108" customFormat="1" ht="12" customHeight="1" x14ac:dyDescent="0.2">
      <c r="A43" s="454" t="s">
        <v>36</v>
      </c>
      <c r="B43" s="456" t="e">
        <v>#REF!</v>
      </c>
      <c r="C43" s="53" t="e">
        <v>#REF!</v>
      </c>
      <c r="D43" s="54"/>
      <c r="E43" s="55" t="e">
        <v>#REF!</v>
      </c>
      <c r="F43" s="54"/>
      <c r="G43" s="54"/>
      <c r="H43" s="56" t="e">
        <v>#REF!</v>
      </c>
      <c r="I43" s="54"/>
      <c r="J43" s="55" t="e">
        <v>#REF!</v>
      </c>
      <c r="K43" s="57"/>
      <c r="L43" s="54"/>
      <c r="M43" s="56" t="e">
        <v>#REF!</v>
      </c>
      <c r="N43" s="58"/>
      <c r="O43" s="55" t="e">
        <v>#REF!</v>
      </c>
      <c r="P43" s="58"/>
      <c r="Q43" s="58"/>
      <c r="R43" s="56" t="e">
        <v>#REF!</v>
      </c>
      <c r="S43" s="58"/>
      <c r="T43" s="55" t="e">
        <v>#REF!</v>
      </c>
      <c r="U43" s="58"/>
      <c r="V43" s="58"/>
      <c r="W43" s="56" t="e">
        <v>#REF!</v>
      </c>
      <c r="X43" s="58"/>
      <c r="Y43" s="55" t="e">
        <v>#REF!</v>
      </c>
      <c r="Z43" s="58"/>
      <c r="AA43" s="59"/>
      <c r="AB43" s="60" t="e">
        <v>#REF!</v>
      </c>
      <c r="AC43" s="57"/>
      <c r="AD43" s="55" t="e">
        <v>#REF!</v>
      </c>
      <c r="AE43" s="54"/>
      <c r="AF43" s="61"/>
    </row>
    <row r="44" spans="1:32" s="108" customFormat="1" ht="12" customHeight="1" x14ac:dyDescent="0.2">
      <c r="A44" s="455"/>
      <c r="B44" s="457"/>
      <c r="C44" s="62" t="e">
        <v>#REF!</v>
      </c>
      <c r="D44" s="63"/>
      <c r="E44" s="64" t="e">
        <v>#REF!</v>
      </c>
      <c r="F44" s="63"/>
      <c r="G44" s="63"/>
      <c r="H44" s="65" t="e">
        <v>#REF!</v>
      </c>
      <c r="I44" s="63"/>
      <c r="J44" s="64" t="e">
        <v>#REF!</v>
      </c>
      <c r="K44" s="66"/>
      <c r="L44" s="63"/>
      <c r="M44" s="65" t="e">
        <v>#REF!</v>
      </c>
      <c r="N44" s="67"/>
      <c r="O44" s="64" t="e">
        <v>#REF!</v>
      </c>
      <c r="P44" s="67"/>
      <c r="Q44" s="67"/>
      <c r="R44" s="65" t="e">
        <v>#REF!</v>
      </c>
      <c r="S44" s="67"/>
      <c r="T44" s="64" t="e">
        <v>#REF!</v>
      </c>
      <c r="U44" s="67"/>
      <c r="V44" s="67"/>
      <c r="W44" s="65" t="e">
        <v>#REF!</v>
      </c>
      <c r="X44" s="67"/>
      <c r="Y44" s="64" t="e">
        <v>#REF!</v>
      </c>
      <c r="Z44" s="67"/>
      <c r="AA44" s="68"/>
      <c r="AB44" s="63" t="e">
        <v>#REF!</v>
      </c>
      <c r="AC44" s="66"/>
      <c r="AD44" s="64" t="e">
        <v>#REF!</v>
      </c>
      <c r="AE44" s="63"/>
      <c r="AF44" s="69"/>
    </row>
    <row r="45" spans="1:32" s="108" customFormat="1" ht="12" customHeight="1" x14ac:dyDescent="0.2">
      <c r="A45" s="70"/>
      <c r="B45" s="458" t="s">
        <v>15</v>
      </c>
      <c r="C45" s="71" t="s">
        <v>91</v>
      </c>
      <c r="D45" s="72"/>
      <c r="E45" s="73" t="s">
        <v>91</v>
      </c>
      <c r="F45" s="72"/>
      <c r="G45" s="72"/>
      <c r="H45" s="74" t="s">
        <v>91</v>
      </c>
      <c r="I45" s="72"/>
      <c r="J45" s="73" t="s">
        <v>91</v>
      </c>
      <c r="K45" s="75"/>
      <c r="L45" s="72"/>
      <c r="M45" s="74" t="s">
        <v>91</v>
      </c>
      <c r="N45" s="75"/>
      <c r="O45" s="73" t="s">
        <v>91</v>
      </c>
      <c r="P45" s="72"/>
      <c r="Q45" s="75"/>
      <c r="R45" s="74" t="s">
        <v>91</v>
      </c>
      <c r="S45" s="72"/>
      <c r="T45" s="73" t="s">
        <v>91</v>
      </c>
      <c r="U45" s="76"/>
      <c r="V45" s="76"/>
      <c r="W45" s="74" t="s">
        <v>91</v>
      </c>
      <c r="X45" s="76"/>
      <c r="Y45" s="73" t="s">
        <v>91</v>
      </c>
      <c r="Z45" s="76"/>
      <c r="AA45" s="77"/>
      <c r="AB45" s="72" t="s">
        <v>91</v>
      </c>
      <c r="AC45" s="76"/>
      <c r="AD45" s="73" t="s">
        <v>91</v>
      </c>
      <c r="AE45" s="76"/>
      <c r="AF45" s="77"/>
    </row>
    <row r="46" spans="1:32" s="108" customFormat="1" ht="12" customHeight="1" thickBot="1" x14ac:dyDescent="0.25">
      <c r="A46" s="70"/>
      <c r="B46" s="459"/>
      <c r="C46" s="78" t="s">
        <v>91</v>
      </c>
      <c r="D46" s="79"/>
      <c r="E46" s="80" t="s">
        <v>91</v>
      </c>
      <c r="F46" s="79"/>
      <c r="G46" s="79"/>
      <c r="H46" s="81" t="s">
        <v>91</v>
      </c>
      <c r="I46" s="79"/>
      <c r="J46" s="80" t="s">
        <v>91</v>
      </c>
      <c r="K46" s="82"/>
      <c r="L46" s="79"/>
      <c r="M46" s="81" t="s">
        <v>91</v>
      </c>
      <c r="N46" s="82"/>
      <c r="O46" s="80" t="s">
        <v>91</v>
      </c>
      <c r="P46" s="79"/>
      <c r="Q46" s="82"/>
      <c r="R46" s="81" t="s">
        <v>91</v>
      </c>
      <c r="S46" s="79"/>
      <c r="T46" s="80" t="s">
        <v>91</v>
      </c>
      <c r="U46" s="83"/>
      <c r="V46" s="83"/>
      <c r="W46" s="81" t="s">
        <v>91</v>
      </c>
      <c r="X46" s="83"/>
      <c r="Y46" s="80" t="s">
        <v>91</v>
      </c>
      <c r="Z46" s="83"/>
      <c r="AA46" s="84"/>
      <c r="AB46" s="79" t="s">
        <v>91</v>
      </c>
      <c r="AC46" s="83"/>
      <c r="AD46" s="80" t="s">
        <v>91</v>
      </c>
      <c r="AE46" s="83"/>
      <c r="AF46" s="84"/>
    </row>
    <row r="47" spans="1:32" s="85" customFormat="1" ht="12.75" customHeight="1" x14ac:dyDescent="0.2">
      <c r="B47" s="86" t="s">
        <v>37</v>
      </c>
      <c r="C47" s="31"/>
      <c r="E47" s="87"/>
      <c r="F47" s="87"/>
      <c r="G47" s="87"/>
      <c r="H47" s="88"/>
      <c r="I47" s="87"/>
      <c r="J47" s="87"/>
      <c r="K47" s="87"/>
      <c r="L47" s="87"/>
      <c r="M47" s="88"/>
      <c r="N47" s="87"/>
      <c r="O47" s="87"/>
      <c r="P47" s="87"/>
      <c r="Q47" s="87"/>
      <c r="R47" s="88"/>
      <c r="S47" s="87"/>
      <c r="T47" s="87"/>
      <c r="U47" s="87"/>
      <c r="V47" s="87"/>
      <c r="W47" s="88"/>
      <c r="X47" s="87"/>
      <c r="Y47" s="87"/>
      <c r="Z47" s="87"/>
      <c r="AA47" s="89"/>
      <c r="AB47" s="90"/>
      <c r="AC47" s="87"/>
      <c r="AD47" s="87"/>
      <c r="AE47" s="87"/>
      <c r="AF47" s="89"/>
    </row>
    <row r="48" spans="1:32" s="85" customFormat="1" ht="12.75" customHeight="1" x14ac:dyDescent="0.2">
      <c r="B48" s="91"/>
      <c r="C48" s="31"/>
      <c r="H48" s="92"/>
      <c r="M48" s="92"/>
      <c r="R48" s="92"/>
      <c r="W48" s="92"/>
      <c r="AA48" s="93"/>
      <c r="AB48" s="31"/>
      <c r="AF48" s="93"/>
    </row>
    <row r="49" spans="2:32" s="85" customFormat="1" ht="12.75" customHeight="1" x14ac:dyDescent="0.2">
      <c r="B49" s="91"/>
      <c r="C49" s="31"/>
      <c r="H49" s="92"/>
      <c r="I49" s="94"/>
      <c r="M49" s="92"/>
      <c r="R49" s="92"/>
      <c r="W49" s="92"/>
      <c r="AA49" s="93"/>
      <c r="AB49" s="31"/>
      <c r="AF49" s="93"/>
    </row>
    <row r="50" spans="2:32" s="85" customFormat="1" ht="12.75" customHeight="1" x14ac:dyDescent="0.2">
      <c r="B50" s="91"/>
      <c r="C50" s="31"/>
      <c r="H50" s="92"/>
      <c r="M50" s="92"/>
      <c r="R50" s="92"/>
      <c r="W50" s="92"/>
      <c r="AA50" s="93"/>
      <c r="AB50" s="31"/>
      <c r="AF50" s="93"/>
    </row>
    <row r="51" spans="2:32" s="85" customFormat="1" ht="12.75" customHeight="1" x14ac:dyDescent="0.2">
      <c r="B51" s="91"/>
      <c r="C51" s="31"/>
      <c r="H51" s="92"/>
      <c r="M51" s="92"/>
      <c r="R51" s="92"/>
      <c r="W51" s="92"/>
      <c r="AA51" s="93"/>
      <c r="AB51" s="31"/>
      <c r="AF51" s="93"/>
    </row>
    <row r="52" spans="2:32" s="85" customFormat="1" ht="12.75" hidden="1" customHeight="1" x14ac:dyDescent="0.2">
      <c r="B52" s="91"/>
      <c r="C52" s="31"/>
      <c r="H52" s="92"/>
      <c r="I52" s="94"/>
      <c r="M52" s="92"/>
      <c r="R52" s="92"/>
      <c r="W52" s="92"/>
      <c r="AA52" s="93"/>
      <c r="AB52" s="31"/>
      <c r="AF52" s="93"/>
    </row>
    <row r="53" spans="2:32" s="85" customFormat="1" ht="12.75" hidden="1" customHeight="1" x14ac:dyDescent="0.2">
      <c r="B53" s="91"/>
      <c r="C53" s="31"/>
      <c r="H53" s="92"/>
      <c r="I53" s="94"/>
      <c r="M53" s="92"/>
      <c r="R53" s="92"/>
      <c r="W53" s="92"/>
      <c r="AA53" s="93"/>
      <c r="AB53" s="31"/>
      <c r="AF53" s="93"/>
    </row>
    <row r="54" spans="2:32" s="85" customFormat="1" ht="12.75" customHeight="1" x14ac:dyDescent="0.2">
      <c r="B54" s="91"/>
      <c r="C54" s="31"/>
      <c r="H54" s="92"/>
      <c r="I54" s="94"/>
      <c r="M54" s="92"/>
      <c r="R54" s="92"/>
      <c r="W54" s="92"/>
      <c r="AA54" s="93"/>
      <c r="AB54" s="31"/>
      <c r="AF54" s="93"/>
    </row>
    <row r="55" spans="2:32" s="85" customFormat="1" ht="12.75" customHeight="1" x14ac:dyDescent="0.2">
      <c r="B55" s="91"/>
      <c r="C55" s="31"/>
      <c r="H55" s="92"/>
      <c r="M55" s="92"/>
      <c r="R55" s="92"/>
      <c r="W55" s="92"/>
      <c r="AA55" s="93"/>
      <c r="AB55" s="31"/>
      <c r="AF55" s="93"/>
    </row>
    <row r="56" spans="2:32" s="85" customFormat="1" ht="12.75" hidden="1" customHeight="1" x14ac:dyDescent="0.2">
      <c r="B56" s="91"/>
      <c r="C56" s="31"/>
      <c r="H56" s="92"/>
      <c r="M56" s="92"/>
      <c r="R56" s="92"/>
      <c r="W56" s="92"/>
      <c r="AA56" s="93"/>
      <c r="AB56" s="31"/>
      <c r="AF56" s="93"/>
    </row>
    <row r="57" spans="2:32" s="85" customFormat="1" ht="12.75" hidden="1" customHeight="1" x14ac:dyDescent="0.2">
      <c r="B57" s="91"/>
      <c r="C57" s="31"/>
      <c r="H57" s="92"/>
      <c r="I57" s="94"/>
      <c r="J57" s="94"/>
      <c r="M57" s="92"/>
      <c r="R57" s="92"/>
      <c r="W57" s="92"/>
      <c r="AA57" s="93"/>
      <c r="AB57" s="31"/>
      <c r="AF57" s="93"/>
    </row>
    <row r="58" spans="2:32" s="85" customFormat="1" ht="12.75" hidden="1" customHeight="1" x14ac:dyDescent="0.2">
      <c r="B58" s="91"/>
      <c r="C58" s="31"/>
      <c r="H58" s="92"/>
      <c r="I58" s="94"/>
      <c r="J58" s="94"/>
      <c r="M58" s="92"/>
      <c r="R58" s="92"/>
      <c r="W58" s="92"/>
      <c r="AA58" s="93"/>
      <c r="AB58" s="31"/>
      <c r="AF58" s="93"/>
    </row>
    <row r="59" spans="2:32" s="85" customFormat="1" ht="12.75" hidden="1" customHeight="1" x14ac:dyDescent="0.2">
      <c r="B59" s="91"/>
      <c r="C59" s="31"/>
      <c r="H59" s="92"/>
      <c r="I59" s="94"/>
      <c r="J59" s="94"/>
      <c r="M59" s="92"/>
      <c r="R59" s="92"/>
      <c r="W59" s="92"/>
      <c r="AA59" s="93"/>
      <c r="AB59" s="31"/>
      <c r="AF59" s="93"/>
    </row>
    <row r="60" spans="2:32" s="85" customFormat="1" ht="12.75" customHeight="1" thickBot="1" x14ac:dyDescent="0.25">
      <c r="B60" s="95"/>
      <c r="C60" s="96"/>
      <c r="D60" s="97"/>
      <c r="E60" s="98"/>
      <c r="F60" s="97"/>
      <c r="G60" s="97"/>
      <c r="H60" s="99"/>
      <c r="I60" s="98"/>
      <c r="J60" s="98"/>
      <c r="K60" s="97"/>
      <c r="L60" s="97"/>
      <c r="M60" s="99"/>
      <c r="N60" s="97"/>
      <c r="O60" s="97"/>
      <c r="P60" s="97"/>
      <c r="Q60" s="97"/>
      <c r="R60" s="99"/>
      <c r="S60" s="97"/>
      <c r="T60" s="97"/>
      <c r="U60" s="97"/>
      <c r="V60" s="97"/>
      <c r="W60" s="99"/>
      <c r="X60" s="97"/>
      <c r="Y60" s="97"/>
      <c r="Z60" s="97"/>
      <c r="AA60" s="100"/>
      <c r="AB60" s="96"/>
      <c r="AC60" s="97"/>
      <c r="AD60" s="97"/>
      <c r="AE60" s="97"/>
      <c r="AF60" s="100"/>
    </row>
    <row r="61" spans="2:32" ht="18" customHeight="1" x14ac:dyDescent="0.2">
      <c r="D61" s="31"/>
    </row>
    <row r="62" spans="2:32" x14ac:dyDescent="0.2">
      <c r="D62" s="101"/>
    </row>
    <row r="63" spans="2:32" x14ac:dyDescent="0.2">
      <c r="D63" s="31" t="s">
        <v>64</v>
      </c>
      <c r="F63" s="27">
        <f>COUNTIF(C$3:C$60,D63)</f>
        <v>0</v>
      </c>
      <c r="H63" s="32"/>
      <c r="I63" s="31" t="s">
        <v>64</v>
      </c>
      <c r="K63" s="27">
        <f>COUNTIF(H$3:H$60,I63)</f>
        <v>0</v>
      </c>
      <c r="N63" s="31" t="s">
        <v>64</v>
      </c>
      <c r="P63" s="27">
        <f>COUNTIF(M$3:M$60,N63)</f>
        <v>0</v>
      </c>
      <c r="S63" s="31" t="s">
        <v>64</v>
      </c>
      <c r="U63" s="27">
        <f>COUNTIF(R$3:R$60,S63)</f>
        <v>0</v>
      </c>
      <c r="X63" s="31" t="s">
        <v>64</v>
      </c>
      <c r="Z63" s="27">
        <f>COUNTIF(W$3:W$60,X63)</f>
        <v>0</v>
      </c>
      <c r="AC63" s="31" t="s">
        <v>64</v>
      </c>
      <c r="AE63" s="27">
        <f>COUNTIF(AB$3:AB$60,AC63)</f>
        <v>0</v>
      </c>
    </row>
    <row r="64" spans="2:32" x14ac:dyDescent="0.2">
      <c r="D64" s="31" t="s">
        <v>65</v>
      </c>
      <c r="F64" s="27">
        <f>COUNTIF(C$3:C$60,D64)</f>
        <v>0</v>
      </c>
      <c r="H64" s="29"/>
      <c r="I64" s="31" t="s">
        <v>65</v>
      </c>
      <c r="K64" s="27">
        <f>COUNTIF(H$3:H$60,I64)</f>
        <v>0</v>
      </c>
      <c r="N64" s="31" t="s">
        <v>65</v>
      </c>
      <c r="P64" s="27">
        <f>COUNTIF(M$3:M$60,N64)</f>
        <v>0</v>
      </c>
      <c r="S64" s="31" t="s">
        <v>65</v>
      </c>
      <c r="U64" s="27">
        <f>COUNTIF(R$3:R$60,S64)</f>
        <v>0</v>
      </c>
      <c r="X64" s="31" t="s">
        <v>65</v>
      </c>
      <c r="Z64" s="27">
        <f>COUNTIF(W$3:W$60,X64)</f>
        <v>0</v>
      </c>
      <c r="AC64" s="31" t="s">
        <v>65</v>
      </c>
      <c r="AE64" s="27">
        <f>COUNTIF(AB$3:AB$60,AC64)</f>
        <v>0</v>
      </c>
    </row>
    <row r="65" spans="4:31" x14ac:dyDescent="0.2">
      <c r="D65" s="31" t="s">
        <v>66</v>
      </c>
      <c r="F65" s="27">
        <f>COUNTIF(C$3:C$60,D65)</f>
        <v>0</v>
      </c>
      <c r="H65" s="29"/>
      <c r="I65" s="31" t="s">
        <v>66</v>
      </c>
      <c r="K65" s="27">
        <f>COUNTIF(H$3:H$60,I65)</f>
        <v>0</v>
      </c>
      <c r="N65" s="31" t="s">
        <v>66</v>
      </c>
      <c r="P65" s="27">
        <f>COUNTIF(M$3:M$60,N65)</f>
        <v>0</v>
      </c>
      <c r="S65" s="31" t="s">
        <v>66</v>
      </c>
      <c r="U65" s="27">
        <f>COUNTIF(R$3:R$60,S65)</f>
        <v>0</v>
      </c>
      <c r="X65" s="31" t="s">
        <v>66</v>
      </c>
      <c r="Z65" s="27">
        <f>COUNTIF(W$3:W$60,X65)</f>
        <v>0</v>
      </c>
      <c r="AC65" s="31" t="s">
        <v>66</v>
      </c>
      <c r="AE65" s="27">
        <f>COUNTIF(AB$3:AB$60,AC65)</f>
        <v>0</v>
      </c>
    </row>
    <row r="66" spans="4:31" x14ac:dyDescent="0.2">
      <c r="D66" s="31" t="s">
        <v>67</v>
      </c>
      <c r="F66" s="27">
        <f>COUNTIF(C$3:C$60,D66)</f>
        <v>0</v>
      </c>
      <c r="H66" s="29"/>
      <c r="I66" s="31" t="s">
        <v>67</v>
      </c>
      <c r="K66" s="27">
        <f>COUNTIF(H$3:H$60,I66)</f>
        <v>0</v>
      </c>
      <c r="N66" s="31" t="s">
        <v>67</v>
      </c>
      <c r="P66" s="27">
        <f>COUNTIF(M$3:M$60,N66)</f>
        <v>0</v>
      </c>
      <c r="S66" s="31" t="s">
        <v>67</v>
      </c>
      <c r="U66" s="27">
        <f>COUNTIF(R$3:R$60,S66)</f>
        <v>0</v>
      </c>
      <c r="X66" s="31" t="s">
        <v>67</v>
      </c>
      <c r="Z66" s="27">
        <f>COUNTIF(W$3:W$60,X66)</f>
        <v>0</v>
      </c>
      <c r="AC66" s="31" t="s">
        <v>67</v>
      </c>
      <c r="AE66" s="27">
        <f>COUNTIF(AB$3:AB$60,AC66)</f>
        <v>0</v>
      </c>
    </row>
    <row r="67" spans="4:31" x14ac:dyDescent="0.2">
      <c r="D67" s="31"/>
      <c r="H67" s="29"/>
      <c r="I67" s="31"/>
      <c r="N67" s="31"/>
      <c r="S67" s="31"/>
      <c r="X67" s="31"/>
      <c r="AC67" s="31"/>
    </row>
    <row r="68" spans="4:31" x14ac:dyDescent="0.2">
      <c r="D68" s="31"/>
      <c r="I68" s="31"/>
      <c r="N68" s="31"/>
      <c r="S68" s="31"/>
      <c r="X68" s="31"/>
      <c r="AC68" s="31"/>
    </row>
    <row r="69" spans="4:31" x14ac:dyDescent="0.2">
      <c r="D69" s="31"/>
      <c r="I69" s="31"/>
      <c r="N69" s="31"/>
      <c r="S69" s="31"/>
      <c r="X69" s="31"/>
      <c r="AC69" s="31"/>
    </row>
    <row r="70" spans="4:31" x14ac:dyDescent="0.2">
      <c r="D70" s="31"/>
      <c r="I70" s="31"/>
      <c r="N70" s="31"/>
      <c r="S70" s="31"/>
      <c r="X70" s="31"/>
      <c r="AC70" s="31"/>
    </row>
    <row r="71" spans="4:31" x14ac:dyDescent="0.2">
      <c r="D71" s="31"/>
      <c r="I71" s="31"/>
      <c r="N71" s="31"/>
      <c r="S71" s="31"/>
      <c r="X71" s="31"/>
      <c r="AC71" s="31"/>
    </row>
    <row r="72" spans="4:31" x14ac:dyDescent="0.2">
      <c r="D72" s="31"/>
      <c r="I72" s="31"/>
      <c r="N72" s="31"/>
      <c r="S72" s="31"/>
      <c r="X72" s="31"/>
      <c r="AC72" s="31"/>
    </row>
    <row r="73" spans="4:31" x14ac:dyDescent="0.2">
      <c r="D73" s="31"/>
      <c r="I73" s="31"/>
      <c r="N73" s="31"/>
      <c r="S73" s="31"/>
      <c r="X73" s="31"/>
      <c r="AC73" s="31"/>
    </row>
    <row r="74" spans="4:31" x14ac:dyDescent="0.2">
      <c r="D74" s="31"/>
      <c r="I74" s="31"/>
      <c r="N74" s="31"/>
      <c r="S74" s="31"/>
      <c r="X74" s="31"/>
      <c r="AC74" s="31"/>
    </row>
    <row r="75" spans="4:31" x14ac:dyDescent="0.2">
      <c r="D75" s="31"/>
      <c r="I75" s="31"/>
      <c r="M75" s="102"/>
      <c r="N75" s="31"/>
      <c r="S75" s="31"/>
      <c r="X75" s="31"/>
      <c r="AC75" s="31"/>
    </row>
    <row r="76" spans="4:31" x14ac:dyDescent="0.2">
      <c r="D76" s="31"/>
      <c r="I76" s="31"/>
      <c r="M76" s="103"/>
      <c r="N76" s="31"/>
      <c r="S76" s="31"/>
      <c r="X76" s="31"/>
      <c r="AC76" s="31"/>
    </row>
    <row r="77" spans="4:31" x14ac:dyDescent="0.2">
      <c r="D77" s="31"/>
      <c r="I77" s="31"/>
      <c r="M77" s="103"/>
      <c r="N77" s="31"/>
      <c r="S77" s="31"/>
      <c r="X77" s="31"/>
      <c r="AC77" s="31"/>
    </row>
    <row r="78" spans="4:31" x14ac:dyDescent="0.2">
      <c r="M78" s="103"/>
    </row>
    <row r="79" spans="4:31" x14ac:dyDescent="0.2">
      <c r="M79" s="103"/>
    </row>
    <row r="80" spans="4:31" ht="13.5" thickBot="1" x14ac:dyDescent="0.25">
      <c r="M80" s="103"/>
    </row>
    <row r="81" spans="4:6" ht="12.75" customHeight="1" x14ac:dyDescent="0.2">
      <c r="D81" s="104" t="s">
        <v>64</v>
      </c>
      <c r="F81" s="33" t="s">
        <v>51</v>
      </c>
    </row>
    <row r="82" spans="4:6" x14ac:dyDescent="0.2">
      <c r="D82" s="105" t="s">
        <v>65</v>
      </c>
      <c r="F82" s="34" t="s">
        <v>52</v>
      </c>
    </row>
    <row r="83" spans="4:6" x14ac:dyDescent="0.2">
      <c r="D83" s="105" t="s">
        <v>66</v>
      </c>
      <c r="F83" s="34" t="s">
        <v>53</v>
      </c>
    </row>
    <row r="84" spans="4:6" ht="13.5" thickBot="1" x14ac:dyDescent="0.25">
      <c r="D84" s="106" t="s">
        <v>67</v>
      </c>
      <c r="F84" s="34" t="s">
        <v>54</v>
      </c>
    </row>
    <row r="85" spans="4:6" x14ac:dyDescent="0.2">
      <c r="D85" s="105" t="s">
        <v>68</v>
      </c>
      <c r="F85" s="34" t="s">
        <v>55</v>
      </c>
    </row>
    <row r="86" spans="4:6" x14ac:dyDescent="0.2">
      <c r="D86" s="105" t="s">
        <v>69</v>
      </c>
      <c r="F86" s="34"/>
    </row>
    <row r="87" spans="4:6" x14ac:dyDescent="0.2">
      <c r="D87" s="105" t="s">
        <v>70</v>
      </c>
      <c r="F87" s="34"/>
    </row>
    <row r="88" spans="4:6" ht="13.5" thickBot="1" x14ac:dyDescent="0.25">
      <c r="D88" s="106" t="s">
        <v>71</v>
      </c>
      <c r="F88" s="34"/>
    </row>
    <row r="89" spans="4:6" x14ac:dyDescent="0.2">
      <c r="D89" s="105" t="s">
        <v>60</v>
      </c>
      <c r="F89" s="34"/>
    </row>
    <row r="90" spans="4:6" x14ac:dyDescent="0.2">
      <c r="D90" s="105" t="s">
        <v>61</v>
      </c>
      <c r="F90" s="34"/>
    </row>
    <row r="91" spans="4:6" x14ac:dyDescent="0.2">
      <c r="D91" s="105" t="s">
        <v>62</v>
      </c>
      <c r="F91" s="34"/>
    </row>
    <row r="92" spans="4:6" ht="13.5" thickBot="1" x14ac:dyDescent="0.25">
      <c r="D92" s="106" t="s">
        <v>63</v>
      </c>
      <c r="F92" s="34"/>
    </row>
    <row r="93" spans="4:6" x14ac:dyDescent="0.2">
      <c r="D93" s="105"/>
      <c r="F93" s="34"/>
    </row>
    <row r="94" spans="4:6" x14ac:dyDescent="0.2">
      <c r="D94" s="105"/>
      <c r="F94" s="34"/>
    </row>
    <row r="95" spans="4:6" x14ac:dyDescent="0.2">
      <c r="D95" s="105"/>
      <c r="F95" s="34"/>
    </row>
    <row r="96" spans="4:6" x14ac:dyDescent="0.2">
      <c r="D96" s="105"/>
      <c r="F96" s="34"/>
    </row>
    <row r="97" spans="4:6" x14ac:dyDescent="0.2">
      <c r="D97" s="105"/>
      <c r="F97" s="34"/>
    </row>
    <row r="98" spans="4:6" x14ac:dyDescent="0.2">
      <c r="D98" s="105"/>
      <c r="F98" s="34"/>
    </row>
    <row r="99" spans="4:6" x14ac:dyDescent="0.2">
      <c r="D99" s="105"/>
      <c r="F99" s="34"/>
    </row>
    <row r="100" spans="4:6" x14ac:dyDescent="0.2">
      <c r="D100" s="105"/>
      <c r="F100" s="34"/>
    </row>
    <row r="101" spans="4:6" ht="12.75" customHeight="1" thickBot="1" x14ac:dyDescent="0.25">
      <c r="D101" s="106"/>
      <c r="F101" s="35"/>
    </row>
    <row r="103" spans="4:6" ht="12.75" customHeight="1" x14ac:dyDescent="0.2"/>
    <row r="104" spans="4:6" ht="12.75" customHeight="1" x14ac:dyDescent="0.2"/>
    <row r="107" spans="4:6" x14ac:dyDescent="0.2">
      <c r="D107" s="103"/>
    </row>
    <row r="108" spans="4:6" ht="12.75" customHeight="1" x14ac:dyDescent="0.2">
      <c r="D108" s="103"/>
    </row>
    <row r="109" spans="4:6" ht="12.75" customHeight="1" x14ac:dyDescent="0.2">
      <c r="D109" s="103"/>
    </row>
    <row r="110" spans="4:6" x14ac:dyDescent="0.2">
      <c r="D110" s="103"/>
    </row>
    <row r="111" spans="4:6" x14ac:dyDescent="0.2">
      <c r="D111" s="103"/>
    </row>
    <row r="112" spans="4:6" x14ac:dyDescent="0.2">
      <c r="D112" s="103"/>
    </row>
    <row r="113" spans="4:4" x14ac:dyDescent="0.2">
      <c r="D113" s="103"/>
    </row>
    <row r="114" spans="4:4" ht="12.75" customHeight="1" x14ac:dyDescent="0.2">
      <c r="D114" s="103"/>
    </row>
    <row r="115" spans="4:4" x14ac:dyDescent="0.2">
      <c r="D115" s="103"/>
    </row>
    <row r="116" spans="4:4" x14ac:dyDescent="0.2">
      <c r="D116" s="103"/>
    </row>
    <row r="117" spans="4:4" x14ac:dyDescent="0.2">
      <c r="D117" s="103"/>
    </row>
    <row r="118" spans="4:4" x14ac:dyDescent="0.2">
      <c r="D118" s="103"/>
    </row>
    <row r="119" spans="4:4" x14ac:dyDescent="0.2">
      <c r="D119" s="103"/>
    </row>
    <row r="120" spans="4:4" x14ac:dyDescent="0.2">
      <c r="D120" s="103"/>
    </row>
    <row r="121" spans="4:4" x14ac:dyDescent="0.2">
      <c r="D121" s="103"/>
    </row>
    <row r="122" spans="4:4" x14ac:dyDescent="0.2">
      <c r="D122" s="103"/>
    </row>
    <row r="123" spans="4:4" x14ac:dyDescent="0.2">
      <c r="D123" s="103"/>
    </row>
    <row r="124" spans="4:4" x14ac:dyDescent="0.2">
      <c r="D124" s="103"/>
    </row>
    <row r="125" spans="4:4" x14ac:dyDescent="0.2">
      <c r="D125" s="103"/>
    </row>
    <row r="126" spans="4:4" x14ac:dyDescent="0.2">
      <c r="D126" s="103"/>
    </row>
    <row r="127" spans="4:4" x14ac:dyDescent="0.2">
      <c r="D127" s="103"/>
    </row>
    <row r="128" spans="4:4" x14ac:dyDescent="0.2">
      <c r="D128" s="103"/>
    </row>
    <row r="131" spans="4:4" x14ac:dyDescent="0.2">
      <c r="D131" s="103"/>
    </row>
    <row r="132" spans="4:4" x14ac:dyDescent="0.2">
      <c r="D132" s="103"/>
    </row>
    <row r="133" spans="4:4" x14ac:dyDescent="0.2">
      <c r="D133" s="103"/>
    </row>
    <row r="134" spans="4:4" x14ac:dyDescent="0.2">
      <c r="D134" s="103"/>
    </row>
    <row r="135" spans="4:4" x14ac:dyDescent="0.2">
      <c r="D135" s="103"/>
    </row>
    <row r="136" spans="4:4" x14ac:dyDescent="0.2">
      <c r="D136" s="103"/>
    </row>
    <row r="137" spans="4:4" x14ac:dyDescent="0.2">
      <c r="D137" s="103"/>
    </row>
    <row r="138" spans="4:4" x14ac:dyDescent="0.2">
      <c r="D138" s="103"/>
    </row>
    <row r="139" spans="4:4" x14ac:dyDescent="0.2">
      <c r="D139" s="103"/>
    </row>
    <row r="140" spans="4:4" x14ac:dyDescent="0.2">
      <c r="D140" s="103"/>
    </row>
    <row r="141" spans="4:4" x14ac:dyDescent="0.2">
      <c r="D141" s="103"/>
    </row>
    <row r="142" spans="4:4" x14ac:dyDescent="0.2">
      <c r="D142" s="103"/>
    </row>
    <row r="143" spans="4:4" x14ac:dyDescent="0.2">
      <c r="D143" s="103"/>
    </row>
    <row r="144" spans="4:4" x14ac:dyDescent="0.2">
      <c r="D144" s="103"/>
    </row>
    <row r="145" spans="4:4" x14ac:dyDescent="0.2">
      <c r="D145" s="103"/>
    </row>
  </sheetData>
  <mergeCells count="402">
    <mergeCell ref="C5:D5"/>
    <mergeCell ref="E5:G5"/>
    <mergeCell ref="H5:I5"/>
    <mergeCell ref="J5:L5"/>
    <mergeCell ref="M5:N5"/>
    <mergeCell ref="O5:Q5"/>
    <mergeCell ref="C1:AA1"/>
    <mergeCell ref="E2:G2"/>
    <mergeCell ref="J2:L2"/>
    <mergeCell ref="O2:Q2"/>
    <mergeCell ref="T2:V2"/>
    <mergeCell ref="Y2:AA2"/>
    <mergeCell ref="W3:X4"/>
    <mergeCell ref="Y3:AA4"/>
    <mergeCell ref="AD3:AF4"/>
    <mergeCell ref="R6:S6"/>
    <mergeCell ref="U6:V6"/>
    <mergeCell ref="W6:X6"/>
    <mergeCell ref="Z6:AA6"/>
    <mergeCell ref="R5:S5"/>
    <mergeCell ref="T5:V5"/>
    <mergeCell ref="W5:X5"/>
    <mergeCell ref="Y5:AA5"/>
    <mergeCell ref="AB5:AC5"/>
    <mergeCell ref="AD5:AF5"/>
    <mergeCell ref="AB6:AC6"/>
    <mergeCell ref="AE6:AF6"/>
    <mergeCell ref="AD2:AF2"/>
    <mergeCell ref="B3:B7"/>
    <mergeCell ref="C3:D4"/>
    <mergeCell ref="E3:G4"/>
    <mergeCell ref="H3:I4"/>
    <mergeCell ref="J3:L4"/>
    <mergeCell ref="M3:N4"/>
    <mergeCell ref="O3:Q4"/>
    <mergeCell ref="R3:S4"/>
    <mergeCell ref="T3:V4"/>
    <mergeCell ref="AE7:AF7"/>
    <mergeCell ref="C7:D7"/>
    <mergeCell ref="F7:G7"/>
    <mergeCell ref="H7:I7"/>
    <mergeCell ref="K7:L7"/>
    <mergeCell ref="M7:N7"/>
    <mergeCell ref="P7:Q7"/>
    <mergeCell ref="P6:Q6"/>
    <mergeCell ref="R7:S7"/>
    <mergeCell ref="U7:V7"/>
    <mergeCell ref="W7:X7"/>
    <mergeCell ref="Z7:AA7"/>
    <mergeCell ref="AB7:AC7"/>
    <mergeCell ref="AB3:AC4"/>
    <mergeCell ref="C6:D6"/>
    <mergeCell ref="F6:G6"/>
    <mergeCell ref="H6:I6"/>
    <mergeCell ref="K6:L6"/>
    <mergeCell ref="M6:N6"/>
    <mergeCell ref="Y8:AA9"/>
    <mergeCell ref="AB8:AC9"/>
    <mergeCell ref="C8:D9"/>
    <mergeCell ref="E8:G9"/>
    <mergeCell ref="H8:I9"/>
    <mergeCell ref="J8:L9"/>
    <mergeCell ref="M8:N9"/>
    <mergeCell ref="O8:Q9"/>
    <mergeCell ref="R8:S9"/>
    <mergeCell ref="T8:V9"/>
    <mergeCell ref="W8:X9"/>
    <mergeCell ref="E10:G10"/>
    <mergeCell ref="H10:I10"/>
    <mergeCell ref="J10:L10"/>
    <mergeCell ref="M10:N10"/>
    <mergeCell ref="O10:Q10"/>
    <mergeCell ref="R10:S10"/>
    <mergeCell ref="C11:D11"/>
    <mergeCell ref="F11:G11"/>
    <mergeCell ref="H11:I11"/>
    <mergeCell ref="K11:L11"/>
    <mergeCell ref="M11:N11"/>
    <mergeCell ref="P11:Q11"/>
    <mergeCell ref="AE12:AF12"/>
    <mergeCell ref="P12:Q12"/>
    <mergeCell ref="R12:S12"/>
    <mergeCell ref="U12:V12"/>
    <mergeCell ref="AD15:AF15"/>
    <mergeCell ref="AD13:AF14"/>
    <mergeCell ref="U11:V11"/>
    <mergeCell ref="W11:X11"/>
    <mergeCell ref="AD8:AF9"/>
    <mergeCell ref="Y10:AA10"/>
    <mergeCell ref="AB10:AC10"/>
    <mergeCell ref="AD10:AF10"/>
    <mergeCell ref="T10:V10"/>
    <mergeCell ref="W10:X10"/>
    <mergeCell ref="AE11:AF11"/>
    <mergeCell ref="Y15:AA15"/>
    <mergeCell ref="AB15:AC15"/>
    <mergeCell ref="C15:D15"/>
    <mergeCell ref="E15:G15"/>
    <mergeCell ref="H15:I15"/>
    <mergeCell ref="J15:L15"/>
    <mergeCell ref="M15:N15"/>
    <mergeCell ref="O15:Q15"/>
    <mergeCell ref="Z11:AA11"/>
    <mergeCell ref="AB11:AC11"/>
    <mergeCell ref="W12:X12"/>
    <mergeCell ref="Z12:AA12"/>
    <mergeCell ref="AB12:AC12"/>
    <mergeCell ref="R11:S11"/>
    <mergeCell ref="W13:X14"/>
    <mergeCell ref="Y13:AA14"/>
    <mergeCell ref="AB13:AC14"/>
    <mergeCell ref="B13:B17"/>
    <mergeCell ref="C13:D14"/>
    <mergeCell ref="E13:G14"/>
    <mergeCell ref="H13:I14"/>
    <mergeCell ref="J13:L14"/>
    <mergeCell ref="B8:B12"/>
    <mergeCell ref="R15:S15"/>
    <mergeCell ref="T15:V15"/>
    <mergeCell ref="W15:X15"/>
    <mergeCell ref="M13:N14"/>
    <mergeCell ref="O13:Q14"/>
    <mergeCell ref="R13:S14"/>
    <mergeCell ref="T13:V14"/>
    <mergeCell ref="W16:X16"/>
    <mergeCell ref="R16:S16"/>
    <mergeCell ref="U16:V16"/>
    <mergeCell ref="R17:S17"/>
    <mergeCell ref="U17:V17"/>
    <mergeCell ref="C12:D12"/>
    <mergeCell ref="F12:G12"/>
    <mergeCell ref="H12:I12"/>
    <mergeCell ref="K12:L12"/>
    <mergeCell ref="M12:N12"/>
    <mergeCell ref="C10:D10"/>
    <mergeCell ref="AE16:AF16"/>
    <mergeCell ref="C16:D16"/>
    <mergeCell ref="F16:G16"/>
    <mergeCell ref="H16:I16"/>
    <mergeCell ref="K16:L16"/>
    <mergeCell ref="M16:N16"/>
    <mergeCell ref="P16:Q16"/>
    <mergeCell ref="C17:D17"/>
    <mergeCell ref="F17:G17"/>
    <mergeCell ref="H17:I17"/>
    <mergeCell ref="K17:L17"/>
    <mergeCell ref="M17:N17"/>
    <mergeCell ref="P17:Q17"/>
    <mergeCell ref="Z16:AA16"/>
    <mergeCell ref="AB16:AC16"/>
    <mergeCell ref="O18:Q19"/>
    <mergeCell ref="R18:S19"/>
    <mergeCell ref="T18:V19"/>
    <mergeCell ref="Y20:AA20"/>
    <mergeCell ref="AB20:AC20"/>
    <mergeCell ref="AD20:AF20"/>
    <mergeCell ref="W17:X17"/>
    <mergeCell ref="Z17:AA17"/>
    <mergeCell ref="AB17:AC17"/>
    <mergeCell ref="AE17:AF17"/>
    <mergeCell ref="Y18:AA19"/>
    <mergeCell ref="AB18:AC19"/>
    <mergeCell ref="W20:X20"/>
    <mergeCell ref="W18:X19"/>
    <mergeCell ref="C21:D21"/>
    <mergeCell ref="F21:G21"/>
    <mergeCell ref="H21:I21"/>
    <mergeCell ref="K21:L21"/>
    <mergeCell ref="M21:N21"/>
    <mergeCell ref="AD18:AF19"/>
    <mergeCell ref="C20:D20"/>
    <mergeCell ref="E20:G20"/>
    <mergeCell ref="H20:I20"/>
    <mergeCell ref="J20:L20"/>
    <mergeCell ref="P21:Q21"/>
    <mergeCell ref="R21:S21"/>
    <mergeCell ref="U21:V21"/>
    <mergeCell ref="W21:X21"/>
    <mergeCell ref="AE21:AF21"/>
    <mergeCell ref="C18:D19"/>
    <mergeCell ref="E18:G19"/>
    <mergeCell ref="H18:I19"/>
    <mergeCell ref="J18:L19"/>
    <mergeCell ref="M18:N19"/>
    <mergeCell ref="M20:N20"/>
    <mergeCell ref="O20:Q20"/>
    <mergeCell ref="R20:S20"/>
    <mergeCell ref="T20:V20"/>
    <mergeCell ref="P22:Q22"/>
    <mergeCell ref="R22:S22"/>
    <mergeCell ref="U22:V22"/>
    <mergeCell ref="W22:X22"/>
    <mergeCell ref="Z22:AA22"/>
    <mergeCell ref="AB22:AC22"/>
    <mergeCell ref="C25:D25"/>
    <mergeCell ref="E25:G25"/>
    <mergeCell ref="H25:I25"/>
    <mergeCell ref="J25:L25"/>
    <mergeCell ref="M25:N25"/>
    <mergeCell ref="O25:Q25"/>
    <mergeCell ref="C22:D22"/>
    <mergeCell ref="F22:G22"/>
    <mergeCell ref="H22:I22"/>
    <mergeCell ref="K22:L22"/>
    <mergeCell ref="M22:N22"/>
    <mergeCell ref="R26:S26"/>
    <mergeCell ref="U26:V26"/>
    <mergeCell ref="R27:S27"/>
    <mergeCell ref="U27:V27"/>
    <mergeCell ref="Z21:AA21"/>
    <mergeCell ref="AB21:AC21"/>
    <mergeCell ref="AD25:AF25"/>
    <mergeCell ref="W23:X24"/>
    <mergeCell ref="Y23:AA24"/>
    <mergeCell ref="AB23:AC24"/>
    <mergeCell ref="AD23:AF24"/>
    <mergeCell ref="Y25:AA25"/>
    <mergeCell ref="AB25:AC25"/>
    <mergeCell ref="Z26:AA26"/>
    <mergeCell ref="AB26:AC26"/>
    <mergeCell ref="AE26:AF26"/>
    <mergeCell ref="AE22:AF22"/>
    <mergeCell ref="B23:B27"/>
    <mergeCell ref="C23:D24"/>
    <mergeCell ref="E23:G24"/>
    <mergeCell ref="H23:I24"/>
    <mergeCell ref="J23:L24"/>
    <mergeCell ref="B18:B22"/>
    <mergeCell ref="R25:S25"/>
    <mergeCell ref="T25:V25"/>
    <mergeCell ref="W25:X25"/>
    <mergeCell ref="M23:N24"/>
    <mergeCell ref="O23:Q24"/>
    <mergeCell ref="R23:S24"/>
    <mergeCell ref="T23:V24"/>
    <mergeCell ref="W26:X26"/>
    <mergeCell ref="C26:D26"/>
    <mergeCell ref="F26:G26"/>
    <mergeCell ref="H26:I26"/>
    <mergeCell ref="K26:L26"/>
    <mergeCell ref="M26:N26"/>
    <mergeCell ref="P26:Q26"/>
    <mergeCell ref="C27:D27"/>
    <mergeCell ref="F27:G27"/>
    <mergeCell ref="H27:I27"/>
    <mergeCell ref="K27:L27"/>
    <mergeCell ref="M27:N27"/>
    <mergeCell ref="P27:Q27"/>
    <mergeCell ref="Y30:AA30"/>
    <mergeCell ref="AB30:AC30"/>
    <mergeCell ref="AD30:AF30"/>
    <mergeCell ref="W27:X27"/>
    <mergeCell ref="Z27:AA27"/>
    <mergeCell ref="AB27:AC27"/>
    <mergeCell ref="AE27:AF27"/>
    <mergeCell ref="Y28:AA29"/>
    <mergeCell ref="AB28:AC29"/>
    <mergeCell ref="T28:V29"/>
    <mergeCell ref="W28:X29"/>
    <mergeCell ref="AD35:AF35"/>
    <mergeCell ref="AD33:AF34"/>
    <mergeCell ref="U31:V31"/>
    <mergeCell ref="W31:X31"/>
    <mergeCell ref="AD28:AF29"/>
    <mergeCell ref="C30:D30"/>
    <mergeCell ref="E30:G30"/>
    <mergeCell ref="H30:I30"/>
    <mergeCell ref="J30:L30"/>
    <mergeCell ref="M30:N30"/>
    <mergeCell ref="O30:Q30"/>
    <mergeCell ref="R30:S30"/>
    <mergeCell ref="C31:D31"/>
    <mergeCell ref="F31:G31"/>
    <mergeCell ref="H31:I31"/>
    <mergeCell ref="K31:L31"/>
    <mergeCell ref="M31:N31"/>
    <mergeCell ref="P31:Q31"/>
    <mergeCell ref="C28:D29"/>
    <mergeCell ref="E28:G29"/>
    <mergeCell ref="H28:I29"/>
    <mergeCell ref="J28:L29"/>
    <mergeCell ref="M28:N29"/>
    <mergeCell ref="T30:V30"/>
    <mergeCell ref="AE31:AF31"/>
    <mergeCell ref="C32:D32"/>
    <mergeCell ref="F32:G32"/>
    <mergeCell ref="H32:I32"/>
    <mergeCell ref="K32:L32"/>
    <mergeCell ref="M32:N32"/>
    <mergeCell ref="AE32:AF32"/>
    <mergeCell ref="P32:Q32"/>
    <mergeCell ref="R32:S32"/>
    <mergeCell ref="U32:V32"/>
    <mergeCell ref="Z31:AA31"/>
    <mergeCell ref="AB31:AC31"/>
    <mergeCell ref="W32:X32"/>
    <mergeCell ref="Z32:AA32"/>
    <mergeCell ref="AB32:AC32"/>
    <mergeCell ref="R31:S31"/>
    <mergeCell ref="Y35:AA35"/>
    <mergeCell ref="AB35:AC35"/>
    <mergeCell ref="Z36:AA36"/>
    <mergeCell ref="AB36:AC36"/>
    <mergeCell ref="C35:D35"/>
    <mergeCell ref="E35:G35"/>
    <mergeCell ref="H35:I35"/>
    <mergeCell ref="J35:L35"/>
    <mergeCell ref="M35:N35"/>
    <mergeCell ref="O35:Q35"/>
    <mergeCell ref="W33:X34"/>
    <mergeCell ref="Y33:AA34"/>
    <mergeCell ref="AB33:AC34"/>
    <mergeCell ref="B33:B37"/>
    <mergeCell ref="C33:D34"/>
    <mergeCell ref="E33:G34"/>
    <mergeCell ref="H33:I34"/>
    <mergeCell ref="J33:L34"/>
    <mergeCell ref="B28:B32"/>
    <mergeCell ref="R35:S35"/>
    <mergeCell ref="T35:V35"/>
    <mergeCell ref="W35:X35"/>
    <mergeCell ref="M33:N34"/>
    <mergeCell ref="O33:Q34"/>
    <mergeCell ref="R33:S34"/>
    <mergeCell ref="T33:V34"/>
    <mergeCell ref="W36:X36"/>
    <mergeCell ref="R36:S36"/>
    <mergeCell ref="U36:V36"/>
    <mergeCell ref="R37:S37"/>
    <mergeCell ref="U37:V37"/>
    <mergeCell ref="W30:X30"/>
    <mergeCell ref="O28:Q29"/>
    <mergeCell ref="R28:S29"/>
    <mergeCell ref="AE36:AF36"/>
    <mergeCell ref="C36:D36"/>
    <mergeCell ref="F36:G36"/>
    <mergeCell ref="H36:I36"/>
    <mergeCell ref="K36:L36"/>
    <mergeCell ref="M36:N36"/>
    <mergeCell ref="P36:Q36"/>
    <mergeCell ref="C37:D37"/>
    <mergeCell ref="F37:G37"/>
    <mergeCell ref="H37:I37"/>
    <mergeCell ref="K37:L37"/>
    <mergeCell ref="M37:N37"/>
    <mergeCell ref="P37:Q37"/>
    <mergeCell ref="W40:X40"/>
    <mergeCell ref="O38:Q39"/>
    <mergeCell ref="R38:S39"/>
    <mergeCell ref="T38:V39"/>
    <mergeCell ref="W38:X39"/>
    <mergeCell ref="Y40:AA40"/>
    <mergeCell ref="AB40:AC40"/>
    <mergeCell ref="AD40:AF40"/>
    <mergeCell ref="W37:X37"/>
    <mergeCell ref="Z37:AA37"/>
    <mergeCell ref="AB37:AC37"/>
    <mergeCell ref="AE37:AF37"/>
    <mergeCell ref="Y38:AA39"/>
    <mergeCell ref="AB38:AC39"/>
    <mergeCell ref="AD38:AF39"/>
    <mergeCell ref="A43:A44"/>
    <mergeCell ref="B43:B44"/>
    <mergeCell ref="C42:D42"/>
    <mergeCell ref="F42:G42"/>
    <mergeCell ref="H42:I42"/>
    <mergeCell ref="K42:L42"/>
    <mergeCell ref="M42:N42"/>
    <mergeCell ref="AE42:AF42"/>
    <mergeCell ref="C41:D41"/>
    <mergeCell ref="F41:G41"/>
    <mergeCell ref="H41:I41"/>
    <mergeCell ref="W42:X42"/>
    <mergeCell ref="Z42:AA42"/>
    <mergeCell ref="AB42:AC42"/>
    <mergeCell ref="U41:V41"/>
    <mergeCell ref="W41:X41"/>
    <mergeCell ref="AE41:AF41"/>
    <mergeCell ref="B45:B46"/>
    <mergeCell ref="P42:Q42"/>
    <mergeCell ref="R42:S42"/>
    <mergeCell ref="U42:V42"/>
    <mergeCell ref="B38:B42"/>
    <mergeCell ref="Z41:AA41"/>
    <mergeCell ref="AB41:AC41"/>
    <mergeCell ref="K41:L41"/>
    <mergeCell ref="M41:N41"/>
    <mergeCell ref="P41:Q41"/>
    <mergeCell ref="R41:S41"/>
    <mergeCell ref="C40:D40"/>
    <mergeCell ref="E40:G40"/>
    <mergeCell ref="H40:I40"/>
    <mergeCell ref="J40:L40"/>
    <mergeCell ref="M40:N40"/>
    <mergeCell ref="O40:Q40"/>
    <mergeCell ref="R40:S40"/>
    <mergeCell ref="C38:D39"/>
    <mergeCell ref="E38:G39"/>
    <mergeCell ref="H38:I39"/>
    <mergeCell ref="J38:L39"/>
    <mergeCell ref="M38:N39"/>
    <mergeCell ref="T40:V40"/>
  </mergeCells>
  <conditionalFormatting sqref="C47:C60 H47:H60 M47:M60 R47:R60 W47:W60 AB47:AB60 D63:D77">
    <cfRule type="expression" dxfId="10" priority="6" stopIfTrue="1">
      <formula>IF(E47=0,1,0)</formula>
    </cfRule>
  </conditionalFormatting>
  <conditionalFormatting sqref="I63:I77">
    <cfRule type="expression" dxfId="9" priority="5" stopIfTrue="1">
      <formula>IF(K63=0,1,0)</formula>
    </cfRule>
  </conditionalFormatting>
  <conditionalFormatting sqref="N63:N77">
    <cfRule type="expression" dxfId="8" priority="4" stopIfTrue="1">
      <formula>IF(P63=0,1,0)</formula>
    </cfRule>
  </conditionalFormatting>
  <conditionalFormatting sqref="S63:S77">
    <cfRule type="expression" dxfId="7" priority="3" stopIfTrue="1">
      <formula>IF(U63=0,1,0)</formula>
    </cfRule>
  </conditionalFormatting>
  <conditionalFormatting sqref="X63:X77">
    <cfRule type="expression" dxfId="6" priority="2" stopIfTrue="1">
      <formula>IF(Z63=0,1,0)</formula>
    </cfRule>
  </conditionalFormatting>
  <conditionalFormatting sqref="AC63:AC77">
    <cfRule type="expression" dxfId="5" priority="1" stopIfTrue="1">
      <formula>IF(AE63=0,1,0)</formula>
    </cfRule>
  </conditionalFormatting>
  <dataValidations count="4">
    <dataValidation type="list" allowBlank="1" showInputMessage="1" showErrorMessage="1" sqref="AD47:AD60 E47:E60 Y47:Y60 T47:T60 O47:O60 J47:J60" xr:uid="{474A6FBE-6ECA-410A-85F8-90F21FAF2B12}">
      <formula1>$F$81:$F$102</formula1>
    </dataValidation>
    <dataValidation type="list" allowBlank="1" showInputMessage="1" showErrorMessage="1" sqref="X50:X54 X57:X60" xr:uid="{10DFBF8C-94FD-49A3-87E9-519AEF6BF122}">
      <formula1>$D$54:$D$67</formula1>
    </dataValidation>
    <dataValidation type="list" operator="equal" allowBlank="1" showErrorMessage="1" prompt="asldkfjhakldf_x000a_" sqref="H35:I37 R20:S22 H5:I7 M5:N7 R5:S7 W5:X7 H10:I12 M10:N12 R10:S12 W10:X12 AB10:AC12 AB5:AC7 C10:D12 C15:D17 H15:I17 M15:N17 W15:X17 AB15:AC17 H20:I22 M20:N22 W20:X22 R15:S17 C20:D22 C25:D27 H25:I27 M25:N27 R25:S27 W25:X27 AB25:AC27 AB20:AC22 R35:S37 M35:N37 H30:I32 M30:N32 R30:S32 W35:X37 AB35:AC37 W30:X32 AB30:AC32 C5:D7 C35:D37 H40:I42 R40:S42 M40:N42 W40:X42 AB40:AC42 C40:D42" xr:uid="{0B9A0B81-46A6-405C-94DD-2DE0FD23A803}">
      <formula1>$D$81:$D$101</formula1>
    </dataValidation>
    <dataValidation type="list" allowBlank="1" showInputMessage="1" showErrorMessage="1" sqref="H47:H60 M47:M60 R47:R60 W47:W60 AB47:AB60 C47:C60" xr:uid="{00979846-DAA3-471D-8AF2-A542F926D666}">
      <formula1>$D$81:$D$101</formula1>
    </dataValidation>
  </dataValidations>
  <printOptions horizontalCentered="1" verticalCentered="1"/>
  <pageMargins left="0.59055118110236227" right="0.59055118110236227" top="0.19685039370078741" bottom="0.19685039370078741" header="0.19685039370078741" footer="0.19685039370078741"/>
  <pageSetup paperSize="8" scale="84" orientation="landscape" r:id="rId1"/>
  <headerFooter alignWithMargins="0">
    <oddFooter>&amp;Lerstellt/freigegeben: M. Mayrhofer&amp;CTourenplan vom:&amp;D&amp;RAusgabedatum: 27.06.06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70F5C-E46F-4CC8-98B6-77A4D8C69128}">
  <sheetPr codeName="Tabelle4"/>
  <dimension ref="A1:AF120"/>
  <sheetViews>
    <sheetView topLeftCell="B1" zoomScale="70" zoomScaleNormal="70" workbookViewId="0">
      <pane xSplit="1" ySplit="2" topLeftCell="C3" activePane="bottomRight" state="frozen"/>
      <selection activeCell="J3" sqref="J3:L4"/>
      <selection pane="topRight" activeCell="J3" sqref="J3:L4"/>
      <selection pane="bottomLeft" activeCell="J3" sqref="J3:L4"/>
      <selection pane="bottomRight" activeCell="J3" sqref="J3:L4"/>
    </sheetView>
  </sheetViews>
  <sheetFormatPr baseColWidth="10" defaultColWidth="8.88671875" defaultRowHeight="12.75" x14ac:dyDescent="0.2"/>
  <cols>
    <col min="1" max="1" width="3.21875" style="27" hidden="1" customWidth="1"/>
    <col min="2" max="2" width="13.77734375" style="27" customWidth="1"/>
    <col min="3" max="3" width="6.77734375" style="27" customWidth="1"/>
    <col min="4" max="4" width="9.21875" style="27" customWidth="1"/>
    <col min="5" max="6" width="6.77734375" style="27" customWidth="1"/>
    <col min="7" max="7" width="3.6640625" style="27" customWidth="1"/>
    <col min="8" max="8" width="6.77734375" style="27" customWidth="1"/>
    <col min="9" max="9" width="8.88671875" style="27" customWidth="1"/>
    <col min="10" max="11" width="6.33203125" style="27" customWidth="1"/>
    <col min="12" max="12" width="4.77734375" style="27" customWidth="1"/>
    <col min="13" max="13" width="7.88671875" style="27" customWidth="1"/>
    <col min="14" max="14" width="8.88671875" style="27" customWidth="1"/>
    <col min="15" max="16" width="6.33203125" style="27" customWidth="1"/>
    <col min="17" max="17" width="4.77734375" style="27" customWidth="1"/>
    <col min="18" max="18" width="9.77734375" style="27" customWidth="1"/>
    <col min="19" max="19" width="9" style="27" customWidth="1"/>
    <col min="20" max="21" width="6.33203125" style="27" customWidth="1"/>
    <col min="22" max="22" width="4.77734375" style="27" customWidth="1"/>
    <col min="23" max="23" width="6.77734375" style="27" customWidth="1"/>
    <col min="24" max="24" width="8.44140625" style="27" customWidth="1"/>
    <col min="25" max="26" width="6.33203125" style="27" customWidth="1"/>
    <col min="27" max="27" width="4.77734375" style="27" customWidth="1"/>
    <col min="28" max="28" width="6.77734375" style="27" customWidth="1"/>
    <col min="29" max="29" width="8.33203125" style="27" customWidth="1"/>
    <col min="30" max="31" width="6.33203125" style="27" customWidth="1"/>
    <col min="32" max="32" width="4.77734375" style="27" customWidth="1"/>
    <col min="33" max="35" width="2.88671875" style="27" customWidth="1"/>
    <col min="36" max="16384" width="8.88671875" style="27"/>
  </cols>
  <sheetData>
    <row r="1" spans="2:32" ht="26.25" thickBot="1" x14ac:dyDescent="0.4">
      <c r="B1" s="44"/>
      <c r="C1" s="603" t="e">
        <v>#REF!</v>
      </c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604"/>
      <c r="Q1" s="604"/>
      <c r="R1" s="604"/>
      <c r="S1" s="604"/>
      <c r="T1" s="604"/>
      <c r="U1" s="604"/>
      <c r="V1" s="604"/>
      <c r="W1" s="604"/>
      <c r="X1" s="604"/>
      <c r="Y1" s="604"/>
      <c r="Z1" s="604"/>
      <c r="AA1" s="605"/>
      <c r="AB1" s="180"/>
      <c r="AC1" s="180"/>
      <c r="AD1" s="180"/>
      <c r="AE1" s="180"/>
      <c r="AF1" s="180"/>
    </row>
    <row r="2" spans="2:32" ht="12.6" customHeight="1" thickBot="1" x14ac:dyDescent="0.25">
      <c r="B2" s="181"/>
      <c r="C2" s="28" t="s">
        <v>27</v>
      </c>
      <c r="D2" s="182">
        <v>45663</v>
      </c>
      <c r="E2" s="517" t="s">
        <v>28</v>
      </c>
      <c r="F2" s="517"/>
      <c r="G2" s="518"/>
      <c r="H2" s="28" t="s">
        <v>29</v>
      </c>
      <c r="I2" s="182">
        <f>D2+1</f>
        <v>45664</v>
      </c>
      <c r="J2" s="517" t="s">
        <v>28</v>
      </c>
      <c r="K2" s="517"/>
      <c r="L2" s="518"/>
      <c r="M2" s="28" t="s">
        <v>30</v>
      </c>
      <c r="N2" s="182">
        <f>D2+2</f>
        <v>45665</v>
      </c>
      <c r="O2" s="517" t="s">
        <v>28</v>
      </c>
      <c r="P2" s="517"/>
      <c r="Q2" s="518"/>
      <c r="R2" s="28" t="s">
        <v>31</v>
      </c>
      <c r="S2" s="182">
        <f>D2+3</f>
        <v>45666</v>
      </c>
      <c r="T2" s="517" t="s">
        <v>28</v>
      </c>
      <c r="U2" s="517"/>
      <c r="V2" s="518"/>
      <c r="W2" s="28" t="s">
        <v>32</v>
      </c>
      <c r="X2" s="182">
        <f>D2+4</f>
        <v>45667</v>
      </c>
      <c r="Y2" s="517" t="s">
        <v>28</v>
      </c>
      <c r="Z2" s="517"/>
      <c r="AA2" s="518"/>
      <c r="AB2" s="28" t="s">
        <v>33</v>
      </c>
      <c r="AC2" s="182">
        <f>D2+5</f>
        <v>45668</v>
      </c>
      <c r="AD2" s="517" t="s">
        <v>28</v>
      </c>
      <c r="AE2" s="517"/>
      <c r="AF2" s="518"/>
    </row>
    <row r="3" spans="2:32" ht="12.6" customHeight="1" x14ac:dyDescent="0.2">
      <c r="B3" s="519" t="e">
        <v>#REF!</v>
      </c>
      <c r="C3" s="520" t="e">
        <v>#REF!</v>
      </c>
      <c r="D3" s="525"/>
      <c r="E3" s="522" t="e">
        <v>#REF!</v>
      </c>
      <c r="F3" s="522"/>
      <c r="G3" s="523"/>
      <c r="H3" s="598" t="e">
        <v>#REF!</v>
      </c>
      <c r="I3" s="521"/>
      <c r="J3" s="522" t="e">
        <v>#REF!</v>
      </c>
      <c r="K3" s="522"/>
      <c r="L3" s="523"/>
      <c r="M3" s="472" t="e">
        <v>#REF!</v>
      </c>
      <c r="N3" s="480"/>
      <c r="O3" s="522" t="e">
        <v>#REF!</v>
      </c>
      <c r="P3" s="522"/>
      <c r="Q3" s="523"/>
      <c r="R3" s="524" t="e">
        <v>#REF!</v>
      </c>
      <c r="S3" s="525"/>
      <c r="T3" s="522" t="e">
        <v>#REF!</v>
      </c>
      <c r="U3" s="522"/>
      <c r="V3" s="523"/>
      <c r="W3" s="524" t="e">
        <v>#REF!</v>
      </c>
      <c r="X3" s="525"/>
      <c r="Y3" s="522" t="e">
        <v>#REF!</v>
      </c>
      <c r="Z3" s="522"/>
      <c r="AA3" s="523"/>
      <c r="AB3" s="524" t="e">
        <v>#REF!</v>
      </c>
      <c r="AC3" s="525"/>
      <c r="AD3" s="522" t="e">
        <v>#REF!</v>
      </c>
      <c r="AE3" s="522"/>
      <c r="AF3" s="533"/>
    </row>
    <row r="4" spans="2:32" ht="12.6" customHeight="1" x14ac:dyDescent="0.2">
      <c r="B4" s="507"/>
      <c r="C4" s="600"/>
      <c r="D4" s="601"/>
      <c r="E4" s="509"/>
      <c r="F4" s="509"/>
      <c r="G4" s="510"/>
      <c r="H4" s="599"/>
      <c r="I4" s="474"/>
      <c r="J4" s="509"/>
      <c r="K4" s="509"/>
      <c r="L4" s="510"/>
      <c r="M4" s="601"/>
      <c r="N4" s="601"/>
      <c r="O4" s="593"/>
      <c r="P4" s="593"/>
      <c r="Q4" s="594"/>
      <c r="R4" s="481"/>
      <c r="S4" s="482"/>
      <c r="T4" s="593"/>
      <c r="U4" s="593"/>
      <c r="V4" s="594"/>
      <c r="W4" s="494"/>
      <c r="X4" s="495"/>
      <c r="Y4" s="593"/>
      <c r="Z4" s="593"/>
      <c r="AA4" s="594"/>
      <c r="AB4" s="481"/>
      <c r="AC4" s="482"/>
      <c r="AD4" s="593"/>
      <c r="AE4" s="593"/>
      <c r="AF4" s="596"/>
    </row>
    <row r="5" spans="2:32" ht="12.6" customHeight="1" x14ac:dyDescent="0.2">
      <c r="B5" s="507"/>
      <c r="C5" s="550"/>
      <c r="D5" s="546"/>
      <c r="E5" s="491" t="e">
        <v>#REF!</v>
      </c>
      <c r="F5" s="590"/>
      <c r="G5" s="606"/>
      <c r="H5" s="585"/>
      <c r="I5" s="546"/>
      <c r="J5" s="491" t="e">
        <v>#REF!</v>
      </c>
      <c r="K5" s="491"/>
      <c r="L5" s="492"/>
      <c r="M5" s="546"/>
      <c r="N5" s="546"/>
      <c r="O5" s="491" t="e">
        <v>#REF!</v>
      </c>
      <c r="P5" s="491"/>
      <c r="Q5" s="492"/>
      <c r="R5" s="546"/>
      <c r="S5" s="546"/>
      <c r="T5" s="491" t="e">
        <v>#REF!</v>
      </c>
      <c r="U5" s="491"/>
      <c r="V5" s="492"/>
      <c r="W5" s="546"/>
      <c r="X5" s="546"/>
      <c r="Y5" s="491" t="e">
        <v>#REF!</v>
      </c>
      <c r="Z5" s="491"/>
      <c r="AA5" s="492"/>
      <c r="AB5" s="546"/>
      <c r="AC5" s="546"/>
      <c r="AD5" s="491" t="e">
        <v>#REF!</v>
      </c>
      <c r="AE5" s="491"/>
      <c r="AF5" s="497"/>
    </row>
    <row r="6" spans="2:32" ht="12.6" customHeight="1" x14ac:dyDescent="0.2">
      <c r="B6" s="507"/>
      <c r="C6" s="550"/>
      <c r="D6" s="546"/>
      <c r="E6" s="29" t="s">
        <v>34</v>
      </c>
      <c r="F6" s="486" t="e">
        <v>#REF!</v>
      </c>
      <c r="G6" s="496"/>
      <c r="H6" s="585"/>
      <c r="I6" s="546"/>
      <c r="J6" s="29" t="s">
        <v>34</v>
      </c>
      <c r="K6" s="486" t="e">
        <v>#REF!</v>
      </c>
      <c r="L6" s="496"/>
      <c r="M6" s="546"/>
      <c r="N6" s="546"/>
      <c r="O6" s="29" t="s">
        <v>34</v>
      </c>
      <c r="P6" s="486" t="e">
        <v>#REF!</v>
      </c>
      <c r="Q6" s="496"/>
      <c r="R6" s="546"/>
      <c r="S6" s="546"/>
      <c r="T6" s="29" t="s">
        <v>34</v>
      </c>
      <c r="U6" s="486" t="e">
        <v>#REF!</v>
      </c>
      <c r="V6" s="496"/>
      <c r="W6" s="546"/>
      <c r="X6" s="546"/>
      <c r="Y6" s="29" t="s">
        <v>34</v>
      </c>
      <c r="Z6" s="486" t="e">
        <v>#REF!</v>
      </c>
      <c r="AA6" s="496"/>
      <c r="AB6" s="546"/>
      <c r="AC6" s="546"/>
      <c r="AD6" s="29" t="s">
        <v>34</v>
      </c>
      <c r="AE6" s="486" t="e">
        <v>#REF!</v>
      </c>
      <c r="AF6" s="496"/>
    </row>
    <row r="7" spans="2:32" ht="12.6" customHeight="1" x14ac:dyDescent="0.2">
      <c r="B7" s="508"/>
      <c r="C7" s="550"/>
      <c r="D7" s="546"/>
      <c r="E7" s="185" t="s">
        <v>35</v>
      </c>
      <c r="F7" s="461" t="e">
        <v>#REF!</v>
      </c>
      <c r="G7" s="462"/>
      <c r="H7" s="602"/>
      <c r="I7" s="549"/>
      <c r="J7" s="185" t="s">
        <v>35</v>
      </c>
      <c r="K7" s="461" t="e">
        <v>#REF!</v>
      </c>
      <c r="L7" s="462"/>
      <c r="M7" s="546"/>
      <c r="N7" s="546"/>
      <c r="O7" s="185" t="s">
        <v>35</v>
      </c>
      <c r="P7" s="461" t="e">
        <v>#REF!</v>
      </c>
      <c r="Q7" s="462"/>
      <c r="R7" s="546"/>
      <c r="S7" s="546"/>
      <c r="T7" s="185" t="s">
        <v>35</v>
      </c>
      <c r="U7" s="486" t="e">
        <v>#REF!</v>
      </c>
      <c r="V7" s="496"/>
      <c r="W7" s="546"/>
      <c r="X7" s="546"/>
      <c r="Y7" s="185" t="s">
        <v>35</v>
      </c>
      <c r="Z7" s="461" t="e">
        <v>#REF!</v>
      </c>
      <c r="AA7" s="462"/>
      <c r="AB7" s="546"/>
      <c r="AC7" s="546"/>
      <c r="AD7" s="185" t="s">
        <v>35</v>
      </c>
      <c r="AE7" s="461" t="e">
        <v>#REF!</v>
      </c>
      <c r="AF7" s="462"/>
    </row>
    <row r="8" spans="2:32" ht="12.6" customHeight="1" x14ac:dyDescent="0.2">
      <c r="B8" s="505" t="e">
        <v>#REF!</v>
      </c>
      <c r="C8" s="471" t="e">
        <v>#REF!</v>
      </c>
      <c r="D8" s="480"/>
      <c r="E8" s="591" t="e">
        <v>#REF!</v>
      </c>
      <c r="F8" s="591"/>
      <c r="G8" s="592"/>
      <c r="H8" s="472" t="e">
        <v>#REF!</v>
      </c>
      <c r="I8" s="480"/>
      <c r="J8" s="591" t="e">
        <v>#REF!</v>
      </c>
      <c r="K8" s="591"/>
      <c r="L8" s="592"/>
      <c r="M8" s="493" t="e">
        <v>#REF!</v>
      </c>
      <c r="N8" s="480"/>
      <c r="O8" s="591" t="e">
        <v>#REF!</v>
      </c>
      <c r="P8" s="591"/>
      <c r="Q8" s="592"/>
      <c r="R8" s="493" t="e">
        <v>#REF!</v>
      </c>
      <c r="S8" s="480"/>
      <c r="T8" s="591" t="e">
        <v>#REF!</v>
      </c>
      <c r="U8" s="591"/>
      <c r="V8" s="592"/>
      <c r="W8" s="493" t="e">
        <v>#REF!</v>
      </c>
      <c r="X8" s="480"/>
      <c r="Y8" s="591" t="e">
        <v>#REF!</v>
      </c>
      <c r="Z8" s="591"/>
      <c r="AA8" s="592"/>
      <c r="AB8" s="493" t="e">
        <v>#REF!</v>
      </c>
      <c r="AC8" s="480"/>
      <c r="AD8" s="591" t="e">
        <v>#REF!</v>
      </c>
      <c r="AE8" s="591"/>
      <c r="AF8" s="595"/>
    </row>
    <row r="9" spans="2:32" ht="12.6" customHeight="1" x14ac:dyDescent="0.2">
      <c r="B9" s="507"/>
      <c r="C9" s="600"/>
      <c r="D9" s="601"/>
      <c r="E9" s="593"/>
      <c r="F9" s="593"/>
      <c r="G9" s="594"/>
      <c r="H9" s="601"/>
      <c r="I9" s="601"/>
      <c r="J9" s="593"/>
      <c r="K9" s="593"/>
      <c r="L9" s="594"/>
      <c r="M9" s="481"/>
      <c r="N9" s="482"/>
      <c r="O9" s="593"/>
      <c r="P9" s="593"/>
      <c r="Q9" s="594"/>
      <c r="R9" s="481"/>
      <c r="S9" s="482"/>
      <c r="T9" s="593"/>
      <c r="U9" s="593"/>
      <c r="V9" s="594"/>
      <c r="W9" s="481"/>
      <c r="X9" s="482"/>
      <c r="Y9" s="593"/>
      <c r="Z9" s="593"/>
      <c r="AA9" s="594"/>
      <c r="AB9" s="481"/>
      <c r="AC9" s="482"/>
      <c r="AD9" s="593"/>
      <c r="AE9" s="593"/>
      <c r="AF9" s="596"/>
    </row>
    <row r="10" spans="2:32" ht="12.6" customHeight="1" x14ac:dyDescent="0.2">
      <c r="B10" s="507"/>
      <c r="C10" s="550"/>
      <c r="D10" s="546"/>
      <c r="E10" s="491" t="e">
        <v>#REF!</v>
      </c>
      <c r="F10" s="491"/>
      <c r="G10" s="492"/>
      <c r="H10" s="546"/>
      <c r="I10" s="546"/>
      <c r="J10" s="491" t="e">
        <v>#REF!</v>
      </c>
      <c r="K10" s="491"/>
      <c r="L10" s="492"/>
      <c r="M10" s="546"/>
      <c r="N10" s="546"/>
      <c r="O10" s="491" t="e">
        <v>#REF!</v>
      </c>
      <c r="P10" s="491"/>
      <c r="Q10" s="492"/>
      <c r="R10" s="546"/>
      <c r="S10" s="546"/>
      <c r="T10" s="491" t="e">
        <v>#REF!</v>
      </c>
      <c r="U10" s="491"/>
      <c r="V10" s="492"/>
      <c r="W10" s="546"/>
      <c r="X10" s="546"/>
      <c r="Y10" s="491" t="e">
        <v>#REF!</v>
      </c>
      <c r="Z10" s="491"/>
      <c r="AA10" s="492"/>
      <c r="AB10" s="546"/>
      <c r="AC10" s="546"/>
      <c r="AD10" s="491" t="e">
        <v>#REF!</v>
      </c>
      <c r="AE10" s="491"/>
      <c r="AF10" s="497"/>
    </row>
    <row r="11" spans="2:32" ht="12.6" customHeight="1" x14ac:dyDescent="0.2">
      <c r="B11" s="507"/>
      <c r="C11" s="550"/>
      <c r="D11" s="546"/>
      <c r="E11" s="29" t="s">
        <v>34</v>
      </c>
      <c r="F11" s="486" t="e">
        <v>#REF!</v>
      </c>
      <c r="G11" s="496"/>
      <c r="H11" s="546"/>
      <c r="I11" s="546"/>
      <c r="J11" s="29" t="s">
        <v>34</v>
      </c>
      <c r="K11" s="486" t="e">
        <v>#REF!</v>
      </c>
      <c r="L11" s="496"/>
      <c r="M11" s="546"/>
      <c r="N11" s="546"/>
      <c r="O11" s="29" t="s">
        <v>34</v>
      </c>
      <c r="P11" s="486" t="e">
        <v>#REF!</v>
      </c>
      <c r="Q11" s="496"/>
      <c r="R11" s="546"/>
      <c r="S11" s="546"/>
      <c r="T11" s="29" t="s">
        <v>34</v>
      </c>
      <c r="U11" s="486" t="e">
        <v>#REF!</v>
      </c>
      <c r="V11" s="496"/>
      <c r="W11" s="546"/>
      <c r="X11" s="546"/>
      <c r="Y11" s="29" t="s">
        <v>34</v>
      </c>
      <c r="Z11" s="486" t="e">
        <v>#REF!</v>
      </c>
      <c r="AA11" s="496"/>
      <c r="AB11" s="546"/>
      <c r="AC11" s="546"/>
      <c r="AD11" s="29" t="s">
        <v>34</v>
      </c>
      <c r="AE11" s="486" t="e">
        <v>#REF!</v>
      </c>
      <c r="AF11" s="496"/>
    </row>
    <row r="12" spans="2:32" ht="12.6" customHeight="1" x14ac:dyDescent="0.2">
      <c r="B12" s="508"/>
      <c r="C12" s="550"/>
      <c r="D12" s="546"/>
      <c r="E12" s="185" t="s">
        <v>35</v>
      </c>
      <c r="F12" s="461" t="e">
        <v>#REF!</v>
      </c>
      <c r="G12" s="462"/>
      <c r="H12" s="546"/>
      <c r="I12" s="546"/>
      <c r="J12" s="185" t="s">
        <v>35</v>
      </c>
      <c r="K12" s="461" t="e">
        <v>#REF!</v>
      </c>
      <c r="L12" s="462"/>
      <c r="M12" s="546"/>
      <c r="N12" s="546"/>
      <c r="O12" s="185" t="s">
        <v>35</v>
      </c>
      <c r="P12" s="461" t="e">
        <v>#REF!</v>
      </c>
      <c r="Q12" s="462"/>
      <c r="R12" s="546"/>
      <c r="S12" s="546"/>
      <c r="T12" s="185" t="s">
        <v>35</v>
      </c>
      <c r="U12" s="461" t="e">
        <v>#REF!</v>
      </c>
      <c r="V12" s="462"/>
      <c r="W12" s="546"/>
      <c r="X12" s="546"/>
      <c r="Y12" s="185" t="s">
        <v>35</v>
      </c>
      <c r="Z12" s="461" t="e">
        <v>#REF!</v>
      </c>
      <c r="AA12" s="462"/>
      <c r="AB12" s="546"/>
      <c r="AC12" s="546"/>
      <c r="AD12" s="185" t="s">
        <v>35</v>
      </c>
      <c r="AE12" s="461" t="e">
        <v>#REF!</v>
      </c>
      <c r="AF12" s="462"/>
    </row>
    <row r="13" spans="2:32" ht="12.6" customHeight="1" x14ac:dyDescent="0.2">
      <c r="B13" s="505" t="e">
        <v>#REF!</v>
      </c>
      <c r="C13" s="471" t="e">
        <v>#REF!</v>
      </c>
      <c r="D13" s="480"/>
      <c r="E13" s="591" t="e">
        <v>#REF!</v>
      </c>
      <c r="F13" s="591"/>
      <c r="G13" s="592"/>
      <c r="H13" s="479" t="e">
        <v>#REF!</v>
      </c>
      <c r="I13" s="480"/>
      <c r="J13" s="591" t="e">
        <v>#REF!</v>
      </c>
      <c r="K13" s="591"/>
      <c r="L13" s="592"/>
      <c r="M13" s="493" t="e">
        <v>#REF!</v>
      </c>
      <c r="N13" s="480"/>
      <c r="O13" s="591" t="e">
        <v>#REF!</v>
      </c>
      <c r="P13" s="591"/>
      <c r="Q13" s="592"/>
      <c r="R13" s="493" t="e">
        <v>#REF!</v>
      </c>
      <c r="S13" s="480"/>
      <c r="T13" s="591" t="e">
        <v>#REF!</v>
      </c>
      <c r="U13" s="591"/>
      <c r="V13" s="592"/>
      <c r="W13" s="493" t="e">
        <v>#REF!</v>
      </c>
      <c r="X13" s="480"/>
      <c r="Y13" s="591" t="e">
        <v>#REF!</v>
      </c>
      <c r="Z13" s="591"/>
      <c r="AA13" s="592"/>
      <c r="AB13" s="493" t="e">
        <v>#REF!</v>
      </c>
      <c r="AC13" s="480"/>
      <c r="AD13" s="591" t="e">
        <v>#REF!</v>
      </c>
      <c r="AE13" s="591"/>
      <c r="AF13" s="595"/>
    </row>
    <row r="14" spans="2:32" ht="12.6" customHeight="1" x14ac:dyDescent="0.2">
      <c r="B14" s="507"/>
      <c r="C14" s="597"/>
      <c r="D14" s="482"/>
      <c r="E14" s="593"/>
      <c r="F14" s="593"/>
      <c r="G14" s="594"/>
      <c r="H14" s="481"/>
      <c r="I14" s="482"/>
      <c r="J14" s="593"/>
      <c r="K14" s="593"/>
      <c r="L14" s="594"/>
      <c r="M14" s="481"/>
      <c r="N14" s="482"/>
      <c r="O14" s="593"/>
      <c r="P14" s="593"/>
      <c r="Q14" s="594"/>
      <c r="R14" s="481"/>
      <c r="S14" s="482"/>
      <c r="T14" s="593"/>
      <c r="U14" s="593"/>
      <c r="V14" s="594"/>
      <c r="W14" s="481"/>
      <c r="X14" s="482"/>
      <c r="Y14" s="593"/>
      <c r="Z14" s="593"/>
      <c r="AA14" s="594"/>
      <c r="AB14" s="481"/>
      <c r="AC14" s="482"/>
      <c r="AD14" s="593"/>
      <c r="AE14" s="593"/>
      <c r="AF14" s="596"/>
    </row>
    <row r="15" spans="2:32" ht="12.6" customHeight="1" x14ac:dyDescent="0.2">
      <c r="B15" s="507"/>
      <c r="C15" s="550"/>
      <c r="D15" s="546"/>
      <c r="E15" s="491" t="e">
        <v>#REF!</v>
      </c>
      <c r="F15" s="491"/>
      <c r="G15" s="492"/>
      <c r="H15" s="546"/>
      <c r="I15" s="546"/>
      <c r="J15" s="491" t="e">
        <v>#REF!</v>
      </c>
      <c r="K15" s="491"/>
      <c r="L15" s="492"/>
      <c r="M15" s="546"/>
      <c r="N15" s="546"/>
      <c r="O15" s="491" t="e">
        <v>#REF!</v>
      </c>
      <c r="P15" s="491"/>
      <c r="Q15" s="492"/>
      <c r="R15" s="546"/>
      <c r="S15" s="546"/>
      <c r="T15" s="491" t="e">
        <v>#REF!</v>
      </c>
      <c r="U15" s="491"/>
      <c r="V15" s="492"/>
      <c r="W15" s="546"/>
      <c r="X15" s="546"/>
      <c r="Y15" s="491" t="e">
        <v>#REF!</v>
      </c>
      <c r="Z15" s="491"/>
      <c r="AA15" s="492"/>
      <c r="AB15" s="546"/>
      <c r="AC15" s="546"/>
      <c r="AD15" s="491" t="e">
        <v>#REF!</v>
      </c>
      <c r="AE15" s="491"/>
      <c r="AF15" s="497"/>
    </row>
    <row r="16" spans="2:32" ht="12.6" customHeight="1" x14ac:dyDescent="0.2">
      <c r="B16" s="586"/>
      <c r="C16" s="550"/>
      <c r="D16" s="546"/>
      <c r="E16" s="29" t="s">
        <v>34</v>
      </c>
      <c r="F16" s="486" t="e">
        <v>#REF!</v>
      </c>
      <c r="G16" s="496"/>
      <c r="H16" s="546"/>
      <c r="I16" s="546"/>
      <c r="J16" s="29" t="s">
        <v>34</v>
      </c>
      <c r="K16" s="486" t="e">
        <v>#REF!</v>
      </c>
      <c r="L16" s="496"/>
      <c r="M16" s="546"/>
      <c r="N16" s="546"/>
      <c r="O16" s="29" t="s">
        <v>34</v>
      </c>
      <c r="P16" s="486" t="e">
        <v>#REF!</v>
      </c>
      <c r="Q16" s="496"/>
      <c r="R16" s="546"/>
      <c r="S16" s="546"/>
      <c r="T16" s="29" t="s">
        <v>34</v>
      </c>
      <c r="U16" s="486" t="e">
        <v>#REF!</v>
      </c>
      <c r="V16" s="496"/>
      <c r="W16" s="546"/>
      <c r="X16" s="546"/>
      <c r="Y16" s="29" t="s">
        <v>34</v>
      </c>
      <c r="Z16" s="486" t="e">
        <v>#REF!</v>
      </c>
      <c r="AA16" s="496"/>
      <c r="AB16" s="546"/>
      <c r="AC16" s="546"/>
      <c r="AD16" s="29" t="s">
        <v>34</v>
      </c>
      <c r="AE16" s="486" t="e">
        <v>#REF!</v>
      </c>
      <c r="AF16" s="496"/>
    </row>
    <row r="17" spans="2:32" ht="12.6" customHeight="1" x14ac:dyDescent="0.2">
      <c r="B17" s="587"/>
      <c r="C17" s="550"/>
      <c r="D17" s="546"/>
      <c r="E17" s="185" t="s">
        <v>35</v>
      </c>
      <c r="F17" s="461" t="e">
        <v>#REF!</v>
      </c>
      <c r="G17" s="462"/>
      <c r="H17" s="546"/>
      <c r="I17" s="546"/>
      <c r="J17" s="185" t="s">
        <v>35</v>
      </c>
      <c r="K17" s="461" t="e">
        <v>#REF!</v>
      </c>
      <c r="L17" s="462"/>
      <c r="M17" s="546"/>
      <c r="N17" s="546"/>
      <c r="O17" s="185" t="s">
        <v>35</v>
      </c>
      <c r="P17" s="461" t="e">
        <v>#REF!</v>
      </c>
      <c r="Q17" s="462"/>
      <c r="R17" s="546"/>
      <c r="S17" s="546"/>
      <c r="T17" s="185" t="s">
        <v>35</v>
      </c>
      <c r="U17" s="461" t="e">
        <v>#REF!</v>
      </c>
      <c r="V17" s="462"/>
      <c r="W17" s="546"/>
      <c r="X17" s="546"/>
      <c r="Y17" s="185" t="s">
        <v>35</v>
      </c>
      <c r="Z17" s="461" t="e">
        <v>#REF!</v>
      </c>
      <c r="AA17" s="462"/>
      <c r="AB17" s="546"/>
      <c r="AC17" s="546"/>
      <c r="AD17" s="185" t="s">
        <v>35</v>
      </c>
      <c r="AE17" s="461" t="e">
        <v>#REF!</v>
      </c>
      <c r="AF17" s="462"/>
    </row>
    <row r="18" spans="2:32" ht="12.6" customHeight="1" x14ac:dyDescent="0.2">
      <c r="B18" s="505" t="e">
        <v>#REF!</v>
      </c>
      <c r="C18" s="471" t="e">
        <v>#REF!</v>
      </c>
      <c r="D18" s="588"/>
      <c r="E18" s="591" t="e">
        <v>#REF!</v>
      </c>
      <c r="F18" s="591"/>
      <c r="G18" s="592"/>
      <c r="H18" s="479" t="e">
        <v>#REF!</v>
      </c>
      <c r="I18" s="480"/>
      <c r="J18" s="591" t="e">
        <v>#REF!</v>
      </c>
      <c r="K18" s="591"/>
      <c r="L18" s="592"/>
      <c r="M18" s="493" t="e">
        <v>#REF!</v>
      </c>
      <c r="N18" s="480"/>
      <c r="O18" s="591" t="e">
        <v>#REF!</v>
      </c>
      <c r="P18" s="591"/>
      <c r="Q18" s="592"/>
      <c r="R18" s="493" t="e">
        <v>#REF!</v>
      </c>
      <c r="S18" s="480"/>
      <c r="T18" s="591" t="e">
        <v>#REF!</v>
      </c>
      <c r="U18" s="591"/>
      <c r="V18" s="592"/>
      <c r="W18" s="493" t="e">
        <v>#REF!</v>
      </c>
      <c r="X18" s="480"/>
      <c r="Y18" s="591" t="e">
        <v>#REF!</v>
      </c>
      <c r="Z18" s="591"/>
      <c r="AA18" s="592"/>
      <c r="AB18" s="493" t="e">
        <v>#REF!</v>
      </c>
      <c r="AC18" s="480"/>
      <c r="AD18" s="591" t="e">
        <v>#REF!</v>
      </c>
      <c r="AE18" s="591"/>
      <c r="AF18" s="595"/>
    </row>
    <row r="19" spans="2:32" ht="12.6" customHeight="1" x14ac:dyDescent="0.2">
      <c r="B19" s="507"/>
      <c r="C19" s="589"/>
      <c r="D19" s="590"/>
      <c r="E19" s="593"/>
      <c r="F19" s="593"/>
      <c r="G19" s="594"/>
      <c r="H19" s="481"/>
      <c r="I19" s="482"/>
      <c r="J19" s="593"/>
      <c r="K19" s="593"/>
      <c r="L19" s="594"/>
      <c r="M19" s="481"/>
      <c r="N19" s="482"/>
      <c r="O19" s="593"/>
      <c r="P19" s="593"/>
      <c r="Q19" s="594"/>
      <c r="R19" s="481"/>
      <c r="S19" s="482"/>
      <c r="T19" s="593"/>
      <c r="U19" s="593"/>
      <c r="V19" s="594"/>
      <c r="W19" s="481"/>
      <c r="X19" s="482"/>
      <c r="Y19" s="593"/>
      <c r="Z19" s="593"/>
      <c r="AA19" s="594"/>
      <c r="AB19" s="481"/>
      <c r="AC19" s="482"/>
      <c r="AD19" s="593"/>
      <c r="AE19" s="593"/>
      <c r="AF19" s="596"/>
    </row>
    <row r="20" spans="2:32" ht="12.6" customHeight="1" x14ac:dyDescent="0.2">
      <c r="B20" s="507"/>
      <c r="C20" s="550"/>
      <c r="D20" s="546"/>
      <c r="E20" s="491" t="e">
        <v>#REF!</v>
      </c>
      <c r="F20" s="491"/>
      <c r="G20" s="492"/>
      <c r="H20" s="546"/>
      <c r="I20" s="546"/>
      <c r="J20" s="491" t="e">
        <v>#REF!</v>
      </c>
      <c r="K20" s="491"/>
      <c r="L20" s="492"/>
      <c r="M20" s="546"/>
      <c r="N20" s="546"/>
      <c r="O20" s="491" t="e">
        <v>#REF!</v>
      </c>
      <c r="P20" s="491"/>
      <c r="Q20" s="492"/>
      <c r="R20" s="546"/>
      <c r="S20" s="546"/>
      <c r="T20" s="491" t="e">
        <v>#REF!</v>
      </c>
      <c r="U20" s="491"/>
      <c r="V20" s="492"/>
      <c r="W20" s="546"/>
      <c r="X20" s="546"/>
      <c r="Y20" s="491" t="e">
        <v>#REF!</v>
      </c>
      <c r="Z20" s="491"/>
      <c r="AA20" s="492"/>
      <c r="AB20" s="546"/>
      <c r="AC20" s="546"/>
      <c r="AD20" s="491" t="e">
        <v>#REF!</v>
      </c>
      <c r="AE20" s="491"/>
      <c r="AF20" s="497"/>
    </row>
    <row r="21" spans="2:32" ht="12.6" customHeight="1" x14ac:dyDescent="0.2">
      <c r="B21" s="586"/>
      <c r="C21" s="550"/>
      <c r="D21" s="546"/>
      <c r="E21" s="29" t="s">
        <v>34</v>
      </c>
      <c r="F21" s="486" t="e">
        <v>#REF!</v>
      </c>
      <c r="G21" s="496"/>
      <c r="H21" s="546"/>
      <c r="I21" s="546"/>
      <c r="J21" s="29" t="s">
        <v>34</v>
      </c>
      <c r="K21" s="486" t="e">
        <v>#REF!</v>
      </c>
      <c r="L21" s="496"/>
      <c r="M21" s="546"/>
      <c r="N21" s="546"/>
      <c r="O21" s="29" t="s">
        <v>34</v>
      </c>
      <c r="P21" s="486" t="e">
        <v>#REF!</v>
      </c>
      <c r="Q21" s="496"/>
      <c r="R21" s="546"/>
      <c r="S21" s="546"/>
      <c r="T21" s="29" t="s">
        <v>34</v>
      </c>
      <c r="U21" s="486" t="e">
        <v>#REF!</v>
      </c>
      <c r="V21" s="496"/>
      <c r="W21" s="546"/>
      <c r="X21" s="546"/>
      <c r="Y21" s="29" t="s">
        <v>34</v>
      </c>
      <c r="Z21" s="486" t="e">
        <v>#REF!</v>
      </c>
      <c r="AA21" s="496"/>
      <c r="AB21" s="546"/>
      <c r="AC21" s="546"/>
      <c r="AD21" s="29" t="s">
        <v>34</v>
      </c>
      <c r="AE21" s="486" t="e">
        <v>#REF!</v>
      </c>
      <c r="AF21" s="496"/>
    </row>
    <row r="22" spans="2:32" ht="12.6" customHeight="1" x14ac:dyDescent="0.2">
      <c r="B22" s="587"/>
      <c r="C22" s="550"/>
      <c r="D22" s="546"/>
      <c r="E22" s="185" t="s">
        <v>35</v>
      </c>
      <c r="F22" s="461" t="e">
        <v>#REF!</v>
      </c>
      <c r="G22" s="462"/>
      <c r="H22" s="546"/>
      <c r="I22" s="546"/>
      <c r="J22" s="185" t="s">
        <v>35</v>
      </c>
      <c r="K22" s="461" t="e">
        <v>#REF!</v>
      </c>
      <c r="L22" s="462"/>
      <c r="M22" s="546"/>
      <c r="N22" s="546"/>
      <c r="O22" s="185" t="s">
        <v>35</v>
      </c>
      <c r="P22" s="461" t="e">
        <v>#REF!</v>
      </c>
      <c r="Q22" s="462"/>
      <c r="R22" s="546"/>
      <c r="S22" s="546"/>
      <c r="T22" s="185" t="s">
        <v>35</v>
      </c>
      <c r="U22" s="461" t="e">
        <v>#REF!</v>
      </c>
      <c r="V22" s="462"/>
      <c r="W22" s="546"/>
      <c r="X22" s="546"/>
      <c r="Y22" s="185" t="s">
        <v>35</v>
      </c>
      <c r="Z22" s="461" t="e">
        <v>#REF!</v>
      </c>
      <c r="AA22" s="462"/>
      <c r="AB22" s="546"/>
      <c r="AC22" s="546"/>
      <c r="AD22" s="185" t="s">
        <v>35</v>
      </c>
      <c r="AE22" s="461" t="e">
        <v>#REF!</v>
      </c>
      <c r="AF22" s="462"/>
    </row>
    <row r="23" spans="2:32" ht="12.6" customHeight="1" x14ac:dyDescent="0.2">
      <c r="B23" s="505" t="e">
        <v>#REF!</v>
      </c>
      <c r="C23" s="566" t="e">
        <v>#REF!</v>
      </c>
      <c r="D23" s="480"/>
      <c r="E23" s="579" t="e">
        <v>#REF!</v>
      </c>
      <c r="F23" s="579"/>
      <c r="G23" s="583"/>
      <c r="H23" s="480" t="e">
        <v>#REF!</v>
      </c>
      <c r="I23" s="480"/>
      <c r="J23" s="579" t="e">
        <v>#REF!</v>
      </c>
      <c r="K23" s="579"/>
      <c r="L23" s="583"/>
      <c r="M23" s="480" t="e">
        <v>#REF!</v>
      </c>
      <c r="N23" s="480"/>
      <c r="O23" s="579" t="e">
        <v>#REF!</v>
      </c>
      <c r="P23" s="579"/>
      <c r="Q23" s="583"/>
      <c r="R23" s="480" t="e">
        <v>#REF!</v>
      </c>
      <c r="S23" s="480"/>
      <c r="T23" s="579" t="e">
        <v>#REF!</v>
      </c>
      <c r="U23" s="579"/>
      <c r="V23" s="583"/>
      <c r="W23" s="480" t="e">
        <v>#REF!</v>
      </c>
      <c r="X23" s="480"/>
      <c r="Y23" s="579" t="e">
        <v>#REF!</v>
      </c>
      <c r="Z23" s="579"/>
      <c r="AA23" s="583"/>
      <c r="AB23" s="480" t="e">
        <v>#REF!</v>
      </c>
      <c r="AC23" s="480"/>
      <c r="AD23" s="579" t="e">
        <v>#REF!</v>
      </c>
      <c r="AE23" s="579"/>
      <c r="AF23" s="580"/>
    </row>
    <row r="24" spans="2:32" ht="12.6" customHeight="1" x14ac:dyDescent="0.2">
      <c r="B24" s="507"/>
      <c r="C24" s="567"/>
      <c r="D24" s="495"/>
      <c r="E24" s="581"/>
      <c r="F24" s="581"/>
      <c r="G24" s="584"/>
      <c r="H24" s="495"/>
      <c r="I24" s="495"/>
      <c r="J24" s="581"/>
      <c r="K24" s="581"/>
      <c r="L24" s="584"/>
      <c r="M24" s="495"/>
      <c r="N24" s="495"/>
      <c r="O24" s="581"/>
      <c r="P24" s="581"/>
      <c r="Q24" s="584"/>
      <c r="R24" s="495"/>
      <c r="S24" s="495"/>
      <c r="T24" s="581"/>
      <c r="U24" s="581"/>
      <c r="V24" s="584"/>
      <c r="W24" s="495"/>
      <c r="X24" s="495"/>
      <c r="Y24" s="581"/>
      <c r="Z24" s="581"/>
      <c r="AA24" s="584"/>
      <c r="AB24" s="495"/>
      <c r="AC24" s="495"/>
      <c r="AD24" s="581"/>
      <c r="AE24" s="581"/>
      <c r="AF24" s="582"/>
    </row>
    <row r="25" spans="2:32" ht="12.6" customHeight="1" x14ac:dyDescent="0.2">
      <c r="B25" s="586"/>
      <c r="C25" s="550"/>
      <c r="D25" s="546"/>
      <c r="E25" s="581"/>
      <c r="F25" s="581"/>
      <c r="G25" s="584"/>
      <c r="H25" s="546"/>
      <c r="I25" s="546"/>
      <c r="J25" s="581"/>
      <c r="K25" s="581"/>
      <c r="L25" s="584"/>
      <c r="M25" s="546"/>
      <c r="N25" s="546"/>
      <c r="O25" s="581"/>
      <c r="P25" s="581"/>
      <c r="Q25" s="584"/>
      <c r="R25" s="546"/>
      <c r="S25" s="546"/>
      <c r="T25" s="581"/>
      <c r="U25" s="581"/>
      <c r="V25" s="584"/>
      <c r="W25" s="546"/>
      <c r="X25" s="546"/>
      <c r="Y25" s="581"/>
      <c r="Z25" s="581"/>
      <c r="AA25" s="584"/>
      <c r="AB25" s="546"/>
      <c r="AC25" s="546"/>
      <c r="AD25" s="581"/>
      <c r="AE25" s="581"/>
      <c r="AF25" s="582"/>
    </row>
    <row r="26" spans="2:32" ht="12.6" customHeight="1" x14ac:dyDescent="0.2">
      <c r="B26" s="586"/>
      <c r="C26" s="550"/>
      <c r="D26" s="546"/>
      <c r="E26" s="491" t="e">
        <v>#REF!</v>
      </c>
      <c r="F26" s="491"/>
      <c r="G26" s="492"/>
      <c r="H26" s="546"/>
      <c r="I26" s="546"/>
      <c r="J26" s="491" t="e">
        <v>#REF!</v>
      </c>
      <c r="K26" s="491"/>
      <c r="L26" s="492"/>
      <c r="M26" s="585"/>
      <c r="N26" s="546"/>
      <c r="O26" s="491" t="e">
        <v>#REF!</v>
      </c>
      <c r="P26" s="491"/>
      <c r="Q26" s="492"/>
      <c r="R26" s="546"/>
      <c r="S26" s="546"/>
      <c r="T26" s="491" t="e">
        <v>#REF!</v>
      </c>
      <c r="U26" s="491"/>
      <c r="V26" s="492"/>
      <c r="W26" s="585"/>
      <c r="X26" s="546"/>
      <c r="Y26" s="491" t="e">
        <v>#REF!</v>
      </c>
      <c r="Z26" s="491"/>
      <c r="AA26" s="492"/>
      <c r="AB26" s="546"/>
      <c r="AC26" s="546"/>
      <c r="AD26" s="491" t="e">
        <v>#REF!</v>
      </c>
      <c r="AE26" s="491"/>
      <c r="AF26" s="497"/>
    </row>
    <row r="27" spans="2:32" ht="12.6" customHeight="1" x14ac:dyDescent="0.2">
      <c r="B27" s="586"/>
      <c r="C27" s="550"/>
      <c r="D27" s="546"/>
      <c r="E27" s="29" t="s">
        <v>34</v>
      </c>
      <c r="F27" s="486" t="e">
        <v>#REF!</v>
      </c>
      <c r="G27" s="496"/>
      <c r="H27" s="546"/>
      <c r="I27" s="546"/>
      <c r="J27" s="29" t="s">
        <v>34</v>
      </c>
      <c r="K27" s="486" t="e">
        <v>#REF!</v>
      </c>
      <c r="L27" s="496"/>
      <c r="M27" s="546"/>
      <c r="N27" s="546"/>
      <c r="O27" s="29" t="s">
        <v>34</v>
      </c>
      <c r="P27" s="486" t="e">
        <v>#REF!</v>
      </c>
      <c r="Q27" s="496"/>
      <c r="R27" s="546"/>
      <c r="S27" s="546"/>
      <c r="T27" s="29" t="s">
        <v>34</v>
      </c>
      <c r="U27" s="486" t="e">
        <v>#REF!</v>
      </c>
      <c r="V27" s="496"/>
      <c r="W27" s="546"/>
      <c r="X27" s="546"/>
      <c r="Y27" s="29" t="s">
        <v>34</v>
      </c>
      <c r="Z27" s="486" t="e">
        <v>#REF!</v>
      </c>
      <c r="AA27" s="496"/>
      <c r="AB27" s="546"/>
      <c r="AC27" s="546"/>
      <c r="AD27" s="29" t="s">
        <v>34</v>
      </c>
      <c r="AE27" s="486" t="e">
        <v>#REF!</v>
      </c>
      <c r="AF27" s="496"/>
    </row>
    <row r="28" spans="2:32" ht="12.6" customHeight="1" x14ac:dyDescent="0.2">
      <c r="B28" s="587"/>
      <c r="C28" s="565"/>
      <c r="D28" s="549"/>
      <c r="E28" s="185" t="s">
        <v>35</v>
      </c>
      <c r="F28" s="461" t="e">
        <v>#REF!</v>
      </c>
      <c r="G28" s="462"/>
      <c r="H28" s="549"/>
      <c r="I28" s="549"/>
      <c r="J28" s="185" t="s">
        <v>35</v>
      </c>
      <c r="K28" s="461" t="e">
        <v>#REF!</v>
      </c>
      <c r="L28" s="462"/>
      <c r="M28" s="549"/>
      <c r="N28" s="549"/>
      <c r="O28" s="185" t="s">
        <v>35</v>
      </c>
      <c r="P28" s="461" t="e">
        <v>#REF!</v>
      </c>
      <c r="Q28" s="462"/>
      <c r="R28" s="549"/>
      <c r="S28" s="549"/>
      <c r="T28" s="185" t="s">
        <v>35</v>
      </c>
      <c r="U28" s="461" t="e">
        <v>#REF!</v>
      </c>
      <c r="V28" s="462"/>
      <c r="W28" s="549"/>
      <c r="X28" s="549"/>
      <c r="Y28" s="185" t="s">
        <v>35</v>
      </c>
      <c r="Z28" s="461" t="e">
        <v>#REF!</v>
      </c>
      <c r="AA28" s="462"/>
      <c r="AB28" s="549"/>
      <c r="AC28" s="549"/>
      <c r="AD28" s="185" t="s">
        <v>35</v>
      </c>
      <c r="AE28" s="461" t="e">
        <v>#REF!</v>
      </c>
      <c r="AF28" s="462"/>
    </row>
    <row r="29" spans="2:32" ht="12.6" customHeight="1" x14ac:dyDescent="0.2">
      <c r="B29" s="505" t="e">
        <v>#REF!</v>
      </c>
      <c r="C29" s="566" t="e">
        <v>#REF!</v>
      </c>
      <c r="D29" s="480"/>
      <c r="E29" s="475" t="e">
        <v>#REF!</v>
      </c>
      <c r="F29" s="475"/>
      <c r="G29" s="476"/>
      <c r="H29" s="493" t="e">
        <v>#REF!</v>
      </c>
      <c r="I29" s="480"/>
      <c r="J29" s="475" t="e">
        <v>#REF!</v>
      </c>
      <c r="K29" s="475"/>
      <c r="L29" s="476"/>
      <c r="M29" s="493" t="e">
        <v>#REF!</v>
      </c>
      <c r="N29" s="480"/>
      <c r="O29" s="475" t="e">
        <v>#REF!</v>
      </c>
      <c r="P29" s="475"/>
      <c r="Q29" s="476"/>
      <c r="R29" s="575" t="e">
        <v>#REF!</v>
      </c>
      <c r="S29" s="576"/>
      <c r="T29" s="475" t="e">
        <v>#REF!</v>
      </c>
      <c r="U29" s="475"/>
      <c r="V29" s="476"/>
      <c r="W29" s="493" t="e">
        <v>#REF!</v>
      </c>
      <c r="X29" s="480"/>
      <c r="Y29" s="475" t="e">
        <v>#REF!</v>
      </c>
      <c r="Z29" s="475"/>
      <c r="AA29" s="476"/>
      <c r="AB29" s="493" t="e">
        <v>#REF!</v>
      </c>
      <c r="AC29" s="480"/>
      <c r="AD29" s="475" t="e">
        <v>#REF!</v>
      </c>
      <c r="AE29" s="475"/>
      <c r="AF29" s="498"/>
    </row>
    <row r="30" spans="2:32" ht="12.6" customHeight="1" x14ac:dyDescent="0.2">
      <c r="B30" s="547"/>
      <c r="C30" s="567"/>
      <c r="D30" s="495"/>
      <c r="E30" s="556"/>
      <c r="F30" s="556"/>
      <c r="G30" s="557"/>
      <c r="H30" s="494"/>
      <c r="I30" s="495"/>
      <c r="J30" s="556"/>
      <c r="K30" s="556"/>
      <c r="L30" s="557"/>
      <c r="M30" s="572"/>
      <c r="N30" s="573"/>
      <c r="O30" s="556"/>
      <c r="P30" s="556"/>
      <c r="Q30" s="557"/>
      <c r="R30" s="577"/>
      <c r="S30" s="578"/>
      <c r="T30" s="556"/>
      <c r="U30" s="556"/>
      <c r="V30" s="557"/>
      <c r="W30" s="494"/>
      <c r="X30" s="495"/>
      <c r="Y30" s="556"/>
      <c r="Z30" s="556"/>
      <c r="AA30" s="557"/>
      <c r="AB30" s="572"/>
      <c r="AC30" s="573"/>
      <c r="AD30" s="556"/>
      <c r="AE30" s="556"/>
      <c r="AF30" s="574"/>
    </row>
    <row r="31" spans="2:32" ht="12.6" customHeight="1" x14ac:dyDescent="0.2">
      <c r="B31" s="547"/>
      <c r="C31" s="550"/>
      <c r="D31" s="546"/>
      <c r="E31" s="556"/>
      <c r="F31" s="556"/>
      <c r="G31" s="557"/>
      <c r="H31" s="546"/>
      <c r="I31" s="546"/>
      <c r="J31" s="556"/>
      <c r="K31" s="556"/>
      <c r="L31" s="557"/>
      <c r="M31" s="546"/>
      <c r="N31" s="546"/>
      <c r="O31" s="556"/>
      <c r="P31" s="556"/>
      <c r="Q31" s="557"/>
      <c r="R31" s="546"/>
      <c r="S31" s="546"/>
      <c r="T31" s="556"/>
      <c r="U31" s="556"/>
      <c r="V31" s="557"/>
      <c r="W31" s="546"/>
      <c r="X31" s="546"/>
      <c r="Y31" s="556"/>
      <c r="Z31" s="556"/>
      <c r="AA31" s="557"/>
      <c r="AB31" s="546"/>
      <c r="AC31" s="546"/>
      <c r="AD31" s="556"/>
      <c r="AE31" s="556"/>
      <c r="AF31" s="574"/>
    </row>
    <row r="32" spans="2:32" ht="12.6" customHeight="1" x14ac:dyDescent="0.2">
      <c r="B32" s="547"/>
      <c r="C32" s="550"/>
      <c r="D32" s="546"/>
      <c r="E32" s="491" t="e">
        <v>#REF!</v>
      </c>
      <c r="F32" s="491"/>
      <c r="G32" s="492"/>
      <c r="H32" s="546"/>
      <c r="I32" s="546"/>
      <c r="J32" s="491" t="e">
        <v>#REF!</v>
      </c>
      <c r="K32" s="491"/>
      <c r="L32" s="492"/>
      <c r="M32" s="546"/>
      <c r="N32" s="546"/>
      <c r="O32" s="491" t="e">
        <v>#REF!</v>
      </c>
      <c r="P32" s="491"/>
      <c r="Q32" s="492"/>
      <c r="R32" s="546"/>
      <c r="S32" s="546"/>
      <c r="T32" s="491" t="e">
        <v>#REF!</v>
      </c>
      <c r="U32" s="491"/>
      <c r="V32" s="492"/>
      <c r="W32" s="546"/>
      <c r="X32" s="546"/>
      <c r="Y32" s="491" t="e">
        <v>#REF!</v>
      </c>
      <c r="Z32" s="491"/>
      <c r="AA32" s="492"/>
      <c r="AB32" s="546"/>
      <c r="AC32" s="546"/>
      <c r="AD32" s="491" t="e">
        <v>#REF!</v>
      </c>
      <c r="AE32" s="491"/>
      <c r="AF32" s="497"/>
    </row>
    <row r="33" spans="2:32" ht="12.6" customHeight="1" x14ac:dyDescent="0.2">
      <c r="B33" s="547"/>
      <c r="C33" s="550"/>
      <c r="D33" s="546"/>
      <c r="E33" s="29" t="s">
        <v>34</v>
      </c>
      <c r="F33" s="486" t="e">
        <v>#REF!</v>
      </c>
      <c r="G33" s="496"/>
      <c r="H33" s="546"/>
      <c r="I33" s="546"/>
      <c r="J33" s="29" t="s">
        <v>34</v>
      </c>
      <c r="K33" s="486" t="e">
        <v>#REF!</v>
      </c>
      <c r="L33" s="496"/>
      <c r="M33" s="546"/>
      <c r="N33" s="546"/>
      <c r="O33" s="29" t="s">
        <v>34</v>
      </c>
      <c r="P33" s="486" t="e">
        <v>#REF!</v>
      </c>
      <c r="Q33" s="496"/>
      <c r="R33" s="546"/>
      <c r="S33" s="546"/>
      <c r="T33" s="29" t="s">
        <v>34</v>
      </c>
      <c r="U33" s="486" t="e">
        <v>#REF!</v>
      </c>
      <c r="V33" s="496"/>
      <c r="W33" s="546"/>
      <c r="X33" s="546"/>
      <c r="Y33" s="29" t="s">
        <v>34</v>
      </c>
      <c r="Z33" s="486" t="e">
        <v>#REF!</v>
      </c>
      <c r="AA33" s="496"/>
      <c r="AB33" s="546"/>
      <c r="AC33" s="546"/>
      <c r="AD33" s="29" t="s">
        <v>34</v>
      </c>
      <c r="AE33" s="486" t="e">
        <v>#REF!</v>
      </c>
      <c r="AF33" s="496"/>
    </row>
    <row r="34" spans="2:32" ht="12.6" customHeight="1" x14ac:dyDescent="0.2">
      <c r="B34" s="548"/>
      <c r="C34" s="565"/>
      <c r="D34" s="549"/>
      <c r="E34" s="185" t="s">
        <v>35</v>
      </c>
      <c r="F34" s="461" t="e">
        <v>#REF!</v>
      </c>
      <c r="G34" s="462"/>
      <c r="H34" s="549"/>
      <c r="I34" s="549"/>
      <c r="J34" s="185" t="s">
        <v>35</v>
      </c>
      <c r="K34" s="461" t="e">
        <v>#REF!</v>
      </c>
      <c r="L34" s="462"/>
      <c r="M34" s="549"/>
      <c r="N34" s="549"/>
      <c r="O34" s="185" t="s">
        <v>35</v>
      </c>
      <c r="P34" s="461" t="e">
        <v>#REF!</v>
      </c>
      <c r="Q34" s="462"/>
      <c r="R34" s="549"/>
      <c r="S34" s="549"/>
      <c r="T34" s="185" t="s">
        <v>35</v>
      </c>
      <c r="U34" s="461" t="e">
        <v>#REF!</v>
      </c>
      <c r="V34" s="462"/>
      <c r="W34" s="549"/>
      <c r="X34" s="549"/>
      <c r="Y34" s="185" t="s">
        <v>35</v>
      </c>
      <c r="Z34" s="461" t="e">
        <v>#REF!</v>
      </c>
      <c r="AA34" s="462"/>
      <c r="AB34" s="549"/>
      <c r="AC34" s="549"/>
      <c r="AD34" s="185" t="s">
        <v>35</v>
      </c>
      <c r="AE34" s="461" t="e">
        <v>#REF!</v>
      </c>
      <c r="AF34" s="462"/>
    </row>
    <row r="35" spans="2:32" ht="12.6" customHeight="1" x14ac:dyDescent="0.2">
      <c r="B35" s="506" t="e">
        <v>#REF!</v>
      </c>
      <c r="C35" s="566" t="e">
        <v>#REF!</v>
      </c>
      <c r="D35" s="480"/>
      <c r="E35" s="475" t="e">
        <v>#REF!</v>
      </c>
      <c r="F35" s="475"/>
      <c r="G35" s="476"/>
      <c r="H35" s="568" t="e">
        <v>#REF!</v>
      </c>
      <c r="I35" s="569"/>
      <c r="J35" s="475" t="e">
        <v>#REF!</v>
      </c>
      <c r="K35" s="570"/>
      <c r="L35" s="571"/>
      <c r="M35" s="568" t="e">
        <v>#REF!</v>
      </c>
      <c r="N35" s="569"/>
      <c r="O35" s="475" t="e">
        <v>#REF!</v>
      </c>
      <c r="P35" s="475"/>
      <c r="Q35" s="476"/>
      <c r="R35" s="568" t="e">
        <v>#REF!</v>
      </c>
      <c r="S35" s="569"/>
      <c r="T35" s="475" t="e">
        <v>#REF!</v>
      </c>
      <c r="U35" s="475"/>
      <c r="V35" s="476"/>
      <c r="W35" s="493" t="e">
        <v>#REF!</v>
      </c>
      <c r="X35" s="480"/>
      <c r="Y35" s="475" t="e">
        <v>#REF!</v>
      </c>
      <c r="Z35" s="475"/>
      <c r="AA35" s="476"/>
      <c r="AB35" s="568" t="e">
        <v>#REF!</v>
      </c>
      <c r="AC35" s="569"/>
      <c r="AD35" s="475" t="e">
        <v>#REF!</v>
      </c>
      <c r="AE35" s="475"/>
      <c r="AF35" s="498"/>
    </row>
    <row r="36" spans="2:32" ht="12.6" customHeight="1" x14ac:dyDescent="0.2">
      <c r="B36" s="547"/>
      <c r="C36" s="567"/>
      <c r="D36" s="495"/>
      <c r="E36" s="556"/>
      <c r="F36" s="556"/>
      <c r="G36" s="557"/>
      <c r="H36" s="551"/>
      <c r="I36" s="552"/>
      <c r="J36" s="556"/>
      <c r="K36" s="556"/>
      <c r="L36" s="557"/>
      <c r="M36" s="551"/>
      <c r="N36" s="552"/>
      <c r="O36" s="558"/>
      <c r="P36" s="558"/>
      <c r="Q36" s="559"/>
      <c r="R36" s="551"/>
      <c r="S36" s="552"/>
      <c r="T36" s="558"/>
      <c r="U36" s="558"/>
      <c r="V36" s="559"/>
      <c r="W36" s="494"/>
      <c r="X36" s="495"/>
      <c r="Y36" s="558"/>
      <c r="Z36" s="558"/>
      <c r="AA36" s="559"/>
      <c r="AB36" s="551"/>
      <c r="AC36" s="552"/>
      <c r="AD36" s="558"/>
      <c r="AE36" s="558"/>
      <c r="AF36" s="564"/>
    </row>
    <row r="37" spans="2:32" ht="12.6" customHeight="1" x14ac:dyDescent="0.2">
      <c r="B37" s="547"/>
      <c r="C37" s="550"/>
      <c r="D37" s="546"/>
      <c r="E37" s="556"/>
      <c r="F37" s="556"/>
      <c r="G37" s="557"/>
      <c r="H37" s="546"/>
      <c r="I37" s="546"/>
      <c r="J37" s="556"/>
      <c r="K37" s="556"/>
      <c r="L37" s="557"/>
      <c r="M37" s="546"/>
      <c r="N37" s="546"/>
      <c r="O37" s="558"/>
      <c r="P37" s="558"/>
      <c r="Q37" s="559"/>
      <c r="R37" s="546"/>
      <c r="S37" s="546"/>
      <c r="T37" s="558"/>
      <c r="U37" s="558"/>
      <c r="V37" s="559"/>
      <c r="W37" s="546"/>
      <c r="X37" s="546"/>
      <c r="Y37" s="558"/>
      <c r="Z37" s="558"/>
      <c r="AA37" s="559"/>
      <c r="AB37" s="546"/>
      <c r="AC37" s="546"/>
      <c r="AD37" s="558"/>
      <c r="AE37" s="558"/>
      <c r="AF37" s="564"/>
    </row>
    <row r="38" spans="2:32" ht="12.6" customHeight="1" x14ac:dyDescent="0.2">
      <c r="B38" s="547"/>
      <c r="C38" s="550"/>
      <c r="D38" s="546"/>
      <c r="E38" s="491" t="e">
        <v>#REF!</v>
      </c>
      <c r="F38" s="491"/>
      <c r="G38" s="492"/>
      <c r="H38" s="546"/>
      <c r="I38" s="546"/>
      <c r="J38" s="491" t="e">
        <v>#REF!</v>
      </c>
      <c r="K38" s="491"/>
      <c r="L38" s="492"/>
      <c r="M38" s="546"/>
      <c r="N38" s="546"/>
      <c r="O38" s="491" t="e">
        <v>#REF!</v>
      </c>
      <c r="P38" s="491"/>
      <c r="Q38" s="492"/>
      <c r="R38" s="546"/>
      <c r="S38" s="546"/>
      <c r="T38" s="491" t="e">
        <v>#REF!</v>
      </c>
      <c r="U38" s="491"/>
      <c r="V38" s="492"/>
      <c r="W38" s="546"/>
      <c r="X38" s="546"/>
      <c r="Y38" s="491" t="e">
        <v>#REF!</v>
      </c>
      <c r="Z38" s="491"/>
      <c r="AA38" s="492"/>
      <c r="AB38" s="546"/>
      <c r="AC38" s="546"/>
      <c r="AD38" s="491" t="e">
        <v>#REF!</v>
      </c>
      <c r="AE38" s="491"/>
      <c r="AF38" s="497"/>
    </row>
    <row r="39" spans="2:32" ht="12.6" customHeight="1" x14ac:dyDescent="0.2">
      <c r="B39" s="547"/>
      <c r="C39" s="550"/>
      <c r="D39" s="546"/>
      <c r="E39" s="29" t="s">
        <v>34</v>
      </c>
      <c r="F39" s="486" t="e">
        <v>#REF!</v>
      </c>
      <c r="G39" s="496"/>
      <c r="H39" s="546"/>
      <c r="I39" s="546"/>
      <c r="J39" s="29" t="s">
        <v>34</v>
      </c>
      <c r="K39" s="486" t="e">
        <v>#REF!</v>
      </c>
      <c r="L39" s="496"/>
      <c r="M39" s="546"/>
      <c r="N39" s="546"/>
      <c r="O39" s="29" t="s">
        <v>34</v>
      </c>
      <c r="P39" s="486" t="e">
        <v>#REF!</v>
      </c>
      <c r="Q39" s="496"/>
      <c r="R39" s="546"/>
      <c r="S39" s="546"/>
      <c r="T39" s="29" t="s">
        <v>34</v>
      </c>
      <c r="U39" s="486" t="e">
        <v>#REF!</v>
      </c>
      <c r="V39" s="496"/>
      <c r="W39" s="546"/>
      <c r="X39" s="546"/>
      <c r="Y39" s="29" t="s">
        <v>34</v>
      </c>
      <c r="Z39" s="486" t="e">
        <v>#REF!</v>
      </c>
      <c r="AA39" s="496"/>
      <c r="AB39" s="546"/>
      <c r="AC39" s="546"/>
      <c r="AD39" s="29" t="s">
        <v>34</v>
      </c>
      <c r="AE39" s="486" t="e">
        <v>#REF!</v>
      </c>
      <c r="AF39" s="496"/>
    </row>
    <row r="40" spans="2:32" ht="12.6" customHeight="1" x14ac:dyDescent="0.2">
      <c r="B40" s="548"/>
      <c r="C40" s="565"/>
      <c r="D40" s="549"/>
      <c r="E40" s="185" t="s">
        <v>35</v>
      </c>
      <c r="F40" s="461" t="e">
        <v>#REF!</v>
      </c>
      <c r="G40" s="462"/>
      <c r="H40" s="549"/>
      <c r="I40" s="549"/>
      <c r="J40" s="185" t="s">
        <v>35</v>
      </c>
      <c r="K40" s="461" t="e">
        <v>#REF!</v>
      </c>
      <c r="L40" s="462"/>
      <c r="M40" s="549"/>
      <c r="N40" s="549"/>
      <c r="O40" s="185" t="s">
        <v>35</v>
      </c>
      <c r="P40" s="461" t="e">
        <v>#REF!</v>
      </c>
      <c r="Q40" s="462"/>
      <c r="R40" s="549"/>
      <c r="S40" s="549"/>
      <c r="T40" s="185" t="s">
        <v>35</v>
      </c>
      <c r="U40" s="461" t="e">
        <v>#REF!</v>
      </c>
      <c r="V40" s="462"/>
      <c r="W40" s="549"/>
      <c r="X40" s="549"/>
      <c r="Y40" s="185" t="s">
        <v>35</v>
      </c>
      <c r="Z40" s="461" t="e">
        <v>#REF!</v>
      </c>
      <c r="AA40" s="462"/>
      <c r="AB40" s="549"/>
      <c r="AC40" s="549"/>
      <c r="AD40" s="185" t="s">
        <v>35</v>
      </c>
      <c r="AE40" s="461" t="e">
        <v>#REF!</v>
      </c>
      <c r="AF40" s="462"/>
    </row>
    <row r="41" spans="2:32" ht="12.6" customHeight="1" x14ac:dyDescent="0.2">
      <c r="B41" s="505" t="e">
        <v>#REF!</v>
      </c>
      <c r="C41" s="555" t="e">
        <v>#REF!</v>
      </c>
      <c r="D41" s="552"/>
      <c r="E41" s="483" t="e">
        <v>#REF!</v>
      </c>
      <c r="F41" s="483"/>
      <c r="G41" s="484"/>
      <c r="H41" s="551" t="e">
        <v>#REF!</v>
      </c>
      <c r="I41" s="552"/>
      <c r="J41" s="483" t="e">
        <v>#REF!</v>
      </c>
      <c r="K41" s="556"/>
      <c r="L41" s="557"/>
      <c r="M41" s="551" t="e">
        <v>#REF!</v>
      </c>
      <c r="N41" s="552"/>
      <c r="O41" s="483" t="e">
        <v>#REF!</v>
      </c>
      <c r="P41" s="483"/>
      <c r="Q41" s="484"/>
      <c r="R41" s="551" t="e">
        <v>#REF!</v>
      </c>
      <c r="S41" s="552"/>
      <c r="T41" s="483" t="e">
        <v>#REF!</v>
      </c>
      <c r="U41" s="483"/>
      <c r="V41" s="484"/>
      <c r="W41" s="551" t="e">
        <v>#REF!</v>
      </c>
      <c r="X41" s="552"/>
      <c r="Y41" s="483" t="e">
        <v>#REF!</v>
      </c>
      <c r="Z41" s="483"/>
      <c r="AA41" s="484"/>
      <c r="AB41" s="551" t="e">
        <v>#REF!</v>
      </c>
      <c r="AC41" s="552"/>
      <c r="AD41" s="483" t="e">
        <v>#REF!</v>
      </c>
      <c r="AE41" s="483"/>
      <c r="AF41" s="499"/>
    </row>
    <row r="42" spans="2:32" ht="12.6" customHeight="1" x14ac:dyDescent="0.2">
      <c r="B42" s="547"/>
      <c r="C42" s="555"/>
      <c r="D42" s="552"/>
      <c r="E42" s="556"/>
      <c r="F42" s="556"/>
      <c r="G42" s="557"/>
      <c r="H42" s="551"/>
      <c r="I42" s="552"/>
      <c r="J42" s="556"/>
      <c r="K42" s="556"/>
      <c r="L42" s="557"/>
      <c r="M42" s="551"/>
      <c r="N42" s="552"/>
      <c r="O42" s="558"/>
      <c r="P42" s="558"/>
      <c r="Q42" s="559"/>
      <c r="R42" s="551"/>
      <c r="S42" s="552"/>
      <c r="T42" s="558"/>
      <c r="U42" s="558"/>
      <c r="V42" s="559"/>
      <c r="W42" s="551"/>
      <c r="X42" s="552"/>
      <c r="Y42" s="558"/>
      <c r="Z42" s="558"/>
      <c r="AA42" s="559"/>
      <c r="AB42" s="551"/>
      <c r="AC42" s="552"/>
      <c r="AD42" s="558"/>
      <c r="AE42" s="558"/>
      <c r="AF42" s="564"/>
    </row>
    <row r="43" spans="2:32" ht="12.6" customHeight="1" x14ac:dyDescent="0.2">
      <c r="B43" s="547"/>
      <c r="C43" s="550"/>
      <c r="D43" s="546"/>
      <c r="E43" s="556"/>
      <c r="F43" s="556"/>
      <c r="G43" s="557"/>
      <c r="H43" s="546"/>
      <c r="I43" s="546"/>
      <c r="J43" s="556"/>
      <c r="K43" s="556"/>
      <c r="L43" s="557"/>
      <c r="M43" s="546"/>
      <c r="N43" s="546"/>
      <c r="O43" s="558"/>
      <c r="P43" s="558"/>
      <c r="Q43" s="559"/>
      <c r="R43" s="546"/>
      <c r="S43" s="546"/>
      <c r="T43" s="558"/>
      <c r="U43" s="558"/>
      <c r="V43" s="559"/>
      <c r="W43" s="546"/>
      <c r="X43" s="546"/>
      <c r="Y43" s="558"/>
      <c r="Z43" s="558"/>
      <c r="AA43" s="559"/>
      <c r="AB43" s="546"/>
      <c r="AC43" s="546"/>
      <c r="AD43" s="558"/>
      <c r="AE43" s="558"/>
      <c r="AF43" s="564"/>
    </row>
    <row r="44" spans="2:32" ht="12.6" customHeight="1" x14ac:dyDescent="0.2">
      <c r="B44" s="547"/>
      <c r="C44" s="550"/>
      <c r="D44" s="546"/>
      <c r="E44" s="491" t="e">
        <v>#REF!</v>
      </c>
      <c r="F44" s="491"/>
      <c r="G44" s="492"/>
      <c r="H44" s="546"/>
      <c r="I44" s="546"/>
      <c r="J44" s="491" t="e">
        <v>#REF!</v>
      </c>
      <c r="K44" s="491"/>
      <c r="L44" s="492"/>
      <c r="M44" s="546"/>
      <c r="N44" s="546"/>
      <c r="O44" s="491" t="e">
        <v>#REF!</v>
      </c>
      <c r="P44" s="491"/>
      <c r="Q44" s="492"/>
      <c r="R44" s="546"/>
      <c r="S44" s="546"/>
      <c r="T44" s="491" t="e">
        <v>#REF!</v>
      </c>
      <c r="U44" s="491"/>
      <c r="V44" s="492"/>
      <c r="W44" s="546"/>
      <c r="X44" s="546"/>
      <c r="Y44" s="491" t="e">
        <v>#REF!</v>
      </c>
      <c r="Z44" s="491"/>
      <c r="AA44" s="492"/>
      <c r="AB44" s="546"/>
      <c r="AC44" s="546"/>
      <c r="AD44" s="491" t="e">
        <v>#REF!</v>
      </c>
      <c r="AE44" s="491"/>
      <c r="AF44" s="497"/>
    </row>
    <row r="45" spans="2:32" ht="12.6" customHeight="1" x14ac:dyDescent="0.2">
      <c r="B45" s="547"/>
      <c r="C45" s="550"/>
      <c r="D45" s="546"/>
      <c r="E45" s="29" t="s">
        <v>34</v>
      </c>
      <c r="F45" s="486" t="e">
        <v>#REF!</v>
      </c>
      <c r="G45" s="496"/>
      <c r="H45" s="546"/>
      <c r="I45" s="546"/>
      <c r="J45" s="29" t="s">
        <v>34</v>
      </c>
      <c r="K45" s="486" t="e">
        <v>#REF!</v>
      </c>
      <c r="L45" s="496"/>
      <c r="M45" s="546"/>
      <c r="N45" s="546"/>
      <c r="O45" s="29" t="s">
        <v>34</v>
      </c>
      <c r="P45" s="486" t="e">
        <v>#REF!</v>
      </c>
      <c r="Q45" s="496"/>
      <c r="R45" s="546"/>
      <c r="S45" s="546"/>
      <c r="T45" s="29" t="s">
        <v>34</v>
      </c>
      <c r="U45" s="486" t="e">
        <v>#REF!</v>
      </c>
      <c r="V45" s="496"/>
      <c r="W45" s="546"/>
      <c r="X45" s="546"/>
      <c r="Y45" s="29" t="s">
        <v>34</v>
      </c>
      <c r="Z45" s="486" t="e">
        <v>#REF!</v>
      </c>
      <c r="AA45" s="496"/>
      <c r="AB45" s="30" t="e">
        <v>#REF!</v>
      </c>
      <c r="AC45" s="30"/>
      <c r="AD45" s="29" t="s">
        <v>34</v>
      </c>
      <c r="AE45" s="486" t="e">
        <v>#REF!</v>
      </c>
      <c r="AF45" s="496"/>
    </row>
    <row r="46" spans="2:32" ht="12.6" customHeight="1" x14ac:dyDescent="0.2">
      <c r="B46" s="548"/>
      <c r="C46" s="565"/>
      <c r="D46" s="549"/>
      <c r="E46" s="185" t="s">
        <v>35</v>
      </c>
      <c r="F46" s="461" t="e">
        <v>#REF!</v>
      </c>
      <c r="G46" s="462"/>
      <c r="H46" s="549"/>
      <c r="I46" s="549"/>
      <c r="J46" s="185" t="s">
        <v>35</v>
      </c>
      <c r="K46" s="461" t="e">
        <v>#REF!</v>
      </c>
      <c r="L46" s="462"/>
      <c r="M46" s="549"/>
      <c r="N46" s="549"/>
      <c r="O46" s="185" t="s">
        <v>35</v>
      </c>
      <c r="P46" s="461" t="e">
        <v>#REF!</v>
      </c>
      <c r="Q46" s="462"/>
      <c r="R46" s="549"/>
      <c r="S46" s="549"/>
      <c r="T46" s="185" t="s">
        <v>35</v>
      </c>
      <c r="U46" s="461" t="e">
        <v>#REF!</v>
      </c>
      <c r="V46" s="462"/>
      <c r="W46" s="549"/>
      <c r="X46" s="549"/>
      <c r="Y46" s="185" t="s">
        <v>35</v>
      </c>
      <c r="Z46" s="461" t="e">
        <v>#REF!</v>
      </c>
      <c r="AA46" s="462"/>
      <c r="AB46" s="110" t="e">
        <v>#REF!</v>
      </c>
      <c r="AC46" s="110"/>
      <c r="AD46" s="185" t="s">
        <v>35</v>
      </c>
      <c r="AE46" s="461" t="e">
        <v>#REF!</v>
      </c>
      <c r="AF46" s="462"/>
    </row>
    <row r="47" spans="2:32" ht="12.6" customHeight="1" x14ac:dyDescent="0.2">
      <c r="B47" s="505" t="e">
        <v>#REF!</v>
      </c>
      <c r="C47" s="555" t="e">
        <v>#REF!</v>
      </c>
      <c r="D47" s="552"/>
      <c r="E47" s="483" t="e">
        <v>#REF!</v>
      </c>
      <c r="F47" s="483"/>
      <c r="G47" s="484"/>
      <c r="H47" s="551" t="e">
        <v>#REF!</v>
      </c>
      <c r="I47" s="552"/>
      <c r="J47" s="483" t="e">
        <v>#REF!</v>
      </c>
      <c r="K47" s="556"/>
      <c r="L47" s="557"/>
      <c r="M47" s="551" t="e">
        <v>#REF!</v>
      </c>
      <c r="N47" s="552"/>
      <c r="O47" s="483" t="e">
        <v>#REF!</v>
      </c>
      <c r="P47" s="483"/>
      <c r="Q47" s="484"/>
      <c r="R47" s="551" t="e">
        <v>#REF!</v>
      </c>
      <c r="S47" s="552"/>
      <c r="T47" s="483" t="e">
        <v>#REF!</v>
      </c>
      <c r="U47" s="483"/>
      <c r="V47" s="484"/>
      <c r="W47" s="551" t="e">
        <v>#REF!</v>
      </c>
      <c r="X47" s="552"/>
      <c r="Y47" s="483" t="e">
        <v>#REF!</v>
      </c>
      <c r="Z47" s="483"/>
      <c r="AA47" s="484"/>
      <c r="AB47" s="551" t="e">
        <v>#REF!</v>
      </c>
      <c r="AC47" s="552"/>
      <c r="AD47" s="483" t="e">
        <v>#REF!</v>
      </c>
      <c r="AE47" s="483"/>
      <c r="AF47" s="499"/>
    </row>
    <row r="48" spans="2:32" ht="12.6" customHeight="1" x14ac:dyDescent="0.2">
      <c r="B48" s="547"/>
      <c r="C48" s="555"/>
      <c r="D48" s="552"/>
      <c r="E48" s="556"/>
      <c r="F48" s="556"/>
      <c r="G48" s="557"/>
      <c r="H48" s="551"/>
      <c r="I48" s="552"/>
      <c r="J48" s="556"/>
      <c r="K48" s="556"/>
      <c r="L48" s="557"/>
      <c r="M48" s="551"/>
      <c r="N48" s="552"/>
      <c r="O48" s="558"/>
      <c r="P48" s="558"/>
      <c r="Q48" s="559"/>
      <c r="R48" s="551"/>
      <c r="S48" s="552"/>
      <c r="T48" s="558"/>
      <c r="U48" s="558"/>
      <c r="V48" s="559"/>
      <c r="W48" s="551"/>
      <c r="X48" s="552"/>
      <c r="Y48" s="558"/>
      <c r="Z48" s="558"/>
      <c r="AA48" s="559"/>
      <c r="AB48" s="551"/>
      <c r="AC48" s="552"/>
      <c r="AD48" s="558"/>
      <c r="AE48" s="558"/>
      <c r="AF48" s="564"/>
    </row>
    <row r="49" spans="1:32" ht="12.6" customHeight="1" x14ac:dyDescent="0.2">
      <c r="B49" s="547"/>
      <c r="C49" s="550"/>
      <c r="D49" s="546"/>
      <c r="E49" s="556"/>
      <c r="F49" s="556"/>
      <c r="G49" s="557"/>
      <c r="H49" s="546"/>
      <c r="I49" s="546"/>
      <c r="J49" s="556"/>
      <c r="K49" s="556"/>
      <c r="L49" s="557"/>
      <c r="M49" s="546"/>
      <c r="N49" s="546"/>
      <c r="O49" s="558"/>
      <c r="P49" s="558"/>
      <c r="Q49" s="559"/>
      <c r="R49" s="546"/>
      <c r="S49" s="546"/>
      <c r="T49" s="558"/>
      <c r="U49" s="558"/>
      <c r="V49" s="559"/>
      <c r="W49" s="546"/>
      <c r="X49" s="546"/>
      <c r="Y49" s="558"/>
      <c r="Z49" s="558"/>
      <c r="AA49" s="559"/>
      <c r="AB49" s="546"/>
      <c r="AC49" s="546"/>
      <c r="AD49" s="558"/>
      <c r="AE49" s="558"/>
      <c r="AF49" s="564"/>
    </row>
    <row r="50" spans="1:32" ht="12.6" customHeight="1" x14ac:dyDescent="0.2">
      <c r="B50" s="547"/>
      <c r="C50" s="550"/>
      <c r="D50" s="546"/>
      <c r="E50" s="491" t="e">
        <v>#REF!</v>
      </c>
      <c r="F50" s="491"/>
      <c r="G50" s="492"/>
      <c r="H50" s="546"/>
      <c r="I50" s="546"/>
      <c r="J50" s="491" t="e">
        <v>#REF!</v>
      </c>
      <c r="K50" s="491"/>
      <c r="L50" s="492"/>
      <c r="M50" s="546"/>
      <c r="N50" s="546"/>
      <c r="O50" s="491" t="e">
        <v>#REF!</v>
      </c>
      <c r="P50" s="491"/>
      <c r="Q50" s="492"/>
      <c r="R50" s="546"/>
      <c r="S50" s="546"/>
      <c r="T50" s="491" t="e">
        <v>#REF!</v>
      </c>
      <c r="U50" s="491"/>
      <c r="V50" s="492"/>
      <c r="W50" s="546"/>
      <c r="X50" s="546"/>
      <c r="Y50" s="491" t="e">
        <v>#REF!</v>
      </c>
      <c r="Z50" s="491"/>
      <c r="AA50" s="492"/>
      <c r="AB50" s="546"/>
      <c r="AC50" s="546"/>
      <c r="AD50" s="491" t="e">
        <v>#REF!</v>
      </c>
      <c r="AE50" s="491"/>
      <c r="AF50" s="497"/>
    </row>
    <row r="51" spans="1:32" ht="12.6" customHeight="1" x14ac:dyDescent="0.2">
      <c r="B51" s="547"/>
      <c r="C51" s="550"/>
      <c r="D51" s="546"/>
      <c r="E51" s="29" t="s">
        <v>34</v>
      </c>
      <c r="F51" s="486" t="e">
        <v>#REF!</v>
      </c>
      <c r="G51" s="496"/>
      <c r="H51" s="546"/>
      <c r="I51" s="546"/>
      <c r="J51" s="29" t="s">
        <v>34</v>
      </c>
      <c r="K51" s="486" t="e">
        <v>#REF!</v>
      </c>
      <c r="L51" s="496"/>
      <c r="M51" s="546"/>
      <c r="N51" s="546"/>
      <c r="O51" s="29" t="s">
        <v>34</v>
      </c>
      <c r="P51" s="486" t="e">
        <v>#REF!</v>
      </c>
      <c r="Q51" s="496"/>
      <c r="R51" s="546"/>
      <c r="S51" s="546"/>
      <c r="T51" s="29" t="s">
        <v>34</v>
      </c>
      <c r="U51" s="486" t="e">
        <v>#REF!</v>
      </c>
      <c r="V51" s="496"/>
      <c r="W51" s="546"/>
      <c r="X51" s="546"/>
      <c r="Y51" s="29" t="s">
        <v>34</v>
      </c>
      <c r="Z51" s="486" t="e">
        <v>#REF!</v>
      </c>
      <c r="AA51" s="496"/>
      <c r="AB51" s="30" t="s">
        <v>155</v>
      </c>
      <c r="AC51" s="30"/>
      <c r="AD51" s="29" t="s">
        <v>34</v>
      </c>
      <c r="AE51" s="486" t="e">
        <v>#REF!</v>
      </c>
      <c r="AF51" s="496"/>
    </row>
    <row r="52" spans="1:32" ht="12.6" customHeight="1" thickBot="1" x14ac:dyDescent="0.25">
      <c r="B52" s="548"/>
      <c r="C52" s="553"/>
      <c r="D52" s="545"/>
      <c r="E52" s="186" t="s">
        <v>35</v>
      </c>
      <c r="F52" s="461" t="e">
        <v>#REF!</v>
      </c>
      <c r="G52" s="462"/>
      <c r="H52" s="545"/>
      <c r="I52" s="545"/>
      <c r="J52" s="186" t="s">
        <v>35</v>
      </c>
      <c r="K52" s="461" t="e">
        <v>#REF!</v>
      </c>
      <c r="L52" s="462"/>
      <c r="M52" s="545"/>
      <c r="N52" s="545"/>
      <c r="O52" s="186" t="s">
        <v>35</v>
      </c>
      <c r="P52" s="461" t="e">
        <v>#REF!</v>
      </c>
      <c r="Q52" s="462"/>
      <c r="R52" s="545"/>
      <c r="S52" s="545"/>
      <c r="T52" s="186" t="s">
        <v>35</v>
      </c>
      <c r="U52" s="461" t="e">
        <v>#REF!</v>
      </c>
      <c r="V52" s="462"/>
      <c r="W52" s="545"/>
      <c r="X52" s="545"/>
      <c r="Y52" s="186" t="s">
        <v>35</v>
      </c>
      <c r="Z52" s="461" t="e">
        <v>#REF!</v>
      </c>
      <c r="AA52" s="462"/>
      <c r="AB52" s="187" t="s">
        <v>155</v>
      </c>
      <c r="AC52" s="187"/>
      <c r="AD52" s="186" t="s">
        <v>35</v>
      </c>
      <c r="AE52" s="461" t="e">
        <v>#REF!</v>
      </c>
      <c r="AF52" s="462"/>
    </row>
    <row r="53" spans="1:32" customFormat="1" ht="12.6" customHeight="1" x14ac:dyDescent="0.2">
      <c r="A53" s="543" t="s">
        <v>36</v>
      </c>
      <c r="B53" s="560" t="e">
        <v>#REF!</v>
      </c>
      <c r="C53" s="188" t="e">
        <v>#REF!</v>
      </c>
      <c r="D53" s="189"/>
      <c r="E53" s="190" t="e">
        <v>#REF!</v>
      </c>
      <c r="F53" s="189"/>
      <c r="G53" s="189"/>
      <c r="H53" s="191" t="e">
        <v>#REF!</v>
      </c>
      <c r="I53" s="189"/>
      <c r="J53" s="190" t="e">
        <v>#REF!</v>
      </c>
      <c r="K53" s="192"/>
      <c r="L53" s="189"/>
      <c r="M53" s="191" t="e">
        <v>#REF!</v>
      </c>
      <c r="N53" s="193"/>
      <c r="O53" s="190" t="e">
        <v>#REF!</v>
      </c>
      <c r="P53" s="193"/>
      <c r="Q53" s="193"/>
      <c r="R53" s="191" t="e">
        <v>#REF!</v>
      </c>
      <c r="S53" s="193"/>
      <c r="T53" s="190" t="e">
        <v>#REF!</v>
      </c>
      <c r="U53" s="193"/>
      <c r="V53" s="193"/>
      <c r="W53" s="191" t="e">
        <v>#REF!</v>
      </c>
      <c r="X53" s="193"/>
      <c r="Y53" s="190" t="e">
        <v>#REF!</v>
      </c>
      <c r="Z53" s="193"/>
      <c r="AA53" s="189"/>
      <c r="AB53" s="191" t="e">
        <v>#REF!</v>
      </c>
      <c r="AC53" s="192"/>
      <c r="AD53" s="190" t="e">
        <v>#REF!</v>
      </c>
      <c r="AE53" s="189"/>
      <c r="AF53" s="194"/>
    </row>
    <row r="54" spans="1:32" customFormat="1" ht="12.6" customHeight="1" x14ac:dyDescent="0.2">
      <c r="A54" s="544"/>
      <c r="B54" s="561"/>
      <c r="C54" s="195" t="e">
        <v>#REF!</v>
      </c>
      <c r="D54" s="196"/>
      <c r="E54" s="197" t="e">
        <v>#REF!</v>
      </c>
      <c r="F54" s="196"/>
      <c r="G54" s="196"/>
      <c r="H54" s="198" t="e">
        <v>#REF!</v>
      </c>
      <c r="I54" s="196"/>
      <c r="J54" s="197" t="e">
        <v>#REF!</v>
      </c>
      <c r="K54" s="199"/>
      <c r="L54" s="196"/>
      <c r="M54" s="198" t="e">
        <v>#REF!</v>
      </c>
      <c r="N54" s="200"/>
      <c r="O54" s="197" t="e">
        <v>#REF!</v>
      </c>
      <c r="P54" s="200"/>
      <c r="Q54" s="200"/>
      <c r="R54" s="198" t="e">
        <v>#REF!</v>
      </c>
      <c r="S54" s="200"/>
      <c r="T54" s="197" t="e">
        <v>#REF!</v>
      </c>
      <c r="U54" s="200"/>
      <c r="V54" s="200"/>
      <c r="W54" s="198" t="e">
        <v>#REF!</v>
      </c>
      <c r="X54" s="200"/>
      <c r="Y54" s="197" t="e">
        <v>#REF!</v>
      </c>
      <c r="Z54" s="200"/>
      <c r="AA54" s="196"/>
      <c r="AB54" s="198" t="e">
        <v>#REF!</v>
      </c>
      <c r="AC54" s="199"/>
      <c r="AD54" s="197" t="e">
        <v>#REF!</v>
      </c>
      <c r="AE54" s="196"/>
      <c r="AF54" s="201"/>
    </row>
    <row r="55" spans="1:32" customFormat="1" ht="12.6" customHeight="1" x14ac:dyDescent="0.2">
      <c r="A55" s="202"/>
      <c r="B55" s="562" t="e">
        <v>#REF!</v>
      </c>
      <c r="C55" s="203" t="e">
        <v>#REF!</v>
      </c>
      <c r="D55" s="204"/>
      <c r="E55" s="205" t="e">
        <v>#REF!</v>
      </c>
      <c r="F55" s="204"/>
      <c r="G55" s="204"/>
      <c r="H55" s="206" t="e">
        <v>#REF!</v>
      </c>
      <c r="I55" s="204"/>
      <c r="J55" s="205" t="e">
        <v>#REF!</v>
      </c>
      <c r="K55" s="207"/>
      <c r="L55" s="204"/>
      <c r="M55" s="206" t="e">
        <v>#REF!</v>
      </c>
      <c r="N55" s="207"/>
      <c r="O55" s="205" t="e">
        <v>#REF!</v>
      </c>
      <c r="P55" s="204"/>
      <c r="Q55" s="207"/>
      <c r="R55" s="206" t="e">
        <v>#REF!</v>
      </c>
      <c r="S55" s="204"/>
      <c r="T55" s="205" t="e">
        <v>#REF!</v>
      </c>
      <c r="U55" s="208"/>
      <c r="V55" s="208"/>
      <c r="W55" s="206" t="e">
        <v>#REF!</v>
      </c>
      <c r="X55" s="208"/>
      <c r="Y55" s="205" t="e">
        <v>#REF!</v>
      </c>
      <c r="Z55" s="208"/>
      <c r="AA55" s="208"/>
      <c r="AB55" s="206" t="e">
        <v>#REF!</v>
      </c>
      <c r="AC55" s="208"/>
      <c r="AD55" s="205" t="e">
        <v>#REF!</v>
      </c>
      <c r="AE55" s="208"/>
      <c r="AF55" s="209"/>
    </row>
    <row r="56" spans="1:32" customFormat="1" ht="12.6" customHeight="1" thickBot="1" x14ac:dyDescent="0.25">
      <c r="A56" s="202"/>
      <c r="B56" s="563"/>
      <c r="C56" s="210" t="e">
        <v>#REF!</v>
      </c>
      <c r="D56" s="211"/>
      <c r="E56" s="212" t="e">
        <v>#REF!</v>
      </c>
      <c r="F56" s="211"/>
      <c r="G56" s="211"/>
      <c r="H56" s="213" t="e">
        <v>#REF!</v>
      </c>
      <c r="I56" s="211"/>
      <c r="J56" s="212" t="e">
        <v>#REF!</v>
      </c>
      <c r="K56" s="214"/>
      <c r="L56" s="211"/>
      <c r="M56" s="213" t="e">
        <v>#REF!</v>
      </c>
      <c r="N56" s="214"/>
      <c r="O56" s="212" t="e">
        <v>#REF!</v>
      </c>
      <c r="P56" s="211"/>
      <c r="Q56" s="214"/>
      <c r="R56" s="213" t="e">
        <v>#REF!</v>
      </c>
      <c r="S56" s="211"/>
      <c r="T56" s="212" t="e">
        <v>#REF!</v>
      </c>
      <c r="U56" s="215"/>
      <c r="V56" s="215"/>
      <c r="W56" s="213" t="e">
        <v>#REF!</v>
      </c>
      <c r="X56" s="215"/>
      <c r="Y56" s="212" t="e">
        <v>#REF!</v>
      </c>
      <c r="Z56" s="215"/>
      <c r="AA56" s="215"/>
      <c r="AB56" s="213" t="e">
        <v>#REF!</v>
      </c>
      <c r="AC56" s="215"/>
      <c r="AD56" s="212" t="e">
        <v>#REF!</v>
      </c>
      <c r="AE56" s="215"/>
      <c r="AF56" s="216"/>
    </row>
    <row r="57" spans="1:32" s="85" customFormat="1" x14ac:dyDescent="0.2">
      <c r="B57" s="217" t="s">
        <v>37</v>
      </c>
      <c r="C57" s="31"/>
      <c r="E57" s="94"/>
      <c r="F57" s="94"/>
      <c r="G57" s="94"/>
      <c r="H57" s="92"/>
      <c r="J57" s="94"/>
      <c r="K57" s="94"/>
      <c r="L57" s="218"/>
      <c r="M57" s="31"/>
      <c r="O57" s="94"/>
      <c r="P57" s="94"/>
      <c r="Q57" s="94"/>
      <c r="R57" s="92"/>
      <c r="T57" s="94"/>
      <c r="U57" s="94"/>
      <c r="V57" s="218"/>
      <c r="W57" s="31"/>
      <c r="Y57" s="94"/>
      <c r="Z57" s="94"/>
      <c r="AA57" s="218"/>
      <c r="AB57" s="92"/>
      <c r="AD57" s="94"/>
      <c r="AE57" s="94"/>
      <c r="AF57" s="219"/>
    </row>
    <row r="58" spans="1:32" s="85" customFormat="1" x14ac:dyDescent="0.2">
      <c r="B58" s="220"/>
      <c r="C58" s="31"/>
      <c r="H58" s="92"/>
      <c r="L58" s="221"/>
      <c r="M58" s="31"/>
      <c r="R58" s="92"/>
      <c r="V58" s="221"/>
      <c r="W58" s="31"/>
      <c r="AA58" s="221"/>
      <c r="AB58" s="92"/>
      <c r="AF58" s="93"/>
    </row>
    <row r="59" spans="1:32" s="85" customFormat="1" x14ac:dyDescent="0.2">
      <c r="B59" s="220"/>
      <c r="C59" s="31"/>
      <c r="H59" s="92"/>
      <c r="L59" s="221"/>
      <c r="M59" s="31"/>
      <c r="R59" s="92"/>
      <c r="V59" s="221"/>
      <c r="W59" s="31"/>
      <c r="AA59" s="221"/>
      <c r="AB59" s="92"/>
      <c r="AF59" s="93"/>
    </row>
    <row r="60" spans="1:32" s="85" customFormat="1" x14ac:dyDescent="0.2">
      <c r="B60" s="220"/>
      <c r="C60" s="31"/>
      <c r="H60" s="92"/>
      <c r="L60" s="221"/>
      <c r="M60" s="31"/>
      <c r="R60" s="92"/>
      <c r="V60" s="221"/>
      <c r="W60" s="31"/>
      <c r="AA60" s="221"/>
      <c r="AB60" s="92"/>
      <c r="AF60" s="93"/>
    </row>
    <row r="61" spans="1:32" s="85" customFormat="1" x14ac:dyDescent="0.2">
      <c r="B61" s="220"/>
      <c r="C61" s="31"/>
      <c r="H61" s="92"/>
      <c r="L61" s="221"/>
      <c r="M61" s="31"/>
      <c r="R61" s="92"/>
      <c r="V61" s="221"/>
      <c r="W61" s="31"/>
      <c r="AA61" s="221"/>
      <c r="AB61" s="92"/>
      <c r="AF61" s="93"/>
    </row>
    <row r="62" spans="1:32" s="85" customFormat="1" x14ac:dyDescent="0.2">
      <c r="B62" s="220"/>
      <c r="C62" s="31"/>
      <c r="H62" s="92"/>
      <c r="L62" s="221"/>
      <c r="M62" s="31"/>
      <c r="R62" s="92"/>
      <c r="V62" s="221"/>
      <c r="W62" s="31"/>
      <c r="AA62" s="221"/>
      <c r="AB62" s="92"/>
      <c r="AF62" s="93"/>
    </row>
    <row r="63" spans="1:32" s="85" customFormat="1" x14ac:dyDescent="0.2">
      <c r="B63" s="220"/>
      <c r="C63" s="31"/>
      <c r="H63" s="92"/>
      <c r="L63" s="221"/>
      <c r="M63" s="31"/>
      <c r="R63" s="92"/>
      <c r="V63" s="221"/>
      <c r="W63" s="31"/>
      <c r="AA63" s="221"/>
      <c r="AB63" s="92"/>
      <c r="AF63" s="93"/>
    </row>
    <row r="64" spans="1:32" s="85" customFormat="1" x14ac:dyDescent="0.2">
      <c r="B64" s="220"/>
      <c r="C64" s="31"/>
      <c r="H64" s="92"/>
      <c r="L64" s="221"/>
      <c r="M64" s="31"/>
      <c r="R64" s="92"/>
      <c r="V64" s="221"/>
      <c r="W64" s="31"/>
      <c r="AA64" s="221"/>
      <c r="AB64" s="92"/>
      <c r="AF64" s="93"/>
    </row>
    <row r="65" spans="2:32" s="85" customFormat="1" x14ac:dyDescent="0.2">
      <c r="B65" s="220"/>
      <c r="C65" s="31"/>
      <c r="H65" s="92"/>
      <c r="L65" s="221"/>
      <c r="M65" s="31"/>
      <c r="R65" s="92"/>
      <c r="V65" s="221"/>
      <c r="W65" s="31"/>
      <c r="AA65" s="221"/>
      <c r="AB65" s="92"/>
      <c r="AF65" s="93"/>
    </row>
    <row r="66" spans="2:32" s="85" customFormat="1" x14ac:dyDescent="0.2">
      <c r="B66" s="220"/>
      <c r="C66" s="31"/>
      <c r="H66" s="92"/>
      <c r="L66" s="221"/>
      <c r="M66" s="31"/>
      <c r="R66" s="92"/>
      <c r="V66" s="221"/>
      <c r="W66" s="31"/>
      <c r="AA66" s="221"/>
      <c r="AB66" s="92"/>
      <c r="AF66" s="93"/>
    </row>
    <row r="67" spans="2:32" s="85" customFormat="1" x14ac:dyDescent="0.2">
      <c r="B67" s="220"/>
      <c r="C67" s="31"/>
      <c r="H67" s="92"/>
      <c r="L67" s="221"/>
      <c r="M67" s="31"/>
      <c r="R67" s="92"/>
      <c r="V67" s="221"/>
      <c r="W67" s="31"/>
      <c r="AA67" s="221"/>
      <c r="AB67" s="92"/>
      <c r="AF67" s="93"/>
    </row>
    <row r="68" spans="2:32" s="85" customFormat="1" x14ac:dyDescent="0.2">
      <c r="B68" s="220"/>
      <c r="C68" s="31"/>
      <c r="H68" s="92"/>
      <c r="L68" s="221"/>
      <c r="M68" s="31"/>
      <c r="R68" s="92"/>
      <c r="V68" s="221"/>
      <c r="W68" s="31"/>
      <c r="AA68" s="221"/>
      <c r="AB68" s="92"/>
      <c r="AF68" s="93"/>
    </row>
    <row r="69" spans="2:32" s="85" customFormat="1" x14ac:dyDescent="0.2">
      <c r="B69" s="220"/>
      <c r="C69" s="31"/>
      <c r="H69" s="92"/>
      <c r="L69" s="221"/>
      <c r="M69" s="31"/>
      <c r="R69" s="92"/>
      <c r="V69" s="221"/>
      <c r="W69" s="31"/>
      <c r="AA69" s="221"/>
      <c r="AB69" s="92"/>
      <c r="AF69" s="93"/>
    </row>
    <row r="70" spans="2:32" s="85" customFormat="1" ht="13.5" thickBot="1" x14ac:dyDescent="0.25">
      <c r="B70" s="222"/>
      <c r="C70" s="96"/>
      <c r="D70" s="97"/>
      <c r="E70" s="98"/>
      <c r="F70" s="97"/>
      <c r="G70" s="97"/>
      <c r="H70" s="99"/>
      <c r="I70" s="97"/>
      <c r="J70" s="98"/>
      <c r="K70" s="97"/>
      <c r="L70" s="223"/>
      <c r="M70" s="96"/>
      <c r="N70" s="97"/>
      <c r="O70" s="98"/>
      <c r="P70" s="97"/>
      <c r="Q70" s="97"/>
      <c r="R70" s="99"/>
      <c r="S70" s="97"/>
      <c r="T70" s="98"/>
      <c r="U70" s="97"/>
      <c r="V70" s="223"/>
      <c r="W70" s="96"/>
      <c r="X70" s="97"/>
      <c r="Y70" s="98"/>
      <c r="Z70" s="97"/>
      <c r="AA70" s="223"/>
      <c r="AB70" s="99"/>
      <c r="AC70" s="97"/>
      <c r="AD70" s="98"/>
      <c r="AE70" s="97"/>
      <c r="AF70" s="100"/>
    </row>
    <row r="71" spans="2:32" ht="21.75" customHeight="1" x14ac:dyDescent="0.2">
      <c r="B71" s="224"/>
      <c r="C71" s="183"/>
      <c r="D71" s="183"/>
      <c r="E71" s="29"/>
      <c r="F71" s="30"/>
      <c r="G71" s="30"/>
      <c r="H71" s="183"/>
      <c r="I71" s="183"/>
      <c r="J71" s="29"/>
      <c r="K71" s="30"/>
      <c r="L71" s="30"/>
      <c r="M71" s="183"/>
      <c r="N71" s="183"/>
      <c r="O71" s="29"/>
      <c r="P71" s="30"/>
      <c r="Q71" s="30"/>
      <c r="R71" s="183"/>
      <c r="S71" s="183"/>
      <c r="T71" s="29"/>
      <c r="U71" s="30"/>
      <c r="V71" s="30"/>
      <c r="W71" s="183"/>
      <c r="X71" s="183"/>
      <c r="Y71" s="29"/>
      <c r="Z71" s="30"/>
      <c r="AA71" s="225"/>
      <c r="AB71" s="226"/>
      <c r="AC71" s="226"/>
      <c r="AD71" s="227"/>
      <c r="AE71" s="225"/>
      <c r="AF71" s="225"/>
    </row>
    <row r="72" spans="2:32" x14ac:dyDescent="0.2">
      <c r="H72" s="554"/>
      <c r="I72" s="554"/>
      <c r="J72" s="554"/>
    </row>
    <row r="73" spans="2:32" x14ac:dyDescent="0.2">
      <c r="H73" s="32"/>
      <c r="I73" s="32"/>
      <c r="J73" s="32"/>
    </row>
    <row r="74" spans="2:32" x14ac:dyDescent="0.2">
      <c r="D74" s="31" t="s">
        <v>122</v>
      </c>
      <c r="F74" s="27">
        <f t="shared" ref="F74:F88" si="0">COUNTIF(C$2:C$71,D74)</f>
        <v>0</v>
      </c>
      <c r="H74" s="29"/>
      <c r="I74" s="31" t="s">
        <v>122</v>
      </c>
      <c r="K74" s="27">
        <f t="shared" ref="K74:K88" si="1">COUNTIF(H$2:H$71,I74)</f>
        <v>0</v>
      </c>
      <c r="N74" s="31" t="s">
        <v>122</v>
      </c>
      <c r="P74" s="27">
        <f t="shared" ref="P74:P88" si="2">COUNTIF(M$2:M$71,N74)</f>
        <v>0</v>
      </c>
      <c r="S74" s="31" t="s">
        <v>122</v>
      </c>
      <c r="U74" s="27">
        <f t="shared" ref="U74:U88" si="3">COUNTIF(R$2:R$71,S74)</f>
        <v>0</v>
      </c>
      <c r="X74" s="31" t="s">
        <v>122</v>
      </c>
      <c r="Z74" s="27">
        <f t="shared" ref="Z74:Z88" si="4">COUNTIF(W$2:W$71,X74)</f>
        <v>0</v>
      </c>
      <c r="AC74" s="31" t="s">
        <v>122</v>
      </c>
      <c r="AE74" s="27">
        <f t="shared" ref="AE74:AE88" si="5">COUNTIF(AB$2:AB$71,AC74)</f>
        <v>0</v>
      </c>
    </row>
    <row r="75" spans="2:32" x14ac:dyDescent="0.2">
      <c r="D75" s="31" t="s">
        <v>123</v>
      </c>
      <c r="F75" s="27">
        <f t="shared" si="0"/>
        <v>0</v>
      </c>
      <c r="H75" s="29"/>
      <c r="I75" s="31" t="s">
        <v>123</v>
      </c>
      <c r="K75" s="27">
        <f t="shared" si="1"/>
        <v>0</v>
      </c>
      <c r="N75" s="31" t="s">
        <v>123</v>
      </c>
      <c r="P75" s="27">
        <f t="shared" si="2"/>
        <v>0</v>
      </c>
      <c r="S75" s="31" t="s">
        <v>123</v>
      </c>
      <c r="U75" s="27">
        <f t="shared" si="3"/>
        <v>0</v>
      </c>
      <c r="X75" s="31" t="s">
        <v>123</v>
      </c>
      <c r="Z75" s="27">
        <f t="shared" si="4"/>
        <v>0</v>
      </c>
      <c r="AC75" s="31" t="s">
        <v>123</v>
      </c>
      <c r="AE75" s="27">
        <f t="shared" si="5"/>
        <v>0</v>
      </c>
    </row>
    <row r="76" spans="2:32" x14ac:dyDescent="0.2">
      <c r="D76" s="31" t="s">
        <v>124</v>
      </c>
      <c r="F76" s="27">
        <f t="shared" si="0"/>
        <v>0</v>
      </c>
      <c r="I76" s="31" t="s">
        <v>124</v>
      </c>
      <c r="K76" s="27">
        <f t="shared" si="1"/>
        <v>0</v>
      </c>
      <c r="N76" s="31" t="s">
        <v>124</v>
      </c>
      <c r="P76" s="27">
        <f t="shared" si="2"/>
        <v>0</v>
      </c>
      <c r="S76" s="31" t="s">
        <v>124</v>
      </c>
      <c r="U76" s="27">
        <f t="shared" si="3"/>
        <v>0</v>
      </c>
      <c r="X76" s="31" t="s">
        <v>124</v>
      </c>
      <c r="Z76" s="27">
        <f t="shared" si="4"/>
        <v>0</v>
      </c>
      <c r="AC76" s="31" t="s">
        <v>124</v>
      </c>
      <c r="AE76" s="27">
        <f t="shared" si="5"/>
        <v>0</v>
      </c>
    </row>
    <row r="77" spans="2:32" x14ac:dyDescent="0.2">
      <c r="D77" s="31" t="s">
        <v>125</v>
      </c>
      <c r="F77" s="27">
        <f t="shared" si="0"/>
        <v>0</v>
      </c>
      <c r="I77" s="31" t="s">
        <v>125</v>
      </c>
      <c r="K77" s="27">
        <f t="shared" si="1"/>
        <v>0</v>
      </c>
      <c r="N77" s="31" t="s">
        <v>125</v>
      </c>
      <c r="P77" s="27">
        <f t="shared" si="2"/>
        <v>0</v>
      </c>
      <c r="S77" s="31" t="s">
        <v>125</v>
      </c>
      <c r="U77" s="27">
        <f t="shared" si="3"/>
        <v>0</v>
      </c>
      <c r="X77" s="31" t="s">
        <v>125</v>
      </c>
      <c r="Z77" s="27">
        <f t="shared" si="4"/>
        <v>0</v>
      </c>
      <c r="AC77" s="31" t="s">
        <v>125</v>
      </c>
      <c r="AE77" s="27">
        <f t="shared" si="5"/>
        <v>0</v>
      </c>
    </row>
    <row r="78" spans="2:32" x14ac:dyDescent="0.2">
      <c r="D78" s="31" t="s">
        <v>126</v>
      </c>
      <c r="F78" s="27">
        <f t="shared" si="0"/>
        <v>0</v>
      </c>
      <c r="I78" s="31" t="s">
        <v>126</v>
      </c>
      <c r="K78" s="27">
        <f t="shared" si="1"/>
        <v>0</v>
      </c>
      <c r="N78" s="31" t="s">
        <v>126</v>
      </c>
      <c r="P78" s="27">
        <f t="shared" si="2"/>
        <v>0</v>
      </c>
      <c r="S78" s="31" t="s">
        <v>126</v>
      </c>
      <c r="U78" s="27">
        <f t="shared" si="3"/>
        <v>0</v>
      </c>
      <c r="X78" s="31" t="s">
        <v>126</v>
      </c>
      <c r="Z78" s="27">
        <f t="shared" si="4"/>
        <v>0</v>
      </c>
      <c r="AC78" s="31" t="s">
        <v>126</v>
      </c>
      <c r="AE78" s="27">
        <f t="shared" si="5"/>
        <v>0</v>
      </c>
    </row>
    <row r="79" spans="2:32" x14ac:dyDescent="0.2">
      <c r="D79" s="31" t="s">
        <v>127</v>
      </c>
      <c r="F79" s="27">
        <f t="shared" si="0"/>
        <v>0</v>
      </c>
      <c r="I79" s="31" t="s">
        <v>127</v>
      </c>
      <c r="K79" s="27">
        <f t="shared" si="1"/>
        <v>0</v>
      </c>
      <c r="N79" s="31" t="s">
        <v>127</v>
      </c>
      <c r="P79" s="27">
        <f t="shared" si="2"/>
        <v>0</v>
      </c>
      <c r="S79" s="31" t="s">
        <v>127</v>
      </c>
      <c r="U79" s="27">
        <f t="shared" si="3"/>
        <v>0</v>
      </c>
      <c r="X79" s="31" t="s">
        <v>127</v>
      </c>
      <c r="Z79" s="27">
        <f t="shared" si="4"/>
        <v>0</v>
      </c>
      <c r="AC79" s="31" t="s">
        <v>127</v>
      </c>
      <c r="AE79" s="27">
        <f t="shared" si="5"/>
        <v>0</v>
      </c>
    </row>
    <row r="80" spans="2:32" x14ac:dyDescent="0.2">
      <c r="D80" s="31" t="s">
        <v>128</v>
      </c>
      <c r="F80" s="27">
        <f t="shared" si="0"/>
        <v>0</v>
      </c>
      <c r="I80" s="31" t="s">
        <v>128</v>
      </c>
      <c r="K80" s="27">
        <f t="shared" si="1"/>
        <v>0</v>
      </c>
      <c r="N80" s="31" t="s">
        <v>128</v>
      </c>
      <c r="P80" s="27">
        <f t="shared" si="2"/>
        <v>0</v>
      </c>
      <c r="S80" s="31" t="s">
        <v>128</v>
      </c>
      <c r="U80" s="27">
        <f t="shared" si="3"/>
        <v>0</v>
      </c>
      <c r="X80" s="31" t="s">
        <v>128</v>
      </c>
      <c r="Z80" s="27">
        <f t="shared" si="4"/>
        <v>0</v>
      </c>
      <c r="AC80" s="31" t="s">
        <v>128</v>
      </c>
      <c r="AE80" s="27">
        <f t="shared" si="5"/>
        <v>0</v>
      </c>
    </row>
    <row r="81" spans="4:31" x14ac:dyDescent="0.2">
      <c r="D81" s="31" t="s">
        <v>129</v>
      </c>
      <c r="F81" s="27">
        <f t="shared" si="0"/>
        <v>0</v>
      </c>
      <c r="I81" s="31" t="s">
        <v>129</v>
      </c>
      <c r="K81" s="27">
        <f t="shared" si="1"/>
        <v>0</v>
      </c>
      <c r="N81" s="31" t="s">
        <v>129</v>
      </c>
      <c r="P81" s="27">
        <f t="shared" si="2"/>
        <v>0</v>
      </c>
      <c r="S81" s="31" t="s">
        <v>129</v>
      </c>
      <c r="U81" s="27">
        <f t="shared" si="3"/>
        <v>0</v>
      </c>
      <c r="X81" s="31" t="s">
        <v>129</v>
      </c>
      <c r="Z81" s="27">
        <f t="shared" si="4"/>
        <v>0</v>
      </c>
      <c r="AC81" s="31" t="s">
        <v>129</v>
      </c>
      <c r="AE81" s="27">
        <f t="shared" si="5"/>
        <v>0</v>
      </c>
    </row>
    <row r="82" spans="4:31" x14ac:dyDescent="0.2">
      <c r="D82" s="31" t="s">
        <v>130</v>
      </c>
      <c r="F82" s="27">
        <f t="shared" si="0"/>
        <v>0</v>
      </c>
      <c r="I82" s="31" t="s">
        <v>130</v>
      </c>
      <c r="K82" s="27">
        <f t="shared" si="1"/>
        <v>0</v>
      </c>
      <c r="N82" s="31" t="s">
        <v>130</v>
      </c>
      <c r="P82" s="27">
        <f t="shared" si="2"/>
        <v>0</v>
      </c>
      <c r="S82" s="31" t="s">
        <v>130</v>
      </c>
      <c r="U82" s="27">
        <f t="shared" si="3"/>
        <v>0</v>
      </c>
      <c r="X82" s="31" t="s">
        <v>130</v>
      </c>
      <c r="Z82" s="27">
        <f t="shared" si="4"/>
        <v>0</v>
      </c>
      <c r="AC82" s="31" t="s">
        <v>130</v>
      </c>
      <c r="AE82" s="27">
        <f t="shared" si="5"/>
        <v>0</v>
      </c>
    </row>
    <row r="83" spans="4:31" x14ac:dyDescent="0.2">
      <c r="D83" s="31" t="s">
        <v>131</v>
      </c>
      <c r="F83" s="27">
        <f t="shared" si="0"/>
        <v>0</v>
      </c>
      <c r="I83" s="31" t="s">
        <v>131</v>
      </c>
      <c r="K83" s="27">
        <f t="shared" si="1"/>
        <v>0</v>
      </c>
      <c r="N83" s="31" t="s">
        <v>131</v>
      </c>
      <c r="P83" s="27">
        <f t="shared" si="2"/>
        <v>0</v>
      </c>
      <c r="S83" s="31" t="s">
        <v>131</v>
      </c>
      <c r="U83" s="27">
        <f t="shared" si="3"/>
        <v>0</v>
      </c>
      <c r="X83" s="31" t="s">
        <v>131</v>
      </c>
      <c r="Z83" s="27">
        <f t="shared" si="4"/>
        <v>0</v>
      </c>
      <c r="AC83" s="31" t="s">
        <v>131</v>
      </c>
      <c r="AE83" s="27">
        <f t="shared" si="5"/>
        <v>0</v>
      </c>
    </row>
    <row r="84" spans="4:31" x14ac:dyDescent="0.2">
      <c r="D84" s="31" t="s">
        <v>132</v>
      </c>
      <c r="F84" s="27">
        <f t="shared" si="0"/>
        <v>0</v>
      </c>
      <c r="I84" s="31" t="s">
        <v>132</v>
      </c>
      <c r="K84" s="27">
        <f t="shared" si="1"/>
        <v>0</v>
      </c>
      <c r="N84" s="31" t="s">
        <v>132</v>
      </c>
      <c r="P84" s="27">
        <f t="shared" si="2"/>
        <v>0</v>
      </c>
      <c r="S84" s="31" t="s">
        <v>132</v>
      </c>
      <c r="U84" s="27">
        <f t="shared" si="3"/>
        <v>0</v>
      </c>
      <c r="X84" s="31" t="s">
        <v>132</v>
      </c>
      <c r="Z84" s="27">
        <f t="shared" si="4"/>
        <v>0</v>
      </c>
      <c r="AC84" s="31" t="s">
        <v>132</v>
      </c>
      <c r="AE84" s="27">
        <f t="shared" si="5"/>
        <v>0</v>
      </c>
    </row>
    <row r="85" spans="4:31" x14ac:dyDescent="0.2">
      <c r="D85" s="31" t="s">
        <v>133</v>
      </c>
      <c r="F85" s="27">
        <f t="shared" si="0"/>
        <v>0</v>
      </c>
      <c r="I85" s="31" t="s">
        <v>133</v>
      </c>
      <c r="K85" s="27">
        <f t="shared" si="1"/>
        <v>0</v>
      </c>
      <c r="N85" s="31" t="s">
        <v>133</v>
      </c>
      <c r="P85" s="27">
        <f t="shared" si="2"/>
        <v>0</v>
      </c>
      <c r="S85" s="31" t="s">
        <v>133</v>
      </c>
      <c r="U85" s="27">
        <f t="shared" si="3"/>
        <v>0</v>
      </c>
      <c r="X85" s="31" t="s">
        <v>133</v>
      </c>
      <c r="Z85" s="27">
        <f t="shared" si="4"/>
        <v>0</v>
      </c>
      <c r="AC85" s="31" t="s">
        <v>133</v>
      </c>
      <c r="AE85" s="27">
        <f t="shared" si="5"/>
        <v>0</v>
      </c>
    </row>
    <row r="86" spans="4:31" x14ac:dyDescent="0.2">
      <c r="D86" s="31" t="s">
        <v>134</v>
      </c>
      <c r="F86" s="27">
        <f t="shared" si="0"/>
        <v>0</v>
      </c>
      <c r="I86" s="31" t="s">
        <v>134</v>
      </c>
      <c r="K86" s="27">
        <f t="shared" si="1"/>
        <v>0</v>
      </c>
      <c r="N86" s="31" t="s">
        <v>134</v>
      </c>
      <c r="P86" s="27">
        <f t="shared" si="2"/>
        <v>0</v>
      </c>
      <c r="S86" s="31" t="s">
        <v>134</v>
      </c>
      <c r="U86" s="27">
        <f t="shared" si="3"/>
        <v>0</v>
      </c>
      <c r="X86" s="31" t="s">
        <v>134</v>
      </c>
      <c r="Z86" s="27">
        <f t="shared" si="4"/>
        <v>0</v>
      </c>
      <c r="AC86" s="31" t="s">
        <v>134</v>
      </c>
      <c r="AE86" s="27">
        <f t="shared" si="5"/>
        <v>0</v>
      </c>
    </row>
    <row r="87" spans="4:31" x14ac:dyDescent="0.2">
      <c r="D87" s="31" t="s">
        <v>135</v>
      </c>
      <c r="F87" s="27">
        <f t="shared" si="0"/>
        <v>0</v>
      </c>
      <c r="I87" s="31" t="s">
        <v>135</v>
      </c>
      <c r="K87" s="27">
        <f t="shared" si="1"/>
        <v>0</v>
      </c>
      <c r="N87" s="31" t="s">
        <v>135</v>
      </c>
      <c r="P87" s="27">
        <f t="shared" si="2"/>
        <v>0</v>
      </c>
      <c r="S87" s="31" t="s">
        <v>135</v>
      </c>
      <c r="U87" s="27">
        <f t="shared" si="3"/>
        <v>0</v>
      </c>
      <c r="X87" s="31" t="s">
        <v>135</v>
      </c>
      <c r="Z87" s="27">
        <f t="shared" si="4"/>
        <v>0</v>
      </c>
      <c r="AC87" s="31" t="s">
        <v>135</v>
      </c>
      <c r="AE87" s="27">
        <f t="shared" si="5"/>
        <v>0</v>
      </c>
    </row>
    <row r="88" spans="4:31" x14ac:dyDescent="0.2">
      <c r="D88" s="31"/>
      <c r="F88" s="27">
        <f t="shared" si="0"/>
        <v>0</v>
      </c>
      <c r="I88" s="31"/>
      <c r="K88" s="27">
        <f t="shared" si="1"/>
        <v>0</v>
      </c>
      <c r="N88" s="31"/>
      <c r="P88" s="27">
        <f t="shared" si="2"/>
        <v>0</v>
      </c>
      <c r="S88" s="31"/>
      <c r="U88" s="27">
        <f t="shared" si="3"/>
        <v>0</v>
      </c>
      <c r="X88" s="31"/>
      <c r="Z88" s="27">
        <f t="shared" si="4"/>
        <v>0</v>
      </c>
      <c r="AC88" s="31"/>
      <c r="AE88" s="27">
        <f t="shared" si="5"/>
        <v>0</v>
      </c>
    </row>
    <row r="93" spans="4:31" ht="13.5" thickBot="1" x14ac:dyDescent="0.25"/>
    <row r="94" spans="4:31" x14ac:dyDescent="0.2">
      <c r="D94" s="228" t="s">
        <v>122</v>
      </c>
      <c r="F94" s="33" t="s">
        <v>51</v>
      </c>
    </row>
    <row r="95" spans="4:31" x14ac:dyDescent="0.2">
      <c r="D95" s="229" t="s">
        <v>123</v>
      </c>
      <c r="F95" s="34" t="s">
        <v>52</v>
      </c>
    </row>
    <row r="96" spans="4:31" ht="12.75" customHeight="1" x14ac:dyDescent="0.2">
      <c r="D96" s="229" t="s">
        <v>124</v>
      </c>
      <c r="F96" s="34" t="s">
        <v>53</v>
      </c>
    </row>
    <row r="97" spans="4:6" ht="13.5" customHeight="1" thickBot="1" x14ac:dyDescent="0.25">
      <c r="D97" s="230" t="s">
        <v>125</v>
      </c>
      <c r="F97" s="34" t="s">
        <v>54</v>
      </c>
    </row>
    <row r="98" spans="4:6" ht="13.5" customHeight="1" thickBot="1" x14ac:dyDescent="0.25">
      <c r="D98" s="231"/>
      <c r="F98" s="35" t="s">
        <v>55</v>
      </c>
    </row>
    <row r="99" spans="4:6" ht="13.5" customHeight="1" x14ac:dyDescent="0.2">
      <c r="D99" s="31"/>
    </row>
    <row r="100" spans="4:6" x14ac:dyDescent="0.2">
      <c r="D100" s="31"/>
    </row>
    <row r="101" spans="4:6" x14ac:dyDescent="0.2">
      <c r="D101" s="31"/>
    </row>
    <row r="102" spans="4:6" ht="12.75" customHeight="1" x14ac:dyDescent="0.2">
      <c r="D102" s="31"/>
    </row>
    <row r="103" spans="4:6" ht="12.75" customHeight="1" x14ac:dyDescent="0.2">
      <c r="D103" s="31"/>
    </row>
    <row r="104" spans="4:6" ht="12.75" customHeight="1" x14ac:dyDescent="0.2">
      <c r="D104" s="31"/>
    </row>
    <row r="105" spans="4:6" ht="12.75" customHeight="1" x14ac:dyDescent="0.2">
      <c r="D105" s="31"/>
    </row>
    <row r="106" spans="4:6" ht="13.5" customHeight="1" x14ac:dyDescent="0.2">
      <c r="D106" s="31"/>
    </row>
    <row r="107" spans="4:6" ht="12.75" customHeight="1" x14ac:dyDescent="0.2">
      <c r="D107" s="31"/>
    </row>
    <row r="108" spans="4:6" ht="12.75" customHeight="1" x14ac:dyDescent="0.2">
      <c r="D108" s="31"/>
    </row>
    <row r="109" spans="4:6" ht="12.75" customHeight="1" x14ac:dyDescent="0.2">
      <c r="D109" s="31"/>
    </row>
    <row r="110" spans="4:6" ht="12.75" customHeight="1" x14ac:dyDescent="0.2">
      <c r="D110" s="31"/>
    </row>
    <row r="111" spans="4:6" ht="12.75" customHeight="1" x14ac:dyDescent="0.2">
      <c r="D111" s="31"/>
    </row>
    <row r="112" spans="4:6" ht="12.75" customHeight="1" x14ac:dyDescent="0.2"/>
    <row r="113" s="27" customFormat="1" ht="12.75" customHeight="1" x14ac:dyDescent="0.2"/>
    <row r="114" s="27" customFormat="1" ht="12.75" customHeight="1" x14ac:dyDescent="0.2"/>
    <row r="115" s="27" customFormat="1" ht="12.75" customHeight="1" x14ac:dyDescent="0.2"/>
    <row r="116" s="27" customFormat="1" ht="12.75" customHeight="1" x14ac:dyDescent="0.2"/>
    <row r="117" s="27" customFormat="1" ht="12.75" customHeight="1" x14ac:dyDescent="0.2"/>
    <row r="118" s="27" customFormat="1" ht="12.75" customHeight="1" x14ac:dyDescent="0.2"/>
    <row r="119" s="27" customFormat="1" ht="12.75" customHeight="1" x14ac:dyDescent="0.2"/>
    <row r="120" s="27" customFormat="1" ht="13.5" customHeight="1" x14ac:dyDescent="0.2"/>
  </sheetData>
  <mergeCells count="478">
    <mergeCell ref="C3:D4"/>
    <mergeCell ref="W5:X5"/>
    <mergeCell ref="O3:Q4"/>
    <mergeCell ref="R3:S4"/>
    <mergeCell ref="T3:V4"/>
    <mergeCell ref="W3:X4"/>
    <mergeCell ref="Y3:AA4"/>
    <mergeCell ref="AD2:AF2"/>
    <mergeCell ref="C1:AA1"/>
    <mergeCell ref="E2:G2"/>
    <mergeCell ref="J2:L2"/>
    <mergeCell ref="O2:Q2"/>
    <mergeCell ref="T2:V2"/>
    <mergeCell ref="Y2:AA2"/>
    <mergeCell ref="C5:D5"/>
    <mergeCell ref="E5:G5"/>
    <mergeCell ref="H5:I5"/>
    <mergeCell ref="J5:L5"/>
    <mergeCell ref="M5:N5"/>
    <mergeCell ref="O5:Q5"/>
    <mergeCell ref="R5:S5"/>
    <mergeCell ref="T5:V5"/>
    <mergeCell ref="Z6:AA6"/>
    <mergeCell ref="AB6:AC6"/>
    <mergeCell ref="AE6:AF6"/>
    <mergeCell ref="M3:N4"/>
    <mergeCell ref="Y5:AA5"/>
    <mergeCell ref="AB5:AC5"/>
    <mergeCell ref="AD5:AF5"/>
    <mergeCell ref="AD3:AF4"/>
    <mergeCell ref="AB3:AC4"/>
    <mergeCell ref="C6:D6"/>
    <mergeCell ref="F6:G6"/>
    <mergeCell ref="H6:I6"/>
    <mergeCell ref="K6:L6"/>
    <mergeCell ref="M6:N6"/>
    <mergeCell ref="P6:Q6"/>
    <mergeCell ref="AD10:AF10"/>
    <mergeCell ref="C7:D7"/>
    <mergeCell ref="F7:G7"/>
    <mergeCell ref="H7:I7"/>
    <mergeCell ref="K7:L7"/>
    <mergeCell ref="M7:N7"/>
    <mergeCell ref="C10:D10"/>
    <mergeCell ref="E10:G10"/>
    <mergeCell ref="H10:I10"/>
    <mergeCell ref="J10:L10"/>
    <mergeCell ref="AE7:AF7"/>
    <mergeCell ref="R8:S9"/>
    <mergeCell ref="Y8:AA9"/>
    <mergeCell ref="AB8:AC9"/>
    <mergeCell ref="AD8:AF9"/>
    <mergeCell ref="R6:S6"/>
    <mergeCell ref="U6:V6"/>
    <mergeCell ref="W6:X6"/>
    <mergeCell ref="B3:B7"/>
    <mergeCell ref="R10:S10"/>
    <mergeCell ref="T10:V10"/>
    <mergeCell ref="W10:X10"/>
    <mergeCell ref="Y10:AA10"/>
    <mergeCell ref="AB10:AC10"/>
    <mergeCell ref="M10:N10"/>
    <mergeCell ref="E3:G4"/>
    <mergeCell ref="H3:I4"/>
    <mergeCell ref="J3:L4"/>
    <mergeCell ref="P7:Q7"/>
    <mergeCell ref="R7:S7"/>
    <mergeCell ref="U7:V7"/>
    <mergeCell ref="W7:X7"/>
    <mergeCell ref="Z7:AA7"/>
    <mergeCell ref="AB7:AC7"/>
    <mergeCell ref="O10:Q10"/>
    <mergeCell ref="B8:B12"/>
    <mergeCell ref="C8:D9"/>
    <mergeCell ref="E8:G9"/>
    <mergeCell ref="H8:I9"/>
    <mergeCell ref="J8:L9"/>
    <mergeCell ref="M8:N9"/>
    <mergeCell ref="O8:Q9"/>
    <mergeCell ref="R11:S11"/>
    <mergeCell ref="U11:V11"/>
    <mergeCell ref="W11:X11"/>
    <mergeCell ref="Z11:AA11"/>
    <mergeCell ref="AB11:AC11"/>
    <mergeCell ref="AE11:AF11"/>
    <mergeCell ref="T8:V9"/>
    <mergeCell ref="C11:D11"/>
    <mergeCell ref="F11:G11"/>
    <mergeCell ref="H11:I11"/>
    <mergeCell ref="K11:L11"/>
    <mergeCell ref="M11:N11"/>
    <mergeCell ref="P11:Q11"/>
    <mergeCell ref="Z12:AA12"/>
    <mergeCell ref="AB12:AC12"/>
    <mergeCell ref="AE12:AF12"/>
    <mergeCell ref="Y13:AA14"/>
    <mergeCell ref="AB13:AC14"/>
    <mergeCell ref="C13:D14"/>
    <mergeCell ref="E13:G14"/>
    <mergeCell ref="H13:I14"/>
    <mergeCell ref="J13:L14"/>
    <mergeCell ref="M13:N14"/>
    <mergeCell ref="O13:Q14"/>
    <mergeCell ref="R13:S14"/>
    <mergeCell ref="T13:V14"/>
    <mergeCell ref="W13:X14"/>
    <mergeCell ref="R12:S12"/>
    <mergeCell ref="U12:V12"/>
    <mergeCell ref="W12:X12"/>
    <mergeCell ref="C12:D12"/>
    <mergeCell ref="F12:G12"/>
    <mergeCell ref="H12:I12"/>
    <mergeCell ref="K12:L12"/>
    <mergeCell ref="M12:N12"/>
    <mergeCell ref="P12:Q12"/>
    <mergeCell ref="E15:G15"/>
    <mergeCell ref="H15:I15"/>
    <mergeCell ref="J15:L15"/>
    <mergeCell ref="M15:N15"/>
    <mergeCell ref="O15:Q15"/>
    <mergeCell ref="R15:S15"/>
    <mergeCell ref="C16:D16"/>
    <mergeCell ref="F16:G16"/>
    <mergeCell ref="H16:I16"/>
    <mergeCell ref="K16:L16"/>
    <mergeCell ref="M16:N16"/>
    <mergeCell ref="P16:Q16"/>
    <mergeCell ref="AE17:AF17"/>
    <mergeCell ref="P17:Q17"/>
    <mergeCell ref="R17:S17"/>
    <mergeCell ref="U17:V17"/>
    <mergeCell ref="AD20:AF20"/>
    <mergeCell ref="AD18:AF19"/>
    <mergeCell ref="U16:V16"/>
    <mergeCell ref="W16:X16"/>
    <mergeCell ref="AD13:AF14"/>
    <mergeCell ref="Y15:AA15"/>
    <mergeCell ref="AB15:AC15"/>
    <mergeCell ref="AD15:AF15"/>
    <mergeCell ref="T15:V15"/>
    <mergeCell ref="W15:X15"/>
    <mergeCell ref="AE16:AF16"/>
    <mergeCell ref="Y20:AA20"/>
    <mergeCell ref="AB20:AC20"/>
    <mergeCell ref="C20:D20"/>
    <mergeCell ref="E20:G20"/>
    <mergeCell ref="H20:I20"/>
    <mergeCell ref="J20:L20"/>
    <mergeCell ref="M20:N20"/>
    <mergeCell ref="O20:Q20"/>
    <mergeCell ref="Z16:AA16"/>
    <mergeCell ref="AB16:AC16"/>
    <mergeCell ref="W17:X17"/>
    <mergeCell ref="Z17:AA17"/>
    <mergeCell ref="AB17:AC17"/>
    <mergeCell ref="R16:S16"/>
    <mergeCell ref="W18:X19"/>
    <mergeCell ref="Y18:AA19"/>
    <mergeCell ref="AB18:AC19"/>
    <mergeCell ref="B18:B22"/>
    <mergeCell ref="C18:D19"/>
    <mergeCell ref="E18:G19"/>
    <mergeCell ref="H18:I19"/>
    <mergeCell ref="J18:L19"/>
    <mergeCell ref="B13:B17"/>
    <mergeCell ref="R20:S20"/>
    <mergeCell ref="T20:V20"/>
    <mergeCell ref="W20:X20"/>
    <mergeCell ref="M18:N19"/>
    <mergeCell ref="O18:Q19"/>
    <mergeCell ref="R18:S19"/>
    <mergeCell ref="T18:V19"/>
    <mergeCell ref="W21:X21"/>
    <mergeCell ref="R21:S21"/>
    <mergeCell ref="U21:V21"/>
    <mergeCell ref="R22:S22"/>
    <mergeCell ref="U22:V22"/>
    <mergeCell ref="C17:D17"/>
    <mergeCell ref="F17:G17"/>
    <mergeCell ref="H17:I17"/>
    <mergeCell ref="K17:L17"/>
    <mergeCell ref="M17:N17"/>
    <mergeCell ref="C15:D15"/>
    <mergeCell ref="AE21:AF21"/>
    <mergeCell ref="C21:D21"/>
    <mergeCell ref="F21:G21"/>
    <mergeCell ref="H21:I21"/>
    <mergeCell ref="K21:L21"/>
    <mergeCell ref="M21:N21"/>
    <mergeCell ref="P21:Q21"/>
    <mergeCell ref="W22:X22"/>
    <mergeCell ref="Z22:AA22"/>
    <mergeCell ref="AB22:AC22"/>
    <mergeCell ref="AE22:AF22"/>
    <mergeCell ref="C22:D22"/>
    <mergeCell ref="F22:G22"/>
    <mergeCell ref="H22:I22"/>
    <mergeCell ref="K22:L22"/>
    <mergeCell ref="M22:N22"/>
    <mergeCell ref="P22:Q22"/>
    <mergeCell ref="Z21:AA21"/>
    <mergeCell ref="AB21:AC21"/>
    <mergeCell ref="M27:N27"/>
    <mergeCell ref="P27:Q27"/>
    <mergeCell ref="R27:S27"/>
    <mergeCell ref="B23:B28"/>
    <mergeCell ref="C23:D24"/>
    <mergeCell ref="E23:G25"/>
    <mergeCell ref="H23:I24"/>
    <mergeCell ref="J23:L25"/>
    <mergeCell ref="M23:N24"/>
    <mergeCell ref="C26:D26"/>
    <mergeCell ref="E26:G26"/>
    <mergeCell ref="H26:I26"/>
    <mergeCell ref="J26:L26"/>
    <mergeCell ref="C28:D28"/>
    <mergeCell ref="F28:G28"/>
    <mergeCell ref="H28:I28"/>
    <mergeCell ref="K28:L28"/>
    <mergeCell ref="M28:N28"/>
    <mergeCell ref="C27:D27"/>
    <mergeCell ref="F27:G27"/>
    <mergeCell ref="H27:I27"/>
    <mergeCell ref="K27:L27"/>
    <mergeCell ref="AD23:AF25"/>
    <mergeCell ref="C25:D25"/>
    <mergeCell ref="H25:I25"/>
    <mergeCell ref="M25:N25"/>
    <mergeCell ref="R25:S25"/>
    <mergeCell ref="W25:X25"/>
    <mergeCell ref="AB25:AC25"/>
    <mergeCell ref="O23:Q25"/>
    <mergeCell ref="Y26:AA26"/>
    <mergeCell ref="R23:S24"/>
    <mergeCell ref="T23:V25"/>
    <mergeCell ref="W23:X24"/>
    <mergeCell ref="Y23:AA25"/>
    <mergeCell ref="AB23:AC24"/>
    <mergeCell ref="AD26:AF26"/>
    <mergeCell ref="M26:N26"/>
    <mergeCell ref="O26:Q26"/>
    <mergeCell ref="R26:S26"/>
    <mergeCell ref="T26:V26"/>
    <mergeCell ref="W26:X26"/>
    <mergeCell ref="AB26:AC26"/>
    <mergeCell ref="AE27:AF27"/>
    <mergeCell ref="AE28:AF28"/>
    <mergeCell ref="W27:X27"/>
    <mergeCell ref="R28:S28"/>
    <mergeCell ref="U28:V28"/>
    <mergeCell ref="W28:X28"/>
    <mergeCell ref="Z28:AA28"/>
    <mergeCell ref="E32:G32"/>
    <mergeCell ref="H32:I32"/>
    <mergeCell ref="J32:L32"/>
    <mergeCell ref="AD29:AF31"/>
    <mergeCell ref="AD32:AF32"/>
    <mergeCell ref="W31:X31"/>
    <mergeCell ref="AB31:AC31"/>
    <mergeCell ref="O29:Q31"/>
    <mergeCell ref="R29:S30"/>
    <mergeCell ref="T29:V31"/>
    <mergeCell ref="W29:X30"/>
    <mergeCell ref="M29:N30"/>
    <mergeCell ref="Z27:AA27"/>
    <mergeCell ref="AB27:AC27"/>
    <mergeCell ref="AB28:AC28"/>
    <mergeCell ref="U27:V27"/>
    <mergeCell ref="P28:Q28"/>
    <mergeCell ref="C31:D31"/>
    <mergeCell ref="H31:I31"/>
    <mergeCell ref="M31:N31"/>
    <mergeCell ref="R31:S31"/>
    <mergeCell ref="W32:X32"/>
    <mergeCell ref="Y32:AA32"/>
    <mergeCell ref="Y29:AA31"/>
    <mergeCell ref="AB29:AC30"/>
    <mergeCell ref="AB32:AC32"/>
    <mergeCell ref="B29:B34"/>
    <mergeCell ref="C29:D30"/>
    <mergeCell ref="E29:G31"/>
    <mergeCell ref="H29:I30"/>
    <mergeCell ref="J29:L31"/>
    <mergeCell ref="R33:S33"/>
    <mergeCell ref="U33:V33"/>
    <mergeCell ref="M32:N32"/>
    <mergeCell ref="O32:Q32"/>
    <mergeCell ref="R32:S32"/>
    <mergeCell ref="T32:V32"/>
    <mergeCell ref="C33:D33"/>
    <mergeCell ref="F33:G33"/>
    <mergeCell ref="H33:I33"/>
    <mergeCell ref="K33:L33"/>
    <mergeCell ref="M33:N33"/>
    <mergeCell ref="P33:Q33"/>
    <mergeCell ref="C34:D34"/>
    <mergeCell ref="F34:G34"/>
    <mergeCell ref="H34:I34"/>
    <mergeCell ref="K34:L34"/>
    <mergeCell ref="M34:N34"/>
    <mergeCell ref="P34:Q34"/>
    <mergeCell ref="C32:D32"/>
    <mergeCell ref="Z34:AA34"/>
    <mergeCell ref="AB34:AC34"/>
    <mergeCell ref="AE34:AF34"/>
    <mergeCell ref="W33:X33"/>
    <mergeCell ref="Z33:AA33"/>
    <mergeCell ref="AB33:AC33"/>
    <mergeCell ref="AE33:AF33"/>
    <mergeCell ref="W35:X36"/>
    <mergeCell ref="Y35:AA37"/>
    <mergeCell ref="AB35:AC36"/>
    <mergeCell ref="C35:D36"/>
    <mergeCell ref="E35:G37"/>
    <mergeCell ref="H35:I36"/>
    <mergeCell ref="J35:L37"/>
    <mergeCell ref="M35:N36"/>
    <mergeCell ref="AD35:AF37"/>
    <mergeCell ref="C37:D37"/>
    <mergeCell ref="H37:I37"/>
    <mergeCell ref="M37:N37"/>
    <mergeCell ref="R37:S37"/>
    <mergeCell ref="W37:X37"/>
    <mergeCell ref="AB37:AC37"/>
    <mergeCell ref="O35:Q37"/>
    <mergeCell ref="R35:S36"/>
    <mergeCell ref="T35:V37"/>
    <mergeCell ref="E38:G38"/>
    <mergeCell ref="H38:I38"/>
    <mergeCell ref="J38:L38"/>
    <mergeCell ref="R39:S39"/>
    <mergeCell ref="U39:V39"/>
    <mergeCell ref="M38:N38"/>
    <mergeCell ref="O38:Q38"/>
    <mergeCell ref="R38:S38"/>
    <mergeCell ref="T38:V38"/>
    <mergeCell ref="Z40:AA40"/>
    <mergeCell ref="C40:D40"/>
    <mergeCell ref="F40:G40"/>
    <mergeCell ref="H40:I40"/>
    <mergeCell ref="K40:L40"/>
    <mergeCell ref="M40:N40"/>
    <mergeCell ref="P40:Q40"/>
    <mergeCell ref="AB38:AC38"/>
    <mergeCell ref="AD38:AF38"/>
    <mergeCell ref="C39:D39"/>
    <mergeCell ref="F39:G39"/>
    <mergeCell ref="H39:I39"/>
    <mergeCell ref="K39:L39"/>
    <mergeCell ref="M39:N39"/>
    <mergeCell ref="P39:Q39"/>
    <mergeCell ref="AB40:AC40"/>
    <mergeCell ref="AE40:AF40"/>
    <mergeCell ref="W39:X39"/>
    <mergeCell ref="Z39:AA39"/>
    <mergeCell ref="AB39:AC39"/>
    <mergeCell ref="AE39:AF39"/>
    <mergeCell ref="W38:X38"/>
    <mergeCell ref="Y38:AA38"/>
    <mergeCell ref="C38:D38"/>
    <mergeCell ref="AD41:AF43"/>
    <mergeCell ref="C43:D43"/>
    <mergeCell ref="H43:I43"/>
    <mergeCell ref="M43:N43"/>
    <mergeCell ref="R43:S43"/>
    <mergeCell ref="W43:X43"/>
    <mergeCell ref="M44:N44"/>
    <mergeCell ref="O44:Q44"/>
    <mergeCell ref="R44:S44"/>
    <mergeCell ref="T44:V44"/>
    <mergeCell ref="W44:X44"/>
    <mergeCell ref="Y44:AA44"/>
    <mergeCell ref="AB43:AC43"/>
    <mergeCell ref="O41:Q43"/>
    <mergeCell ref="R41:S42"/>
    <mergeCell ref="T41:V43"/>
    <mergeCell ref="W41:X42"/>
    <mergeCell ref="Y41:AA43"/>
    <mergeCell ref="AB41:AC42"/>
    <mergeCell ref="C44:D44"/>
    <mergeCell ref="E44:G44"/>
    <mergeCell ref="H44:I44"/>
    <mergeCell ref="J44:L44"/>
    <mergeCell ref="C41:D42"/>
    <mergeCell ref="AD47:AF49"/>
    <mergeCell ref="C49:D49"/>
    <mergeCell ref="H49:I49"/>
    <mergeCell ref="M49:N49"/>
    <mergeCell ref="AB44:AC44"/>
    <mergeCell ref="AD44:AF44"/>
    <mergeCell ref="H45:I45"/>
    <mergeCell ref="K45:L45"/>
    <mergeCell ref="M45:N45"/>
    <mergeCell ref="P45:Q45"/>
    <mergeCell ref="Z45:AA45"/>
    <mergeCell ref="AE45:AF45"/>
    <mergeCell ref="C46:D46"/>
    <mergeCell ref="F46:G46"/>
    <mergeCell ref="H46:I46"/>
    <mergeCell ref="K46:L46"/>
    <mergeCell ref="M46:N46"/>
    <mergeCell ref="P46:Q46"/>
    <mergeCell ref="R46:S46"/>
    <mergeCell ref="R45:S45"/>
    <mergeCell ref="Z46:AA46"/>
    <mergeCell ref="AE46:AF46"/>
    <mergeCell ref="H72:J72"/>
    <mergeCell ref="B47:B52"/>
    <mergeCell ref="C47:D48"/>
    <mergeCell ref="E47:G49"/>
    <mergeCell ref="H47:I48"/>
    <mergeCell ref="J47:L49"/>
    <mergeCell ref="B41:B46"/>
    <mergeCell ref="AB47:AC48"/>
    <mergeCell ref="AB49:AC49"/>
    <mergeCell ref="M47:N48"/>
    <mergeCell ref="O47:Q49"/>
    <mergeCell ref="R47:S48"/>
    <mergeCell ref="T47:V49"/>
    <mergeCell ref="W47:X48"/>
    <mergeCell ref="Y47:AA49"/>
    <mergeCell ref="P51:Q51"/>
    <mergeCell ref="Y50:AA50"/>
    <mergeCell ref="AB50:AC50"/>
    <mergeCell ref="W50:X50"/>
    <mergeCell ref="B53:B54"/>
    <mergeCell ref="B55:B56"/>
    <mergeCell ref="E41:G43"/>
    <mergeCell ref="H41:I42"/>
    <mergeCell ref="J41:L43"/>
    <mergeCell ref="AD50:AF50"/>
    <mergeCell ref="C50:D50"/>
    <mergeCell ref="E50:G50"/>
    <mergeCell ref="H50:I50"/>
    <mergeCell ref="J50:L50"/>
    <mergeCell ref="M50:N50"/>
    <mergeCell ref="O50:Q50"/>
    <mergeCell ref="C52:D52"/>
    <mergeCell ref="F52:G52"/>
    <mergeCell ref="H52:I52"/>
    <mergeCell ref="K52:L52"/>
    <mergeCell ref="M52:N52"/>
    <mergeCell ref="C51:D51"/>
    <mergeCell ref="F51:G51"/>
    <mergeCell ref="H51:I51"/>
    <mergeCell ref="K51:L51"/>
    <mergeCell ref="M51:N51"/>
    <mergeCell ref="Z52:AA52"/>
    <mergeCell ref="AE52:AF52"/>
    <mergeCell ref="R51:S51"/>
    <mergeCell ref="U51:V51"/>
    <mergeCell ref="W51:X51"/>
    <mergeCell ref="Z51:AA51"/>
    <mergeCell ref="AE51:AF51"/>
    <mergeCell ref="A53:A54"/>
    <mergeCell ref="W8:X9"/>
    <mergeCell ref="P52:Q52"/>
    <mergeCell ref="R52:S52"/>
    <mergeCell ref="U52:V52"/>
    <mergeCell ref="W52:X52"/>
    <mergeCell ref="R50:S50"/>
    <mergeCell ref="T50:V50"/>
    <mergeCell ref="B35:B40"/>
    <mergeCell ref="R34:S34"/>
    <mergeCell ref="U34:V34"/>
    <mergeCell ref="W34:X34"/>
    <mergeCell ref="R49:S49"/>
    <mergeCell ref="W49:X49"/>
    <mergeCell ref="C45:D45"/>
    <mergeCell ref="F45:G45"/>
    <mergeCell ref="W45:X45"/>
    <mergeCell ref="U45:V45"/>
    <mergeCell ref="U46:V46"/>
    <mergeCell ref="W46:X46"/>
    <mergeCell ref="R40:S40"/>
    <mergeCell ref="U40:V40"/>
    <mergeCell ref="W40:X40"/>
    <mergeCell ref="M41:N42"/>
  </mergeCells>
  <conditionalFormatting sqref="C57:C70 H57:H70 M57:M70 R57:R70 W57:W70 AB57:AB70">
    <cfRule type="expression" dxfId="4" priority="1" stopIfTrue="1">
      <formula>IF(E57=0,1,0)</formula>
    </cfRule>
  </conditionalFormatting>
  <conditionalFormatting sqref="D74:D88 I74:I88 N74:N88 S74:S88 X74:X88 AC74:AC88 D98:D111">
    <cfRule type="expression" dxfId="3" priority="2" stopIfTrue="1">
      <formula>IF(F74=0,1,0)</formula>
    </cfRule>
  </conditionalFormatting>
  <dataValidations count="2">
    <dataValidation type="list" allowBlank="1" showInputMessage="1" showErrorMessage="1" sqref="AB71:AC71 H71:I71 C71:D71 R71:S71 W71:X71 M71:N71 W57:W70 R49:S52 H5:I7 M5:N7 R5:S7 W5:X7 C10:D12 H10:I12 M10:N12 R10:S12 W10:X12 AB10:AC12 W25:X28 C15:D17 H15:I17 M15:N17 R15:S17 W15:X17 AB57:AB70 C20:D22 H20:I22 M20:N22 R20:S22 W20:X22 C5:D7 W43:X46 C25:D28 H25:I28 M25:N28 R25:S28 H31:I34 M31:N34 R31:S34 W31:X34 AB25:AC28 AB31:AC34 C37:D40 H37:I40 M37:N40 W37:X40 AB5:AC7 AB20:AC22 C31:D34 AB15:AC17 C43:D46 H43:I46 M43:N46 R37:S40 AB37:AC40 C57:C70 H57:H70 M57:M70 R57:R70 R43:S46 AB49:AC50 AB43:AC44 W49:X52 C49:D52 H49:I52 M49:N52" xr:uid="{00000000-0002-0000-0400-000001000000}">
      <formula1>$D$94:$D$111</formula1>
    </dataValidation>
    <dataValidation type="list" allowBlank="1" showInputMessage="1" showErrorMessage="1" sqref="E57:E70 J57:J70 O57:O70 T57:T70 Y57:Y70 AD57:AD70" xr:uid="{CEB4A72E-EF8A-480D-A225-15422E406CF4}">
      <formula1>$F$94:$F$98</formula1>
    </dataValidation>
  </dataValidations>
  <printOptions horizontalCentered="1" verticalCentered="1"/>
  <pageMargins left="0.17" right="0.16" top="0.17" bottom="0.23622047244094491" header="0.17" footer="0.23622047244094491"/>
  <pageSetup paperSize="9" scale="56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2E81A-DA6F-47F4-BEC2-070121F23EFB}">
  <sheetPr codeName="Tabelle5"/>
  <dimension ref="A1:AF99"/>
  <sheetViews>
    <sheetView topLeftCell="B1" zoomScale="70" zoomScaleNormal="70" workbookViewId="0">
      <pane xSplit="1" ySplit="2" topLeftCell="C3" activePane="bottomRight" state="frozen"/>
      <selection activeCell="J3" sqref="J3:L4"/>
      <selection pane="topRight" activeCell="J3" sqref="J3:L4"/>
      <selection pane="bottomLeft" activeCell="J3" sqref="J3:L4"/>
      <selection pane="bottomRight" activeCell="J3" sqref="J3:L4"/>
    </sheetView>
  </sheetViews>
  <sheetFormatPr baseColWidth="10" defaultColWidth="8.88671875" defaultRowHeight="12.75" x14ac:dyDescent="0.2"/>
  <cols>
    <col min="1" max="1" width="3.21875" style="27" hidden="1" customWidth="1"/>
    <col min="2" max="2" width="13.77734375" style="27" customWidth="1"/>
    <col min="3" max="3" width="6.77734375" style="27" customWidth="1"/>
    <col min="4" max="4" width="9.21875" style="27" customWidth="1"/>
    <col min="5" max="6" width="6.77734375" style="27" customWidth="1"/>
    <col min="7" max="7" width="3.6640625" style="27" customWidth="1"/>
    <col min="8" max="8" width="6.77734375" style="27" customWidth="1"/>
    <col min="9" max="9" width="8.88671875" style="27" customWidth="1"/>
    <col min="10" max="11" width="6.33203125" style="27" customWidth="1"/>
    <col min="12" max="12" width="4.77734375" style="27" customWidth="1"/>
    <col min="13" max="13" width="7.88671875" style="27" customWidth="1"/>
    <col min="14" max="14" width="8.88671875" style="27" customWidth="1"/>
    <col min="15" max="16" width="6.33203125" style="27" customWidth="1"/>
    <col min="17" max="17" width="4.77734375" style="27" customWidth="1"/>
    <col min="18" max="18" width="9.77734375" style="27" customWidth="1"/>
    <col min="19" max="19" width="9" style="27" customWidth="1"/>
    <col min="20" max="21" width="6.33203125" style="27" customWidth="1"/>
    <col min="22" max="22" width="4.77734375" style="27" customWidth="1"/>
    <col min="23" max="23" width="6.77734375" style="27" customWidth="1"/>
    <col min="24" max="24" width="8.44140625" style="27" customWidth="1"/>
    <col min="25" max="26" width="6.33203125" style="27" customWidth="1"/>
    <col min="27" max="27" width="4.77734375" style="27" customWidth="1"/>
    <col min="28" max="28" width="6.77734375" style="27" customWidth="1"/>
    <col min="29" max="29" width="8.33203125" style="27" customWidth="1"/>
    <col min="30" max="31" width="6.33203125" style="27" customWidth="1"/>
    <col min="32" max="32" width="4.77734375" style="27" customWidth="1"/>
    <col min="33" max="35" width="2.88671875" style="27" customWidth="1"/>
    <col min="36" max="16384" width="8.88671875" style="27"/>
  </cols>
  <sheetData>
    <row r="1" spans="2:32" ht="26.25" thickBot="1" x14ac:dyDescent="0.4">
      <c r="B1" s="44"/>
      <c r="C1" s="603" t="e">
        <v>#REF!</v>
      </c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604"/>
      <c r="Q1" s="604"/>
      <c r="R1" s="604"/>
      <c r="S1" s="604"/>
      <c r="T1" s="604"/>
      <c r="U1" s="604"/>
      <c r="V1" s="604"/>
      <c r="W1" s="604"/>
      <c r="X1" s="604"/>
      <c r="Y1" s="604"/>
      <c r="Z1" s="604"/>
      <c r="AA1" s="605"/>
      <c r="AB1" s="180"/>
      <c r="AC1" s="180"/>
      <c r="AD1" s="180"/>
      <c r="AE1" s="180"/>
      <c r="AF1" s="180"/>
    </row>
    <row r="2" spans="2:32" ht="12.6" customHeight="1" thickBot="1" x14ac:dyDescent="0.25">
      <c r="B2" s="181"/>
      <c r="C2" s="28" t="s">
        <v>27</v>
      </c>
      <c r="D2" s="182">
        <v>45663</v>
      </c>
      <c r="E2" s="517" t="s">
        <v>28</v>
      </c>
      <c r="F2" s="517"/>
      <c r="G2" s="518"/>
      <c r="H2" s="28" t="s">
        <v>29</v>
      </c>
      <c r="I2" s="182">
        <f>D2+1</f>
        <v>45664</v>
      </c>
      <c r="J2" s="517" t="s">
        <v>28</v>
      </c>
      <c r="K2" s="517"/>
      <c r="L2" s="518"/>
      <c r="M2" s="28" t="s">
        <v>30</v>
      </c>
      <c r="N2" s="182">
        <f>D2+2</f>
        <v>45665</v>
      </c>
      <c r="O2" s="517" t="s">
        <v>28</v>
      </c>
      <c r="P2" s="517"/>
      <c r="Q2" s="518"/>
      <c r="R2" s="28" t="s">
        <v>31</v>
      </c>
      <c r="S2" s="182">
        <f>D2+3</f>
        <v>45666</v>
      </c>
      <c r="T2" s="517" t="s">
        <v>28</v>
      </c>
      <c r="U2" s="517"/>
      <c r="V2" s="518"/>
      <c r="W2" s="28" t="s">
        <v>32</v>
      </c>
      <c r="X2" s="182">
        <f>D2+4</f>
        <v>45667</v>
      </c>
      <c r="Y2" s="517" t="s">
        <v>28</v>
      </c>
      <c r="Z2" s="517"/>
      <c r="AA2" s="518"/>
      <c r="AB2" s="28" t="s">
        <v>33</v>
      </c>
      <c r="AC2" s="182">
        <f>D2+5</f>
        <v>45668</v>
      </c>
      <c r="AD2" s="517" t="s">
        <v>28</v>
      </c>
      <c r="AE2" s="517"/>
      <c r="AF2" s="518"/>
    </row>
    <row r="3" spans="2:32" ht="12.6" customHeight="1" x14ac:dyDescent="0.2">
      <c r="B3" s="519" t="e">
        <v>#REF!</v>
      </c>
      <c r="C3" s="520" t="e">
        <v>#REF!</v>
      </c>
      <c r="D3" s="525"/>
      <c r="E3" s="522" t="e">
        <v>#REF!</v>
      </c>
      <c r="F3" s="522"/>
      <c r="G3" s="523"/>
      <c r="H3" s="598" t="e">
        <v>#REF!</v>
      </c>
      <c r="I3" s="521"/>
      <c r="J3" s="522" t="e">
        <v>#REF!</v>
      </c>
      <c r="K3" s="522"/>
      <c r="L3" s="523"/>
      <c r="M3" s="472" t="e">
        <v>#REF!</v>
      </c>
      <c r="N3" s="480"/>
      <c r="O3" s="522" t="e">
        <v>#REF!</v>
      </c>
      <c r="P3" s="522"/>
      <c r="Q3" s="523"/>
      <c r="R3" s="524" t="e">
        <v>#REF!</v>
      </c>
      <c r="S3" s="525"/>
      <c r="T3" s="522" t="e">
        <v>#REF!</v>
      </c>
      <c r="U3" s="522"/>
      <c r="V3" s="523"/>
      <c r="W3" s="524" t="e">
        <v>#REF!</v>
      </c>
      <c r="X3" s="525"/>
      <c r="Y3" s="522" t="e">
        <v>#REF!</v>
      </c>
      <c r="Z3" s="522"/>
      <c r="AA3" s="523"/>
      <c r="AB3" s="524" t="e">
        <v>#REF!</v>
      </c>
      <c r="AC3" s="525"/>
      <c r="AD3" s="522" t="e">
        <v>#REF!</v>
      </c>
      <c r="AE3" s="522"/>
      <c r="AF3" s="533"/>
    </row>
    <row r="4" spans="2:32" ht="12.6" customHeight="1" x14ac:dyDescent="0.2">
      <c r="B4" s="507"/>
      <c r="C4" s="600"/>
      <c r="D4" s="601"/>
      <c r="E4" s="509"/>
      <c r="F4" s="509"/>
      <c r="G4" s="510"/>
      <c r="H4" s="599"/>
      <c r="I4" s="474"/>
      <c r="J4" s="509"/>
      <c r="K4" s="509"/>
      <c r="L4" s="510"/>
      <c r="M4" s="601"/>
      <c r="N4" s="601"/>
      <c r="O4" s="593"/>
      <c r="P4" s="593"/>
      <c r="Q4" s="594"/>
      <c r="R4" s="481"/>
      <c r="S4" s="482"/>
      <c r="T4" s="593"/>
      <c r="U4" s="593"/>
      <c r="V4" s="594"/>
      <c r="W4" s="494"/>
      <c r="X4" s="495"/>
      <c r="Y4" s="593"/>
      <c r="Z4" s="593"/>
      <c r="AA4" s="594"/>
      <c r="AB4" s="481"/>
      <c r="AC4" s="482"/>
      <c r="AD4" s="593"/>
      <c r="AE4" s="593"/>
      <c r="AF4" s="596"/>
    </row>
    <row r="5" spans="2:32" ht="12.6" customHeight="1" x14ac:dyDescent="0.2">
      <c r="B5" s="507"/>
      <c r="C5" s="550"/>
      <c r="D5" s="546"/>
      <c r="E5" s="491" t="e">
        <v>#REF!</v>
      </c>
      <c r="F5" s="590"/>
      <c r="G5" s="606"/>
      <c r="H5" s="585"/>
      <c r="I5" s="546"/>
      <c r="J5" s="491" t="e">
        <v>#REF!</v>
      </c>
      <c r="K5" s="491"/>
      <c r="L5" s="492"/>
      <c r="M5" s="546"/>
      <c r="N5" s="546"/>
      <c r="O5" s="491" t="e">
        <v>#REF!</v>
      </c>
      <c r="P5" s="491"/>
      <c r="Q5" s="492"/>
      <c r="R5" s="546"/>
      <c r="S5" s="546"/>
      <c r="T5" s="491" t="e">
        <v>#REF!</v>
      </c>
      <c r="U5" s="491"/>
      <c r="V5" s="492"/>
      <c r="W5" s="546"/>
      <c r="X5" s="546"/>
      <c r="Y5" s="491" t="e">
        <v>#REF!</v>
      </c>
      <c r="Z5" s="491"/>
      <c r="AA5" s="492"/>
      <c r="AB5" s="546"/>
      <c r="AC5" s="546"/>
      <c r="AD5" s="491" t="e">
        <v>#REF!</v>
      </c>
      <c r="AE5" s="491"/>
      <c r="AF5" s="497"/>
    </row>
    <row r="6" spans="2:32" ht="12.6" customHeight="1" x14ac:dyDescent="0.2">
      <c r="B6" s="507"/>
      <c r="C6" s="550"/>
      <c r="D6" s="546"/>
      <c r="E6" s="29" t="s">
        <v>34</v>
      </c>
      <c r="F6" s="486" t="e">
        <v>#REF!</v>
      </c>
      <c r="G6" s="496"/>
      <c r="H6" s="585"/>
      <c r="I6" s="546"/>
      <c r="J6" s="29" t="s">
        <v>34</v>
      </c>
      <c r="K6" s="486" t="e">
        <v>#REF!</v>
      </c>
      <c r="L6" s="496"/>
      <c r="M6" s="546"/>
      <c r="N6" s="546"/>
      <c r="O6" s="29" t="s">
        <v>34</v>
      </c>
      <c r="P6" s="486" t="e">
        <v>#REF!</v>
      </c>
      <c r="Q6" s="496"/>
      <c r="R6" s="546"/>
      <c r="S6" s="546"/>
      <c r="T6" s="29" t="s">
        <v>34</v>
      </c>
      <c r="U6" s="486" t="e">
        <v>#REF!</v>
      </c>
      <c r="V6" s="496"/>
      <c r="W6" s="546"/>
      <c r="X6" s="546"/>
      <c r="Y6" s="29" t="s">
        <v>34</v>
      </c>
      <c r="Z6" s="486" t="e">
        <v>#REF!</v>
      </c>
      <c r="AA6" s="496"/>
      <c r="AB6" s="546"/>
      <c r="AC6" s="546"/>
      <c r="AD6" s="29" t="s">
        <v>34</v>
      </c>
      <c r="AE6" s="486" t="e">
        <v>#REF!</v>
      </c>
      <c r="AF6" s="487"/>
    </row>
    <row r="7" spans="2:32" ht="12.6" customHeight="1" x14ac:dyDescent="0.2">
      <c r="B7" s="508"/>
      <c r="C7" s="550"/>
      <c r="D7" s="546"/>
      <c r="E7" s="185" t="s">
        <v>35</v>
      </c>
      <c r="F7" s="461" t="e">
        <v>#REF!</v>
      </c>
      <c r="G7" s="462"/>
      <c r="H7" s="602"/>
      <c r="I7" s="549"/>
      <c r="J7" s="185" t="s">
        <v>35</v>
      </c>
      <c r="K7" s="461" t="e">
        <v>#REF!</v>
      </c>
      <c r="L7" s="462"/>
      <c r="M7" s="546"/>
      <c r="N7" s="546"/>
      <c r="O7" s="185" t="s">
        <v>35</v>
      </c>
      <c r="P7" s="461" t="e">
        <v>#REF!</v>
      </c>
      <c r="Q7" s="462"/>
      <c r="R7" s="546"/>
      <c r="S7" s="546"/>
      <c r="T7" s="185" t="s">
        <v>35</v>
      </c>
      <c r="U7" s="461" t="e">
        <v>#REF!</v>
      </c>
      <c r="V7" s="462"/>
      <c r="W7" s="546"/>
      <c r="X7" s="546"/>
      <c r="Y7" s="185" t="s">
        <v>35</v>
      </c>
      <c r="Z7" s="461" t="e">
        <v>#REF!</v>
      </c>
      <c r="AA7" s="462"/>
      <c r="AB7" s="546"/>
      <c r="AC7" s="546"/>
      <c r="AD7" s="185" t="s">
        <v>35</v>
      </c>
      <c r="AE7" s="461" t="e">
        <v>#REF!</v>
      </c>
      <c r="AF7" s="465"/>
    </row>
    <row r="8" spans="2:32" ht="12.6" customHeight="1" x14ac:dyDescent="0.2">
      <c r="B8" s="505" t="e">
        <v>#REF!</v>
      </c>
      <c r="C8" s="471" t="e">
        <v>#REF!</v>
      </c>
      <c r="D8" s="480"/>
      <c r="E8" s="591" t="e">
        <v>#REF!</v>
      </c>
      <c r="F8" s="591"/>
      <c r="G8" s="592"/>
      <c r="H8" s="472" t="e">
        <v>#REF!</v>
      </c>
      <c r="I8" s="480"/>
      <c r="J8" s="591" t="e">
        <v>#REF!</v>
      </c>
      <c r="K8" s="591"/>
      <c r="L8" s="592"/>
      <c r="M8" s="493" t="e">
        <v>#REF!</v>
      </c>
      <c r="N8" s="480"/>
      <c r="O8" s="591" t="e">
        <v>#REF!</v>
      </c>
      <c r="P8" s="591"/>
      <c r="Q8" s="592"/>
      <c r="R8" s="493" t="e">
        <v>#REF!</v>
      </c>
      <c r="S8" s="480"/>
      <c r="T8" s="591" t="e">
        <v>#REF!</v>
      </c>
      <c r="U8" s="591"/>
      <c r="V8" s="592"/>
      <c r="W8" s="493" t="e">
        <v>#REF!</v>
      </c>
      <c r="X8" s="480"/>
      <c r="Y8" s="591" t="e">
        <v>#REF!</v>
      </c>
      <c r="Z8" s="591"/>
      <c r="AA8" s="592"/>
      <c r="AB8" s="493" t="e">
        <v>#REF!</v>
      </c>
      <c r="AC8" s="480"/>
      <c r="AD8" s="591" t="e">
        <v>#REF!</v>
      </c>
      <c r="AE8" s="591"/>
      <c r="AF8" s="595"/>
    </row>
    <row r="9" spans="2:32" ht="12.6" customHeight="1" x14ac:dyDescent="0.2">
      <c r="B9" s="507"/>
      <c r="C9" s="600"/>
      <c r="D9" s="601"/>
      <c r="E9" s="593"/>
      <c r="F9" s="593"/>
      <c r="G9" s="594"/>
      <c r="H9" s="601"/>
      <c r="I9" s="601"/>
      <c r="J9" s="593"/>
      <c r="K9" s="593"/>
      <c r="L9" s="594"/>
      <c r="M9" s="481"/>
      <c r="N9" s="482"/>
      <c r="O9" s="593"/>
      <c r="P9" s="593"/>
      <c r="Q9" s="594"/>
      <c r="R9" s="481"/>
      <c r="S9" s="482"/>
      <c r="T9" s="593"/>
      <c r="U9" s="593"/>
      <c r="V9" s="594"/>
      <c r="W9" s="481"/>
      <c r="X9" s="482"/>
      <c r="Y9" s="593"/>
      <c r="Z9" s="593"/>
      <c r="AA9" s="594"/>
      <c r="AB9" s="481"/>
      <c r="AC9" s="482"/>
      <c r="AD9" s="593"/>
      <c r="AE9" s="593"/>
      <c r="AF9" s="596"/>
    </row>
    <row r="10" spans="2:32" ht="12.6" customHeight="1" x14ac:dyDescent="0.2">
      <c r="B10" s="507"/>
      <c r="C10" s="550"/>
      <c r="D10" s="546"/>
      <c r="E10" s="491" t="e">
        <v>#REF!</v>
      </c>
      <c r="F10" s="491"/>
      <c r="G10" s="492"/>
      <c r="H10" s="546"/>
      <c r="I10" s="546"/>
      <c r="J10" s="491" t="e">
        <v>#REF!</v>
      </c>
      <c r="K10" s="491"/>
      <c r="L10" s="492"/>
      <c r="M10" s="546"/>
      <c r="N10" s="546"/>
      <c r="O10" s="491" t="e">
        <v>#REF!</v>
      </c>
      <c r="P10" s="491"/>
      <c r="Q10" s="492"/>
      <c r="R10" s="546"/>
      <c r="S10" s="546"/>
      <c r="T10" s="491" t="e">
        <v>#REF!</v>
      </c>
      <c r="U10" s="491"/>
      <c r="V10" s="492"/>
      <c r="W10" s="546"/>
      <c r="X10" s="546"/>
      <c r="Y10" s="491" t="e">
        <v>#REF!</v>
      </c>
      <c r="Z10" s="491"/>
      <c r="AA10" s="492"/>
      <c r="AB10" s="546"/>
      <c r="AC10" s="546"/>
      <c r="AD10" s="491" t="s">
        <v>155</v>
      </c>
      <c r="AE10" s="491"/>
      <c r="AF10" s="497"/>
    </row>
    <row r="11" spans="2:32" ht="12.6" customHeight="1" x14ac:dyDescent="0.2">
      <c r="B11" s="507"/>
      <c r="C11" s="550"/>
      <c r="D11" s="546"/>
      <c r="E11" s="29" t="s">
        <v>34</v>
      </c>
      <c r="F11" s="486" t="e">
        <v>#REF!</v>
      </c>
      <c r="G11" s="496"/>
      <c r="H11" s="546"/>
      <c r="I11" s="546"/>
      <c r="J11" s="29" t="s">
        <v>34</v>
      </c>
      <c r="K11" s="486" t="e">
        <v>#REF!</v>
      </c>
      <c r="L11" s="496"/>
      <c r="M11" s="546"/>
      <c r="N11" s="546"/>
      <c r="O11" s="29" t="s">
        <v>34</v>
      </c>
      <c r="P11" s="486" t="e">
        <v>#REF!</v>
      </c>
      <c r="Q11" s="496"/>
      <c r="R11" s="546"/>
      <c r="S11" s="546"/>
      <c r="T11" s="29" t="s">
        <v>34</v>
      </c>
      <c r="U11" s="486" t="e">
        <v>#REF!</v>
      </c>
      <c r="V11" s="496"/>
      <c r="W11" s="546"/>
      <c r="X11" s="546"/>
      <c r="Y11" s="29" t="s">
        <v>34</v>
      </c>
      <c r="Z11" s="486" t="e">
        <v>#REF!</v>
      </c>
      <c r="AA11" s="496"/>
      <c r="AB11" s="546"/>
      <c r="AC11" s="546"/>
      <c r="AD11" s="29" t="s">
        <v>34</v>
      </c>
      <c r="AE11" s="486" t="e">
        <v>#REF!</v>
      </c>
      <c r="AF11" s="487"/>
    </row>
    <row r="12" spans="2:32" ht="12.6" customHeight="1" x14ac:dyDescent="0.2">
      <c r="B12" s="508"/>
      <c r="C12" s="550"/>
      <c r="D12" s="546"/>
      <c r="E12" s="185" t="s">
        <v>35</v>
      </c>
      <c r="F12" s="461" t="e">
        <v>#REF!</v>
      </c>
      <c r="G12" s="462"/>
      <c r="H12" s="546"/>
      <c r="I12" s="546"/>
      <c r="J12" s="185" t="s">
        <v>35</v>
      </c>
      <c r="K12" s="461" t="e">
        <v>#REF!</v>
      </c>
      <c r="L12" s="462"/>
      <c r="M12" s="546"/>
      <c r="N12" s="546"/>
      <c r="O12" s="185" t="s">
        <v>35</v>
      </c>
      <c r="P12" s="461" t="e">
        <v>#REF!</v>
      </c>
      <c r="Q12" s="462"/>
      <c r="R12" s="546"/>
      <c r="S12" s="546"/>
      <c r="T12" s="185" t="s">
        <v>35</v>
      </c>
      <c r="U12" s="461" t="e">
        <v>#REF!</v>
      </c>
      <c r="V12" s="462"/>
      <c r="W12" s="546"/>
      <c r="X12" s="546"/>
      <c r="Y12" s="185" t="s">
        <v>35</v>
      </c>
      <c r="Z12" s="461" t="e">
        <v>#REF!</v>
      </c>
      <c r="AA12" s="462"/>
      <c r="AB12" s="546"/>
      <c r="AC12" s="546"/>
      <c r="AD12" s="185" t="s">
        <v>35</v>
      </c>
      <c r="AE12" s="461" t="e">
        <v>#REF!</v>
      </c>
      <c r="AF12" s="465"/>
    </row>
    <row r="13" spans="2:32" ht="12.6" customHeight="1" x14ac:dyDescent="0.2">
      <c r="B13" s="505" t="e">
        <v>#REF!</v>
      </c>
      <c r="C13" s="471" t="e">
        <v>#REF!</v>
      </c>
      <c r="D13" s="480"/>
      <c r="E13" s="591" t="e">
        <v>#REF!</v>
      </c>
      <c r="F13" s="591"/>
      <c r="G13" s="592"/>
      <c r="H13" s="479" t="e">
        <v>#REF!</v>
      </c>
      <c r="I13" s="480"/>
      <c r="J13" s="591" t="e">
        <v>#REF!</v>
      </c>
      <c r="K13" s="591"/>
      <c r="L13" s="592"/>
      <c r="M13" s="493" t="e">
        <v>#REF!</v>
      </c>
      <c r="N13" s="480"/>
      <c r="O13" s="591" t="e">
        <v>#REF!</v>
      </c>
      <c r="P13" s="591"/>
      <c r="Q13" s="592"/>
      <c r="R13" s="493" t="e">
        <v>#REF!</v>
      </c>
      <c r="S13" s="480"/>
      <c r="T13" s="591" t="e">
        <v>#REF!</v>
      </c>
      <c r="U13" s="591"/>
      <c r="V13" s="592"/>
      <c r="W13" s="493" t="e">
        <v>#REF!</v>
      </c>
      <c r="X13" s="480"/>
      <c r="Y13" s="591" t="e">
        <v>#REF!</v>
      </c>
      <c r="Z13" s="591"/>
      <c r="AA13" s="592"/>
      <c r="AB13" s="493" t="e">
        <v>#REF!</v>
      </c>
      <c r="AC13" s="480"/>
      <c r="AD13" s="591" t="e">
        <v>#REF!</v>
      </c>
      <c r="AE13" s="591"/>
      <c r="AF13" s="595"/>
    </row>
    <row r="14" spans="2:32" ht="12.6" customHeight="1" x14ac:dyDescent="0.2">
      <c r="B14" s="507"/>
      <c r="C14" s="597"/>
      <c r="D14" s="482"/>
      <c r="E14" s="593"/>
      <c r="F14" s="593"/>
      <c r="G14" s="594"/>
      <c r="H14" s="481"/>
      <c r="I14" s="482"/>
      <c r="J14" s="593"/>
      <c r="K14" s="593"/>
      <c r="L14" s="594"/>
      <c r="M14" s="481"/>
      <c r="N14" s="482"/>
      <c r="O14" s="593"/>
      <c r="P14" s="593"/>
      <c r="Q14" s="594"/>
      <c r="R14" s="481"/>
      <c r="S14" s="482"/>
      <c r="T14" s="593"/>
      <c r="U14" s="593"/>
      <c r="V14" s="594"/>
      <c r="W14" s="481"/>
      <c r="X14" s="482"/>
      <c r="Y14" s="593"/>
      <c r="Z14" s="593"/>
      <c r="AA14" s="594"/>
      <c r="AB14" s="481"/>
      <c r="AC14" s="482"/>
      <c r="AD14" s="593"/>
      <c r="AE14" s="593"/>
      <c r="AF14" s="596"/>
    </row>
    <row r="15" spans="2:32" ht="12.6" customHeight="1" x14ac:dyDescent="0.2">
      <c r="B15" s="507"/>
      <c r="C15" s="550"/>
      <c r="D15" s="546"/>
      <c r="E15" s="491" t="e">
        <v>#REF!</v>
      </c>
      <c r="F15" s="491"/>
      <c r="G15" s="492"/>
      <c r="H15" s="546"/>
      <c r="I15" s="546"/>
      <c r="J15" s="491" t="e">
        <v>#REF!</v>
      </c>
      <c r="K15" s="491"/>
      <c r="L15" s="492"/>
      <c r="M15" s="546"/>
      <c r="N15" s="546"/>
      <c r="O15" s="491" t="e">
        <v>#REF!</v>
      </c>
      <c r="P15" s="491"/>
      <c r="Q15" s="492"/>
      <c r="R15" s="546"/>
      <c r="S15" s="546"/>
      <c r="T15" s="491" t="e">
        <v>#REF!</v>
      </c>
      <c r="U15" s="491"/>
      <c r="V15" s="492"/>
      <c r="W15" s="546"/>
      <c r="X15" s="546"/>
      <c r="Y15" s="491" t="e">
        <v>#REF!</v>
      </c>
      <c r="Z15" s="491"/>
      <c r="AA15" s="492"/>
      <c r="AB15" s="546"/>
      <c r="AC15" s="546"/>
      <c r="AD15" s="491" t="e">
        <v>#REF!</v>
      </c>
      <c r="AE15" s="491"/>
      <c r="AF15" s="497"/>
    </row>
    <row r="16" spans="2:32" ht="12.6" customHeight="1" x14ac:dyDescent="0.2">
      <c r="B16" s="586"/>
      <c r="C16" s="550"/>
      <c r="D16" s="546"/>
      <c r="E16" s="29" t="s">
        <v>34</v>
      </c>
      <c r="F16" s="486" t="e">
        <v>#REF!</v>
      </c>
      <c r="G16" s="496"/>
      <c r="H16" s="546"/>
      <c r="I16" s="546"/>
      <c r="J16" s="29" t="s">
        <v>34</v>
      </c>
      <c r="K16" s="486" t="e">
        <v>#REF!</v>
      </c>
      <c r="L16" s="496"/>
      <c r="M16" s="546"/>
      <c r="N16" s="546"/>
      <c r="O16" s="29" t="s">
        <v>34</v>
      </c>
      <c r="P16" s="486" t="e">
        <v>#REF!</v>
      </c>
      <c r="Q16" s="496"/>
      <c r="R16" s="546"/>
      <c r="S16" s="546"/>
      <c r="T16" s="29" t="s">
        <v>34</v>
      </c>
      <c r="U16" s="486" t="e">
        <v>#REF!</v>
      </c>
      <c r="V16" s="496"/>
      <c r="W16" s="546"/>
      <c r="X16" s="546"/>
      <c r="Y16" s="29" t="s">
        <v>34</v>
      </c>
      <c r="Z16" s="486" t="e">
        <v>#REF!</v>
      </c>
      <c r="AA16" s="496"/>
      <c r="AB16" s="546"/>
      <c r="AC16" s="546"/>
      <c r="AD16" s="29" t="s">
        <v>34</v>
      </c>
      <c r="AE16" s="486" t="e">
        <v>#REF!</v>
      </c>
      <c r="AF16" s="487"/>
    </row>
    <row r="17" spans="2:32" ht="12.6" customHeight="1" x14ac:dyDescent="0.2">
      <c r="B17" s="587"/>
      <c r="C17" s="550"/>
      <c r="D17" s="546"/>
      <c r="E17" s="185" t="s">
        <v>35</v>
      </c>
      <c r="F17" s="461" t="e">
        <v>#REF!</v>
      </c>
      <c r="G17" s="462"/>
      <c r="H17" s="546"/>
      <c r="I17" s="546"/>
      <c r="J17" s="185" t="s">
        <v>35</v>
      </c>
      <c r="K17" s="461" t="e">
        <v>#REF!</v>
      </c>
      <c r="L17" s="462"/>
      <c r="M17" s="546"/>
      <c r="N17" s="546"/>
      <c r="O17" s="185" t="s">
        <v>35</v>
      </c>
      <c r="P17" s="461" t="e">
        <v>#REF!</v>
      </c>
      <c r="Q17" s="462"/>
      <c r="R17" s="546"/>
      <c r="S17" s="546"/>
      <c r="T17" s="185" t="s">
        <v>35</v>
      </c>
      <c r="U17" s="461" t="e">
        <v>#REF!</v>
      </c>
      <c r="V17" s="462"/>
      <c r="W17" s="546"/>
      <c r="X17" s="546"/>
      <c r="Y17" s="185" t="s">
        <v>35</v>
      </c>
      <c r="Z17" s="461" t="e">
        <v>#REF!</v>
      </c>
      <c r="AA17" s="462"/>
      <c r="AB17" s="546"/>
      <c r="AC17" s="546"/>
      <c r="AD17" s="185" t="s">
        <v>35</v>
      </c>
      <c r="AE17" s="461" t="e">
        <v>#REF!</v>
      </c>
      <c r="AF17" s="465"/>
    </row>
    <row r="18" spans="2:32" ht="12.6" customHeight="1" x14ac:dyDescent="0.2">
      <c r="B18" s="505" t="e">
        <v>#REF!</v>
      </c>
      <c r="C18" s="471" t="e">
        <v>#REF!</v>
      </c>
      <c r="D18" s="588"/>
      <c r="E18" s="591" t="e">
        <v>#REF!</v>
      </c>
      <c r="F18" s="591"/>
      <c r="G18" s="592"/>
      <c r="H18" s="479" t="e">
        <v>#REF!</v>
      </c>
      <c r="I18" s="480"/>
      <c r="J18" s="591" t="e">
        <v>#REF!</v>
      </c>
      <c r="K18" s="591"/>
      <c r="L18" s="592"/>
      <c r="M18" s="493" t="e">
        <v>#REF!</v>
      </c>
      <c r="N18" s="480"/>
      <c r="O18" s="591" t="e">
        <v>#REF!</v>
      </c>
      <c r="P18" s="591"/>
      <c r="Q18" s="592"/>
      <c r="R18" s="493" t="e">
        <v>#REF!</v>
      </c>
      <c r="S18" s="480"/>
      <c r="T18" s="591" t="e">
        <v>#REF!</v>
      </c>
      <c r="U18" s="591"/>
      <c r="V18" s="592"/>
      <c r="W18" s="493" t="e">
        <v>#REF!</v>
      </c>
      <c r="X18" s="480"/>
      <c r="Y18" s="591" t="e">
        <v>#REF!</v>
      </c>
      <c r="Z18" s="591"/>
      <c r="AA18" s="592"/>
      <c r="AB18" s="493" t="e">
        <v>#REF!</v>
      </c>
      <c r="AC18" s="480"/>
      <c r="AD18" s="591" t="e">
        <v>#REF!</v>
      </c>
      <c r="AE18" s="591"/>
      <c r="AF18" s="595"/>
    </row>
    <row r="19" spans="2:32" ht="12.6" customHeight="1" x14ac:dyDescent="0.2">
      <c r="B19" s="507"/>
      <c r="C19" s="589"/>
      <c r="D19" s="590"/>
      <c r="E19" s="593"/>
      <c r="F19" s="593"/>
      <c r="G19" s="594"/>
      <c r="H19" s="481"/>
      <c r="I19" s="482"/>
      <c r="J19" s="593"/>
      <c r="K19" s="593"/>
      <c r="L19" s="594"/>
      <c r="M19" s="481"/>
      <c r="N19" s="482"/>
      <c r="O19" s="593"/>
      <c r="P19" s="593"/>
      <c r="Q19" s="594"/>
      <c r="R19" s="481"/>
      <c r="S19" s="482"/>
      <c r="T19" s="593"/>
      <c r="U19" s="593"/>
      <c r="V19" s="594"/>
      <c r="W19" s="481"/>
      <c r="X19" s="482"/>
      <c r="Y19" s="593"/>
      <c r="Z19" s="593"/>
      <c r="AA19" s="594"/>
      <c r="AB19" s="481"/>
      <c r="AC19" s="482"/>
      <c r="AD19" s="593"/>
      <c r="AE19" s="593"/>
      <c r="AF19" s="596"/>
    </row>
    <row r="20" spans="2:32" ht="12.6" customHeight="1" x14ac:dyDescent="0.2">
      <c r="B20" s="507"/>
      <c r="C20" s="550"/>
      <c r="D20" s="546"/>
      <c r="E20" s="491" t="e">
        <v>#REF!</v>
      </c>
      <c r="F20" s="491"/>
      <c r="G20" s="492"/>
      <c r="H20" s="546"/>
      <c r="I20" s="546"/>
      <c r="J20" s="491" t="e">
        <v>#REF!</v>
      </c>
      <c r="K20" s="491"/>
      <c r="L20" s="492"/>
      <c r="M20" s="546"/>
      <c r="N20" s="546"/>
      <c r="O20" s="491" t="e">
        <v>#REF!</v>
      </c>
      <c r="P20" s="491"/>
      <c r="Q20" s="492"/>
      <c r="R20" s="546"/>
      <c r="S20" s="546"/>
      <c r="T20" s="491" t="e">
        <v>#REF!</v>
      </c>
      <c r="U20" s="491"/>
      <c r="V20" s="492"/>
      <c r="W20" s="546"/>
      <c r="X20" s="546"/>
      <c r="Y20" s="491" t="e">
        <v>#REF!</v>
      </c>
      <c r="Z20" s="491"/>
      <c r="AA20" s="492"/>
      <c r="AB20" s="546"/>
      <c r="AC20" s="546"/>
      <c r="AD20" s="491" t="e">
        <v>#REF!</v>
      </c>
      <c r="AE20" s="491"/>
      <c r="AF20" s="497"/>
    </row>
    <row r="21" spans="2:32" ht="12.6" customHeight="1" x14ac:dyDescent="0.2">
      <c r="B21" s="586"/>
      <c r="C21" s="550"/>
      <c r="D21" s="546"/>
      <c r="E21" s="29" t="s">
        <v>34</v>
      </c>
      <c r="F21" s="486" t="e">
        <v>#REF!</v>
      </c>
      <c r="G21" s="496"/>
      <c r="H21" s="546"/>
      <c r="I21" s="546"/>
      <c r="J21" s="29" t="s">
        <v>34</v>
      </c>
      <c r="K21" s="486" t="e">
        <v>#REF!</v>
      </c>
      <c r="L21" s="496"/>
      <c r="M21" s="546"/>
      <c r="N21" s="546"/>
      <c r="O21" s="29" t="s">
        <v>34</v>
      </c>
      <c r="P21" s="486" t="e">
        <v>#REF!</v>
      </c>
      <c r="Q21" s="496"/>
      <c r="R21" s="546"/>
      <c r="S21" s="546"/>
      <c r="T21" s="29" t="s">
        <v>34</v>
      </c>
      <c r="U21" s="486" t="e">
        <v>#REF!</v>
      </c>
      <c r="V21" s="496"/>
      <c r="W21" s="546"/>
      <c r="X21" s="546"/>
      <c r="Y21" s="29" t="s">
        <v>34</v>
      </c>
      <c r="Z21" s="486" t="e">
        <v>#REF!</v>
      </c>
      <c r="AA21" s="496"/>
      <c r="AB21" s="546"/>
      <c r="AC21" s="546"/>
      <c r="AD21" s="29" t="s">
        <v>34</v>
      </c>
      <c r="AE21" s="486" t="e">
        <v>#REF!</v>
      </c>
      <c r="AF21" s="487"/>
    </row>
    <row r="22" spans="2:32" ht="12.6" customHeight="1" x14ac:dyDescent="0.2">
      <c r="B22" s="587"/>
      <c r="C22" s="550"/>
      <c r="D22" s="546"/>
      <c r="E22" s="185" t="s">
        <v>35</v>
      </c>
      <c r="F22" s="461" t="e">
        <v>#REF!</v>
      </c>
      <c r="G22" s="462"/>
      <c r="H22" s="546"/>
      <c r="I22" s="546"/>
      <c r="J22" s="185" t="s">
        <v>35</v>
      </c>
      <c r="K22" s="461" t="e">
        <v>#REF!</v>
      </c>
      <c r="L22" s="462"/>
      <c r="M22" s="546"/>
      <c r="N22" s="546"/>
      <c r="O22" s="185" t="s">
        <v>35</v>
      </c>
      <c r="P22" s="461" t="e">
        <v>#REF!</v>
      </c>
      <c r="Q22" s="462"/>
      <c r="R22" s="546"/>
      <c r="S22" s="546"/>
      <c r="T22" s="185" t="s">
        <v>35</v>
      </c>
      <c r="U22" s="461" t="e">
        <v>#REF!</v>
      </c>
      <c r="V22" s="462"/>
      <c r="W22" s="546"/>
      <c r="X22" s="546"/>
      <c r="Y22" s="185" t="s">
        <v>35</v>
      </c>
      <c r="Z22" s="461" t="e">
        <v>#REF!</v>
      </c>
      <c r="AA22" s="462"/>
      <c r="AB22" s="546"/>
      <c r="AC22" s="546"/>
      <c r="AD22" s="185" t="s">
        <v>35</v>
      </c>
      <c r="AE22" s="461" t="e">
        <v>#REF!</v>
      </c>
      <c r="AF22" s="465"/>
    </row>
    <row r="23" spans="2:32" ht="12.6" customHeight="1" x14ac:dyDescent="0.2">
      <c r="B23" s="505" t="e">
        <v>#REF!</v>
      </c>
      <c r="C23" s="566" t="e">
        <v>#REF!</v>
      </c>
      <c r="D23" s="480"/>
      <c r="E23" s="579" t="e">
        <v>#REF!</v>
      </c>
      <c r="F23" s="579"/>
      <c r="G23" s="583"/>
      <c r="H23" s="480" t="e">
        <v>#REF!</v>
      </c>
      <c r="I23" s="480"/>
      <c r="J23" s="579" t="e">
        <v>#REF!</v>
      </c>
      <c r="K23" s="579"/>
      <c r="L23" s="583"/>
      <c r="M23" s="480" t="e">
        <v>#REF!</v>
      </c>
      <c r="N23" s="480"/>
      <c r="O23" s="579" t="e">
        <v>#REF!</v>
      </c>
      <c r="P23" s="579"/>
      <c r="Q23" s="583"/>
      <c r="R23" s="480" t="e">
        <v>#REF!</v>
      </c>
      <c r="S23" s="480"/>
      <c r="T23" s="579" t="e">
        <v>#REF!</v>
      </c>
      <c r="U23" s="579"/>
      <c r="V23" s="583"/>
      <c r="W23" s="480" t="e">
        <v>#REF!</v>
      </c>
      <c r="X23" s="480"/>
      <c r="Y23" s="579" t="e">
        <v>#REF!</v>
      </c>
      <c r="Z23" s="579"/>
      <c r="AA23" s="583"/>
      <c r="AB23" s="480" t="e">
        <v>#REF!</v>
      </c>
      <c r="AC23" s="480"/>
      <c r="AD23" s="579" t="e">
        <v>#REF!</v>
      </c>
      <c r="AE23" s="579"/>
      <c r="AF23" s="580"/>
    </row>
    <row r="24" spans="2:32" ht="12.6" customHeight="1" x14ac:dyDescent="0.2">
      <c r="B24" s="507"/>
      <c r="C24" s="567"/>
      <c r="D24" s="495"/>
      <c r="E24" s="581"/>
      <c r="F24" s="581"/>
      <c r="G24" s="584"/>
      <c r="H24" s="495"/>
      <c r="I24" s="495"/>
      <c r="J24" s="581"/>
      <c r="K24" s="581"/>
      <c r="L24" s="584"/>
      <c r="M24" s="495"/>
      <c r="N24" s="495"/>
      <c r="O24" s="581"/>
      <c r="P24" s="581"/>
      <c r="Q24" s="584"/>
      <c r="R24" s="495"/>
      <c r="S24" s="495"/>
      <c r="T24" s="581"/>
      <c r="U24" s="581"/>
      <c r="V24" s="584"/>
      <c r="W24" s="495"/>
      <c r="X24" s="495"/>
      <c r="Y24" s="581"/>
      <c r="Z24" s="581"/>
      <c r="AA24" s="584"/>
      <c r="AB24" s="495"/>
      <c r="AC24" s="495"/>
      <c r="AD24" s="581"/>
      <c r="AE24" s="581"/>
      <c r="AF24" s="582"/>
    </row>
    <row r="25" spans="2:32" ht="12.6" customHeight="1" x14ac:dyDescent="0.2">
      <c r="B25" s="586"/>
      <c r="C25" s="550"/>
      <c r="D25" s="546"/>
      <c r="E25" s="581"/>
      <c r="F25" s="581"/>
      <c r="G25" s="584"/>
      <c r="H25" s="546"/>
      <c r="I25" s="546"/>
      <c r="J25" s="581"/>
      <c r="K25" s="581"/>
      <c r="L25" s="584"/>
      <c r="M25" s="546"/>
      <c r="N25" s="546"/>
      <c r="O25" s="581"/>
      <c r="P25" s="581"/>
      <c r="Q25" s="584"/>
      <c r="R25" s="546"/>
      <c r="S25" s="546"/>
      <c r="T25" s="581"/>
      <c r="U25" s="581"/>
      <c r="V25" s="584"/>
      <c r="W25" s="546"/>
      <c r="X25" s="546"/>
      <c r="Y25" s="581"/>
      <c r="Z25" s="581"/>
      <c r="AA25" s="584"/>
      <c r="AB25" s="546"/>
      <c r="AC25" s="546"/>
      <c r="AD25" s="581"/>
      <c r="AE25" s="581"/>
      <c r="AF25" s="582"/>
    </row>
    <row r="26" spans="2:32" ht="12.6" customHeight="1" x14ac:dyDescent="0.2">
      <c r="B26" s="586"/>
      <c r="C26" s="550"/>
      <c r="D26" s="546"/>
      <c r="E26" s="491" t="e">
        <v>#REF!</v>
      </c>
      <c r="F26" s="491"/>
      <c r="G26" s="492"/>
      <c r="H26" s="546"/>
      <c r="I26" s="546"/>
      <c r="J26" s="491" t="e">
        <v>#REF!</v>
      </c>
      <c r="K26" s="491"/>
      <c r="L26" s="492"/>
      <c r="M26" s="585"/>
      <c r="N26" s="546"/>
      <c r="O26" s="491" t="e">
        <v>#REF!</v>
      </c>
      <c r="P26" s="491"/>
      <c r="Q26" s="492"/>
      <c r="R26" s="546"/>
      <c r="S26" s="546"/>
      <c r="T26" s="491" t="e">
        <v>#REF!</v>
      </c>
      <c r="U26" s="491"/>
      <c r="V26" s="492"/>
      <c r="W26" s="585"/>
      <c r="X26" s="546"/>
      <c r="Y26" s="491" t="e">
        <v>#REF!</v>
      </c>
      <c r="Z26" s="491"/>
      <c r="AA26" s="492"/>
      <c r="AB26" s="546"/>
      <c r="AC26" s="546"/>
      <c r="AD26" s="491" t="e">
        <v>#REF!</v>
      </c>
      <c r="AE26" s="491"/>
      <c r="AF26" s="497"/>
    </row>
    <row r="27" spans="2:32" ht="12.6" customHeight="1" x14ac:dyDescent="0.2">
      <c r="B27" s="586"/>
      <c r="C27" s="550"/>
      <c r="D27" s="546"/>
      <c r="E27" s="29" t="s">
        <v>34</v>
      </c>
      <c r="F27" s="486" t="e">
        <v>#REF!</v>
      </c>
      <c r="G27" s="496"/>
      <c r="H27" s="546"/>
      <c r="I27" s="546"/>
      <c r="J27" s="29" t="s">
        <v>34</v>
      </c>
      <c r="K27" s="486" t="e">
        <v>#REF!</v>
      </c>
      <c r="L27" s="496"/>
      <c r="M27" s="546"/>
      <c r="N27" s="546"/>
      <c r="O27" s="29" t="s">
        <v>34</v>
      </c>
      <c r="P27" s="486" t="e">
        <v>#REF!</v>
      </c>
      <c r="Q27" s="496"/>
      <c r="R27" s="546"/>
      <c r="S27" s="546"/>
      <c r="T27" s="29" t="s">
        <v>34</v>
      </c>
      <c r="U27" s="486" t="e">
        <v>#REF!</v>
      </c>
      <c r="V27" s="496"/>
      <c r="W27" s="546"/>
      <c r="X27" s="546"/>
      <c r="Y27" s="29" t="s">
        <v>34</v>
      </c>
      <c r="Z27" s="486" t="e">
        <v>#REF!</v>
      </c>
      <c r="AA27" s="496"/>
      <c r="AB27" s="546"/>
      <c r="AC27" s="546"/>
      <c r="AD27" s="29" t="s">
        <v>34</v>
      </c>
      <c r="AE27" s="486" t="e">
        <v>#REF!</v>
      </c>
      <c r="AF27" s="487"/>
    </row>
    <row r="28" spans="2:32" ht="12.6" customHeight="1" x14ac:dyDescent="0.2">
      <c r="B28" s="587"/>
      <c r="C28" s="565"/>
      <c r="D28" s="549"/>
      <c r="E28" s="185" t="s">
        <v>35</v>
      </c>
      <c r="F28" s="461" t="e">
        <v>#REF!</v>
      </c>
      <c r="G28" s="462"/>
      <c r="H28" s="549"/>
      <c r="I28" s="549"/>
      <c r="J28" s="185" t="s">
        <v>35</v>
      </c>
      <c r="K28" s="461" t="e">
        <v>#REF!</v>
      </c>
      <c r="L28" s="462"/>
      <c r="M28" s="549"/>
      <c r="N28" s="549"/>
      <c r="O28" s="185" t="s">
        <v>35</v>
      </c>
      <c r="P28" s="461" t="e">
        <v>#REF!</v>
      </c>
      <c r="Q28" s="462"/>
      <c r="R28" s="549"/>
      <c r="S28" s="549"/>
      <c r="T28" s="185" t="s">
        <v>35</v>
      </c>
      <c r="U28" s="461" t="e">
        <v>#REF!</v>
      </c>
      <c r="V28" s="462"/>
      <c r="W28" s="549"/>
      <c r="X28" s="549"/>
      <c r="Y28" s="185" t="s">
        <v>35</v>
      </c>
      <c r="Z28" s="461" t="e">
        <v>#REF!</v>
      </c>
      <c r="AA28" s="462"/>
      <c r="AB28" s="549"/>
      <c r="AC28" s="549"/>
      <c r="AD28" s="185" t="s">
        <v>35</v>
      </c>
      <c r="AE28" s="461" t="e">
        <v>#REF!</v>
      </c>
      <c r="AF28" s="465"/>
    </row>
    <row r="29" spans="2:32" ht="12.6" customHeight="1" x14ac:dyDescent="0.2">
      <c r="B29" s="505" t="e">
        <v>#REF!</v>
      </c>
      <c r="C29" s="566" t="e">
        <v>#REF!</v>
      </c>
      <c r="D29" s="480"/>
      <c r="E29" s="475" t="e">
        <v>#REF!</v>
      </c>
      <c r="F29" s="475"/>
      <c r="G29" s="476"/>
      <c r="H29" s="493" t="e">
        <v>#REF!</v>
      </c>
      <c r="I29" s="480"/>
      <c r="J29" s="475" t="e">
        <v>#REF!</v>
      </c>
      <c r="K29" s="475"/>
      <c r="L29" s="476"/>
      <c r="M29" s="493" t="e">
        <v>#REF!</v>
      </c>
      <c r="N29" s="480"/>
      <c r="O29" s="475" t="e">
        <v>#REF!</v>
      </c>
      <c r="P29" s="475"/>
      <c r="Q29" s="476"/>
      <c r="R29" s="575" t="e">
        <v>#REF!</v>
      </c>
      <c r="S29" s="576"/>
      <c r="T29" s="475" t="e">
        <v>#REF!</v>
      </c>
      <c r="U29" s="475"/>
      <c r="V29" s="476"/>
      <c r="W29" s="493" t="e">
        <v>#REF!</v>
      </c>
      <c r="X29" s="480"/>
      <c r="Y29" s="475" t="e">
        <v>#REF!</v>
      </c>
      <c r="Z29" s="475"/>
      <c r="AA29" s="476"/>
      <c r="AB29" s="493" t="e">
        <v>#REF!</v>
      </c>
      <c r="AC29" s="480"/>
      <c r="AD29" s="475" t="e">
        <v>#REF!</v>
      </c>
      <c r="AE29" s="475"/>
      <c r="AF29" s="498"/>
    </row>
    <row r="30" spans="2:32" ht="12.6" customHeight="1" x14ac:dyDescent="0.2">
      <c r="B30" s="547"/>
      <c r="C30" s="567"/>
      <c r="D30" s="495"/>
      <c r="E30" s="556"/>
      <c r="F30" s="556"/>
      <c r="G30" s="557"/>
      <c r="H30" s="494"/>
      <c r="I30" s="495"/>
      <c r="J30" s="556"/>
      <c r="K30" s="556"/>
      <c r="L30" s="557"/>
      <c r="M30" s="572"/>
      <c r="N30" s="573"/>
      <c r="O30" s="556"/>
      <c r="P30" s="556"/>
      <c r="Q30" s="557"/>
      <c r="R30" s="577"/>
      <c r="S30" s="578"/>
      <c r="T30" s="556"/>
      <c r="U30" s="556"/>
      <c r="V30" s="557"/>
      <c r="W30" s="494"/>
      <c r="X30" s="495"/>
      <c r="Y30" s="556"/>
      <c r="Z30" s="556"/>
      <c r="AA30" s="557"/>
      <c r="AB30" s="572"/>
      <c r="AC30" s="573"/>
      <c r="AD30" s="556"/>
      <c r="AE30" s="556"/>
      <c r="AF30" s="574"/>
    </row>
    <row r="31" spans="2:32" ht="12.6" customHeight="1" x14ac:dyDescent="0.2">
      <c r="B31" s="547"/>
      <c r="C31" s="550"/>
      <c r="D31" s="546"/>
      <c r="E31" s="556"/>
      <c r="F31" s="556"/>
      <c r="G31" s="557"/>
      <c r="H31" s="546"/>
      <c r="I31" s="546"/>
      <c r="J31" s="556"/>
      <c r="K31" s="556"/>
      <c r="L31" s="557"/>
      <c r="M31" s="546"/>
      <c r="N31" s="546"/>
      <c r="O31" s="556"/>
      <c r="P31" s="556"/>
      <c r="Q31" s="557"/>
      <c r="R31" s="546"/>
      <c r="S31" s="546"/>
      <c r="T31" s="556"/>
      <c r="U31" s="556"/>
      <c r="V31" s="557"/>
      <c r="W31" s="546"/>
      <c r="X31" s="546"/>
      <c r="Y31" s="556"/>
      <c r="Z31" s="556"/>
      <c r="AA31" s="557"/>
      <c r="AB31" s="546"/>
      <c r="AC31" s="546"/>
      <c r="AD31" s="556"/>
      <c r="AE31" s="556"/>
      <c r="AF31" s="574"/>
    </row>
    <row r="32" spans="2:32" ht="12.6" customHeight="1" x14ac:dyDescent="0.2">
      <c r="B32" s="547"/>
      <c r="C32" s="550"/>
      <c r="D32" s="546"/>
      <c r="E32" s="491" t="e">
        <v>#REF!</v>
      </c>
      <c r="F32" s="491"/>
      <c r="G32" s="492"/>
      <c r="H32" s="546"/>
      <c r="I32" s="546"/>
      <c r="J32" s="491" t="e">
        <v>#REF!</v>
      </c>
      <c r="K32" s="491"/>
      <c r="L32" s="492"/>
      <c r="M32" s="546"/>
      <c r="N32" s="546"/>
      <c r="O32" s="491" t="e">
        <v>#REF!</v>
      </c>
      <c r="P32" s="491"/>
      <c r="Q32" s="492"/>
      <c r="R32" s="546"/>
      <c r="S32" s="546"/>
      <c r="T32" s="491" t="e">
        <v>#REF!</v>
      </c>
      <c r="U32" s="491"/>
      <c r="V32" s="492"/>
      <c r="W32" s="546"/>
      <c r="X32" s="546"/>
      <c r="Y32" s="491" t="e">
        <v>#REF!</v>
      </c>
      <c r="Z32" s="491"/>
      <c r="AA32" s="492"/>
      <c r="AB32" s="546"/>
      <c r="AC32" s="546"/>
      <c r="AD32" s="491" t="e">
        <v>#REF!</v>
      </c>
      <c r="AE32" s="491"/>
      <c r="AF32" s="497"/>
    </row>
    <row r="33" spans="1:32" ht="12.6" customHeight="1" x14ac:dyDescent="0.2">
      <c r="B33" s="547"/>
      <c r="C33" s="550"/>
      <c r="D33" s="546"/>
      <c r="E33" s="29" t="s">
        <v>34</v>
      </c>
      <c r="F33" s="486" t="e">
        <v>#REF!</v>
      </c>
      <c r="G33" s="496"/>
      <c r="H33" s="546"/>
      <c r="I33" s="546"/>
      <c r="J33" s="29" t="s">
        <v>34</v>
      </c>
      <c r="K33" s="486" t="e">
        <v>#REF!</v>
      </c>
      <c r="L33" s="496"/>
      <c r="M33" s="546"/>
      <c r="N33" s="546"/>
      <c r="O33" s="29" t="s">
        <v>34</v>
      </c>
      <c r="P33" s="486" t="e">
        <v>#REF!</v>
      </c>
      <c r="Q33" s="496"/>
      <c r="R33" s="546"/>
      <c r="S33" s="546"/>
      <c r="T33" s="29" t="s">
        <v>34</v>
      </c>
      <c r="U33" s="486" t="e">
        <v>#REF!</v>
      </c>
      <c r="V33" s="496"/>
      <c r="W33" s="546"/>
      <c r="X33" s="546"/>
      <c r="Y33" s="29" t="s">
        <v>34</v>
      </c>
      <c r="Z33" s="486" t="e">
        <v>#REF!</v>
      </c>
      <c r="AA33" s="496"/>
      <c r="AB33" s="546"/>
      <c r="AC33" s="546"/>
      <c r="AD33" s="29" t="s">
        <v>34</v>
      </c>
      <c r="AE33" s="486" t="e">
        <v>#REF!</v>
      </c>
      <c r="AF33" s="487"/>
    </row>
    <row r="34" spans="1:32" ht="12.6" customHeight="1" x14ac:dyDescent="0.2">
      <c r="B34" s="548"/>
      <c r="C34" s="565"/>
      <c r="D34" s="549"/>
      <c r="E34" s="185" t="s">
        <v>35</v>
      </c>
      <c r="F34" s="461" t="e">
        <v>#REF!</v>
      </c>
      <c r="G34" s="462"/>
      <c r="H34" s="549"/>
      <c r="I34" s="549"/>
      <c r="J34" s="185" t="s">
        <v>35</v>
      </c>
      <c r="K34" s="461" t="e">
        <v>#REF!</v>
      </c>
      <c r="L34" s="462"/>
      <c r="M34" s="549"/>
      <c r="N34" s="549"/>
      <c r="O34" s="185" t="s">
        <v>35</v>
      </c>
      <c r="P34" s="461" t="e">
        <v>#REF!</v>
      </c>
      <c r="Q34" s="462"/>
      <c r="R34" s="549"/>
      <c r="S34" s="549"/>
      <c r="T34" s="185" t="s">
        <v>35</v>
      </c>
      <c r="U34" s="461" t="e">
        <v>#REF!</v>
      </c>
      <c r="V34" s="462"/>
      <c r="W34" s="549"/>
      <c r="X34" s="549"/>
      <c r="Y34" s="185" t="s">
        <v>35</v>
      </c>
      <c r="Z34" s="461" t="e">
        <v>#REF!</v>
      </c>
      <c r="AA34" s="462"/>
      <c r="AB34" s="549"/>
      <c r="AC34" s="549"/>
      <c r="AD34" s="185" t="s">
        <v>35</v>
      </c>
      <c r="AE34" s="461" t="e">
        <v>#REF!</v>
      </c>
      <c r="AF34" s="465"/>
    </row>
    <row r="35" spans="1:32" ht="12.6" customHeight="1" x14ac:dyDescent="0.2">
      <c r="B35" s="506" t="e">
        <v>#REF!</v>
      </c>
      <c r="C35" s="566" t="e">
        <v>#REF!</v>
      </c>
      <c r="D35" s="480"/>
      <c r="E35" s="475" t="e">
        <v>#REF!</v>
      </c>
      <c r="F35" s="475"/>
      <c r="G35" s="476"/>
      <c r="H35" s="568" t="e">
        <v>#REF!</v>
      </c>
      <c r="I35" s="569"/>
      <c r="J35" s="475" t="e">
        <v>#REF!</v>
      </c>
      <c r="K35" s="570"/>
      <c r="L35" s="571"/>
      <c r="M35" s="568" t="e">
        <v>#REF!</v>
      </c>
      <c r="N35" s="569"/>
      <c r="O35" s="475" t="e">
        <v>#REF!</v>
      </c>
      <c r="P35" s="475"/>
      <c r="Q35" s="476"/>
      <c r="R35" s="568" t="e">
        <v>#REF!</v>
      </c>
      <c r="S35" s="569"/>
      <c r="T35" s="475" t="e">
        <v>#REF!</v>
      </c>
      <c r="U35" s="475"/>
      <c r="V35" s="476"/>
      <c r="W35" s="493" t="e">
        <v>#REF!</v>
      </c>
      <c r="X35" s="480"/>
      <c r="Y35" s="475" t="e">
        <v>#REF!</v>
      </c>
      <c r="Z35" s="475"/>
      <c r="AA35" s="476"/>
      <c r="AB35" s="568" t="e">
        <v>#REF!</v>
      </c>
      <c r="AC35" s="569"/>
      <c r="AD35" s="475" t="e">
        <v>#REF!</v>
      </c>
      <c r="AE35" s="475"/>
      <c r="AF35" s="498"/>
    </row>
    <row r="36" spans="1:32" ht="12.6" customHeight="1" x14ac:dyDescent="0.2">
      <c r="B36" s="547"/>
      <c r="C36" s="567"/>
      <c r="D36" s="495"/>
      <c r="E36" s="556"/>
      <c r="F36" s="556"/>
      <c r="G36" s="557"/>
      <c r="H36" s="551"/>
      <c r="I36" s="552"/>
      <c r="J36" s="556"/>
      <c r="K36" s="556"/>
      <c r="L36" s="557"/>
      <c r="M36" s="551"/>
      <c r="N36" s="552"/>
      <c r="O36" s="558"/>
      <c r="P36" s="558"/>
      <c r="Q36" s="559"/>
      <c r="R36" s="551"/>
      <c r="S36" s="552"/>
      <c r="T36" s="558"/>
      <c r="U36" s="558"/>
      <c r="V36" s="559"/>
      <c r="W36" s="494"/>
      <c r="X36" s="495"/>
      <c r="Y36" s="558"/>
      <c r="Z36" s="558"/>
      <c r="AA36" s="559"/>
      <c r="AB36" s="551"/>
      <c r="AC36" s="552"/>
      <c r="AD36" s="558"/>
      <c r="AE36" s="558"/>
      <c r="AF36" s="564"/>
    </row>
    <row r="37" spans="1:32" ht="12.6" customHeight="1" x14ac:dyDescent="0.2">
      <c r="B37" s="547"/>
      <c r="C37" s="550"/>
      <c r="D37" s="546"/>
      <c r="E37" s="556"/>
      <c r="F37" s="556"/>
      <c r="G37" s="557"/>
      <c r="H37" s="546"/>
      <c r="I37" s="546"/>
      <c r="J37" s="556"/>
      <c r="K37" s="556"/>
      <c r="L37" s="557"/>
      <c r="M37" s="546"/>
      <c r="N37" s="546"/>
      <c r="O37" s="558"/>
      <c r="P37" s="558"/>
      <c r="Q37" s="559"/>
      <c r="R37" s="546"/>
      <c r="S37" s="546"/>
      <c r="T37" s="558"/>
      <c r="U37" s="558"/>
      <c r="V37" s="559"/>
      <c r="W37" s="546"/>
      <c r="X37" s="546"/>
      <c r="Y37" s="558"/>
      <c r="Z37" s="558"/>
      <c r="AA37" s="559"/>
      <c r="AB37" s="546"/>
      <c r="AC37" s="546"/>
      <c r="AD37" s="558"/>
      <c r="AE37" s="558"/>
      <c r="AF37" s="564"/>
    </row>
    <row r="38" spans="1:32" ht="12.6" customHeight="1" x14ac:dyDescent="0.2">
      <c r="B38" s="547"/>
      <c r="C38" s="550"/>
      <c r="D38" s="546"/>
      <c r="E38" s="491" t="e">
        <v>#REF!</v>
      </c>
      <c r="F38" s="491"/>
      <c r="G38" s="492"/>
      <c r="H38" s="546"/>
      <c r="I38" s="546"/>
      <c r="J38" s="491" t="e">
        <v>#REF!</v>
      </c>
      <c r="K38" s="491"/>
      <c r="L38" s="492"/>
      <c r="M38" s="546"/>
      <c r="N38" s="546"/>
      <c r="O38" s="491" t="e">
        <v>#REF!</v>
      </c>
      <c r="P38" s="491"/>
      <c r="Q38" s="492"/>
      <c r="R38" s="546"/>
      <c r="S38" s="546"/>
      <c r="T38" s="491" t="e">
        <v>#REF!</v>
      </c>
      <c r="U38" s="491"/>
      <c r="V38" s="492"/>
      <c r="W38" s="546"/>
      <c r="X38" s="546"/>
      <c r="Y38" s="491" t="e">
        <v>#REF!</v>
      </c>
      <c r="Z38" s="491"/>
      <c r="AA38" s="492"/>
      <c r="AB38" s="546"/>
      <c r="AC38" s="546"/>
      <c r="AD38" s="491" t="e">
        <v>#REF!</v>
      </c>
      <c r="AE38" s="491"/>
      <c r="AF38" s="497"/>
    </row>
    <row r="39" spans="1:32" ht="12.6" customHeight="1" x14ac:dyDescent="0.2">
      <c r="B39" s="547"/>
      <c r="C39" s="550"/>
      <c r="D39" s="546"/>
      <c r="E39" s="29" t="s">
        <v>34</v>
      </c>
      <c r="F39" s="486" t="e">
        <v>#REF!</v>
      </c>
      <c r="G39" s="496"/>
      <c r="H39" s="546"/>
      <c r="I39" s="546"/>
      <c r="J39" s="29" t="s">
        <v>34</v>
      </c>
      <c r="K39" s="486" t="e">
        <v>#REF!</v>
      </c>
      <c r="L39" s="496"/>
      <c r="M39" s="546"/>
      <c r="N39" s="546"/>
      <c r="O39" s="29" t="s">
        <v>34</v>
      </c>
      <c r="P39" s="486" t="e">
        <v>#REF!</v>
      </c>
      <c r="Q39" s="496"/>
      <c r="R39" s="546"/>
      <c r="S39" s="546"/>
      <c r="T39" s="29" t="s">
        <v>34</v>
      </c>
      <c r="U39" s="486" t="e">
        <v>#REF!</v>
      </c>
      <c r="V39" s="496"/>
      <c r="W39" s="546"/>
      <c r="X39" s="546"/>
      <c r="Y39" s="29" t="s">
        <v>34</v>
      </c>
      <c r="Z39" s="486" t="e">
        <v>#REF!</v>
      </c>
      <c r="AA39" s="496"/>
      <c r="AB39" s="546"/>
      <c r="AC39" s="546"/>
      <c r="AD39" s="29" t="s">
        <v>34</v>
      </c>
      <c r="AE39" s="486" t="e">
        <v>#REF!</v>
      </c>
      <c r="AF39" s="487"/>
    </row>
    <row r="40" spans="1:32" ht="12.6" customHeight="1" x14ac:dyDescent="0.2">
      <c r="B40" s="548"/>
      <c r="C40" s="565"/>
      <c r="D40" s="549"/>
      <c r="E40" s="185" t="s">
        <v>35</v>
      </c>
      <c r="F40" s="461" t="e">
        <v>#REF!</v>
      </c>
      <c r="G40" s="462"/>
      <c r="H40" s="549"/>
      <c r="I40" s="549"/>
      <c r="J40" s="185" t="s">
        <v>35</v>
      </c>
      <c r="K40" s="461" t="e">
        <v>#REF!</v>
      </c>
      <c r="L40" s="462"/>
      <c r="M40" s="549"/>
      <c r="N40" s="549"/>
      <c r="O40" s="185" t="s">
        <v>35</v>
      </c>
      <c r="P40" s="461" t="e">
        <v>#REF!</v>
      </c>
      <c r="Q40" s="462"/>
      <c r="R40" s="549"/>
      <c r="S40" s="549"/>
      <c r="T40" s="185" t="s">
        <v>35</v>
      </c>
      <c r="U40" s="461" t="e">
        <v>#REF!</v>
      </c>
      <c r="V40" s="462"/>
      <c r="W40" s="549"/>
      <c r="X40" s="549"/>
      <c r="Y40" s="185" t="s">
        <v>35</v>
      </c>
      <c r="Z40" s="461" t="e">
        <v>#REF!</v>
      </c>
      <c r="AA40" s="462"/>
      <c r="AB40" s="549"/>
      <c r="AC40" s="549"/>
      <c r="AD40" s="185" t="s">
        <v>35</v>
      </c>
      <c r="AE40" s="461" t="e">
        <v>#REF!</v>
      </c>
      <c r="AF40" s="465"/>
    </row>
    <row r="41" spans="1:32" ht="12.6" customHeight="1" x14ac:dyDescent="0.2">
      <c r="B41" s="505" t="e">
        <v>#REF!</v>
      </c>
      <c r="C41" s="555" t="e">
        <v>#REF!</v>
      </c>
      <c r="D41" s="552"/>
      <c r="E41" s="483" t="e">
        <v>#REF!</v>
      </c>
      <c r="F41" s="483"/>
      <c r="G41" s="484"/>
      <c r="H41" s="551" t="e">
        <v>#REF!</v>
      </c>
      <c r="I41" s="552"/>
      <c r="J41" s="483" t="e">
        <v>#REF!</v>
      </c>
      <c r="K41" s="556"/>
      <c r="L41" s="557"/>
      <c r="M41" s="551" t="e">
        <v>#REF!</v>
      </c>
      <c r="N41" s="552"/>
      <c r="O41" s="483" t="e">
        <v>#REF!</v>
      </c>
      <c r="P41" s="483"/>
      <c r="Q41" s="484"/>
      <c r="R41" s="551" t="e">
        <v>#REF!</v>
      </c>
      <c r="S41" s="552"/>
      <c r="T41" s="483" t="e">
        <v>#REF!</v>
      </c>
      <c r="U41" s="483"/>
      <c r="V41" s="484"/>
      <c r="W41" s="551" t="e">
        <v>#REF!</v>
      </c>
      <c r="X41" s="552"/>
      <c r="Y41" s="483" t="e">
        <v>#REF!</v>
      </c>
      <c r="Z41" s="483"/>
      <c r="AA41" s="484"/>
      <c r="AB41" s="551" t="e">
        <v>#REF!</v>
      </c>
      <c r="AC41" s="552"/>
      <c r="AD41" s="483" t="e">
        <v>#REF!</v>
      </c>
      <c r="AE41" s="483"/>
      <c r="AF41" s="499"/>
    </row>
    <row r="42" spans="1:32" ht="12.6" customHeight="1" x14ac:dyDescent="0.2">
      <c r="B42" s="547"/>
      <c r="C42" s="555"/>
      <c r="D42" s="552"/>
      <c r="E42" s="556"/>
      <c r="F42" s="556"/>
      <c r="G42" s="557"/>
      <c r="H42" s="551"/>
      <c r="I42" s="552"/>
      <c r="J42" s="556"/>
      <c r="K42" s="556"/>
      <c r="L42" s="557"/>
      <c r="M42" s="551"/>
      <c r="N42" s="552"/>
      <c r="O42" s="558"/>
      <c r="P42" s="558"/>
      <c r="Q42" s="559"/>
      <c r="R42" s="551"/>
      <c r="S42" s="552"/>
      <c r="T42" s="558"/>
      <c r="U42" s="558"/>
      <c r="V42" s="559"/>
      <c r="W42" s="551"/>
      <c r="X42" s="552"/>
      <c r="Y42" s="558"/>
      <c r="Z42" s="558"/>
      <c r="AA42" s="559"/>
      <c r="AB42" s="551"/>
      <c r="AC42" s="552"/>
      <c r="AD42" s="558"/>
      <c r="AE42" s="558"/>
      <c r="AF42" s="564"/>
    </row>
    <row r="43" spans="1:32" ht="12.6" customHeight="1" x14ac:dyDescent="0.2">
      <c r="B43" s="547"/>
      <c r="C43" s="550"/>
      <c r="D43" s="546"/>
      <c r="E43" s="556"/>
      <c r="F43" s="556"/>
      <c r="G43" s="557"/>
      <c r="H43" s="546"/>
      <c r="I43" s="546"/>
      <c r="J43" s="556"/>
      <c r="K43" s="556"/>
      <c r="L43" s="557"/>
      <c r="M43" s="546"/>
      <c r="N43" s="546"/>
      <c r="O43" s="558"/>
      <c r="P43" s="558"/>
      <c r="Q43" s="559"/>
      <c r="R43" s="546"/>
      <c r="S43" s="546"/>
      <c r="T43" s="558"/>
      <c r="U43" s="558"/>
      <c r="V43" s="559"/>
      <c r="W43" s="546"/>
      <c r="X43" s="546"/>
      <c r="Y43" s="558"/>
      <c r="Z43" s="558"/>
      <c r="AA43" s="559"/>
      <c r="AB43" s="546"/>
      <c r="AC43" s="546"/>
      <c r="AD43" s="558"/>
      <c r="AE43" s="558"/>
      <c r="AF43" s="564"/>
    </row>
    <row r="44" spans="1:32" ht="12.6" customHeight="1" x14ac:dyDescent="0.2">
      <c r="B44" s="547"/>
      <c r="C44" s="550"/>
      <c r="D44" s="546"/>
      <c r="E44" s="491" t="e">
        <v>#REF!</v>
      </c>
      <c r="F44" s="491"/>
      <c r="G44" s="492"/>
      <c r="H44" s="546"/>
      <c r="I44" s="546"/>
      <c r="J44" s="491" t="e">
        <v>#REF!</v>
      </c>
      <c r="K44" s="491"/>
      <c r="L44" s="492"/>
      <c r="M44" s="546"/>
      <c r="N44" s="546"/>
      <c r="O44" s="491" t="e">
        <v>#REF!</v>
      </c>
      <c r="P44" s="491"/>
      <c r="Q44" s="492"/>
      <c r="R44" s="546"/>
      <c r="S44" s="546"/>
      <c r="T44" s="491" t="e">
        <v>#REF!</v>
      </c>
      <c r="U44" s="491"/>
      <c r="V44" s="492"/>
      <c r="W44" s="546"/>
      <c r="X44" s="546"/>
      <c r="Y44" s="491" t="e">
        <v>#REF!</v>
      </c>
      <c r="Z44" s="491"/>
      <c r="AA44" s="492"/>
      <c r="AB44" s="546"/>
      <c r="AC44" s="546"/>
      <c r="AD44" s="491" t="e">
        <v>#REF!</v>
      </c>
      <c r="AE44" s="491"/>
      <c r="AF44" s="497"/>
    </row>
    <row r="45" spans="1:32" ht="12.6" customHeight="1" x14ac:dyDescent="0.2">
      <c r="B45" s="547"/>
      <c r="C45" s="550"/>
      <c r="D45" s="546"/>
      <c r="E45" s="29" t="s">
        <v>34</v>
      </c>
      <c r="F45" s="486" t="e">
        <v>#REF!</v>
      </c>
      <c r="G45" s="496"/>
      <c r="H45" s="546"/>
      <c r="I45" s="546"/>
      <c r="J45" s="29" t="s">
        <v>34</v>
      </c>
      <c r="K45" s="486" t="e">
        <v>#REF!</v>
      </c>
      <c r="L45" s="496"/>
      <c r="M45" s="546"/>
      <c r="N45" s="546"/>
      <c r="O45" s="29" t="s">
        <v>34</v>
      </c>
      <c r="P45" s="486" t="e">
        <v>#REF!</v>
      </c>
      <c r="Q45" s="496"/>
      <c r="R45" s="546"/>
      <c r="S45" s="546"/>
      <c r="T45" s="29" t="s">
        <v>34</v>
      </c>
      <c r="U45" s="486" t="e">
        <v>#REF!</v>
      </c>
      <c r="V45" s="496"/>
      <c r="W45" s="546"/>
      <c r="X45" s="546"/>
      <c r="Y45" s="29" t="s">
        <v>34</v>
      </c>
      <c r="Z45" s="486" t="e">
        <v>#REF!</v>
      </c>
      <c r="AA45" s="496"/>
      <c r="AB45" s="30" t="e">
        <v>#REF!</v>
      </c>
      <c r="AC45" s="30"/>
      <c r="AD45" s="29" t="s">
        <v>34</v>
      </c>
      <c r="AE45" s="486" t="e">
        <v>#REF!</v>
      </c>
      <c r="AF45" s="487"/>
    </row>
    <row r="46" spans="1:32" ht="12.6" customHeight="1" thickBot="1" x14ac:dyDescent="0.25">
      <c r="B46" s="548"/>
      <c r="C46" s="553"/>
      <c r="D46" s="545"/>
      <c r="E46" s="186" t="s">
        <v>35</v>
      </c>
      <c r="F46" s="461" t="e">
        <v>#REF!</v>
      </c>
      <c r="G46" s="462"/>
      <c r="H46" s="545"/>
      <c r="I46" s="545"/>
      <c r="J46" s="186" t="s">
        <v>35</v>
      </c>
      <c r="K46" s="461" t="e">
        <v>#REF!</v>
      </c>
      <c r="L46" s="462"/>
      <c r="M46" s="545"/>
      <c r="N46" s="545"/>
      <c r="O46" s="186" t="s">
        <v>35</v>
      </c>
      <c r="P46" s="461" t="e">
        <v>#REF!</v>
      </c>
      <c r="Q46" s="462"/>
      <c r="R46" s="545"/>
      <c r="S46" s="545"/>
      <c r="T46" s="186" t="s">
        <v>35</v>
      </c>
      <c r="U46" s="461" t="e">
        <v>#REF!</v>
      </c>
      <c r="V46" s="462"/>
      <c r="W46" s="545"/>
      <c r="X46" s="545"/>
      <c r="Y46" s="186" t="s">
        <v>35</v>
      </c>
      <c r="Z46" s="461" t="e">
        <v>#REF!</v>
      </c>
      <c r="AA46" s="462"/>
      <c r="AB46" s="187" t="e">
        <v>#REF!</v>
      </c>
      <c r="AC46" s="187"/>
      <c r="AD46" s="186" t="s">
        <v>35</v>
      </c>
      <c r="AE46" s="607" t="e">
        <v>#REF!</v>
      </c>
      <c r="AF46" s="608"/>
    </row>
    <row r="47" spans="1:32" customFormat="1" ht="12.6" customHeight="1" x14ac:dyDescent="0.2">
      <c r="A47" s="543" t="s">
        <v>36</v>
      </c>
      <c r="B47" s="560" t="e">
        <v>#REF!</v>
      </c>
      <c r="C47" s="188" t="e">
        <v>#REF!</v>
      </c>
      <c r="D47" s="189"/>
      <c r="E47" s="190" t="e">
        <v>#REF!</v>
      </c>
      <c r="F47" s="189"/>
      <c r="G47" s="189"/>
      <c r="H47" s="191" t="e">
        <v>#REF!</v>
      </c>
      <c r="I47" s="189"/>
      <c r="J47" s="190" t="e">
        <v>#REF!</v>
      </c>
      <c r="K47" s="192"/>
      <c r="L47" s="189"/>
      <c r="M47" s="191" t="e">
        <v>#REF!</v>
      </c>
      <c r="N47" s="193"/>
      <c r="O47" s="190" t="e">
        <v>#REF!</v>
      </c>
      <c r="P47" s="193"/>
      <c r="Q47" s="193"/>
      <c r="R47" s="191" t="e">
        <v>#REF!</v>
      </c>
      <c r="S47" s="193"/>
      <c r="T47" s="190" t="e">
        <v>#REF!</v>
      </c>
      <c r="U47" s="193"/>
      <c r="V47" s="193"/>
      <c r="W47" s="191" t="e">
        <v>#REF!</v>
      </c>
      <c r="X47" s="193"/>
      <c r="Y47" s="190" t="e">
        <v>#REF!</v>
      </c>
      <c r="Z47" s="193"/>
      <c r="AA47" s="189"/>
      <c r="AB47" s="191" t="e">
        <v>#REF!</v>
      </c>
      <c r="AC47" s="192"/>
      <c r="AD47" s="190" t="e">
        <v>#REF!</v>
      </c>
      <c r="AE47" s="189"/>
      <c r="AF47" s="194"/>
    </row>
    <row r="48" spans="1:32" customFormat="1" ht="12.6" customHeight="1" x14ac:dyDescent="0.2">
      <c r="A48" s="544"/>
      <c r="B48" s="561"/>
      <c r="C48" s="195" t="e">
        <v>#REF!</v>
      </c>
      <c r="D48" s="196"/>
      <c r="E48" s="197" t="e">
        <v>#REF!</v>
      </c>
      <c r="F48" s="196"/>
      <c r="G48" s="196"/>
      <c r="H48" s="198" t="e">
        <v>#REF!</v>
      </c>
      <c r="I48" s="196"/>
      <c r="J48" s="197" t="e">
        <v>#REF!</v>
      </c>
      <c r="K48" s="199"/>
      <c r="L48" s="196"/>
      <c r="M48" s="198" t="e">
        <v>#REF!</v>
      </c>
      <c r="N48" s="200"/>
      <c r="O48" s="197" t="e">
        <v>#REF!</v>
      </c>
      <c r="P48" s="200"/>
      <c r="Q48" s="200"/>
      <c r="R48" s="198" t="e">
        <v>#REF!</v>
      </c>
      <c r="S48" s="200"/>
      <c r="T48" s="197" t="e">
        <v>#REF!</v>
      </c>
      <c r="U48" s="200"/>
      <c r="V48" s="200"/>
      <c r="W48" s="198" t="e">
        <v>#REF!</v>
      </c>
      <c r="X48" s="200"/>
      <c r="Y48" s="197" t="e">
        <v>#REF!</v>
      </c>
      <c r="Z48" s="200"/>
      <c r="AA48" s="196"/>
      <c r="AB48" s="198" t="e">
        <v>#REF!</v>
      </c>
      <c r="AC48" s="199"/>
      <c r="AD48" s="197" t="e">
        <v>#REF!</v>
      </c>
      <c r="AE48" s="196"/>
      <c r="AF48" s="201"/>
    </row>
    <row r="49" spans="1:32" customFormat="1" ht="12.6" customHeight="1" x14ac:dyDescent="0.2">
      <c r="A49" s="202"/>
      <c r="B49" s="562" t="e">
        <v>#REF!</v>
      </c>
      <c r="C49" s="203" t="e">
        <v>#REF!</v>
      </c>
      <c r="D49" s="204"/>
      <c r="E49" s="205" t="e">
        <v>#REF!</v>
      </c>
      <c r="F49" s="204"/>
      <c r="G49" s="204"/>
      <c r="H49" s="206" t="e">
        <v>#REF!</v>
      </c>
      <c r="I49" s="204"/>
      <c r="J49" s="205" t="e">
        <v>#REF!</v>
      </c>
      <c r="K49" s="207"/>
      <c r="L49" s="204"/>
      <c r="M49" s="206" t="e">
        <v>#REF!</v>
      </c>
      <c r="N49" s="207"/>
      <c r="O49" s="205" t="e">
        <v>#REF!</v>
      </c>
      <c r="P49" s="204"/>
      <c r="Q49" s="207"/>
      <c r="R49" s="206" t="e">
        <v>#REF!</v>
      </c>
      <c r="S49" s="204"/>
      <c r="T49" s="205" t="e">
        <v>#REF!</v>
      </c>
      <c r="U49" s="208"/>
      <c r="V49" s="208"/>
      <c r="W49" s="206" t="e">
        <v>#REF!</v>
      </c>
      <c r="X49" s="208"/>
      <c r="Y49" s="205" t="e">
        <v>#REF!</v>
      </c>
      <c r="Z49" s="208"/>
      <c r="AA49" s="208"/>
      <c r="AB49" s="206" t="e">
        <v>#REF!</v>
      </c>
      <c r="AC49" s="208"/>
      <c r="AD49" s="205" t="e">
        <v>#REF!</v>
      </c>
      <c r="AE49" s="208"/>
      <c r="AF49" s="209"/>
    </row>
    <row r="50" spans="1:32" customFormat="1" ht="12.6" customHeight="1" thickBot="1" x14ac:dyDescent="0.25">
      <c r="A50" s="202"/>
      <c r="B50" s="563"/>
      <c r="C50" s="210" t="e">
        <v>#REF!</v>
      </c>
      <c r="D50" s="211"/>
      <c r="E50" s="212" t="e">
        <v>#REF!</v>
      </c>
      <c r="F50" s="211"/>
      <c r="G50" s="211"/>
      <c r="H50" s="213" t="e">
        <v>#REF!</v>
      </c>
      <c r="I50" s="211"/>
      <c r="J50" s="212" t="e">
        <v>#REF!</v>
      </c>
      <c r="K50" s="214"/>
      <c r="L50" s="211"/>
      <c r="M50" s="213" t="e">
        <v>#REF!</v>
      </c>
      <c r="N50" s="214"/>
      <c r="O50" s="212" t="e">
        <v>#REF!</v>
      </c>
      <c r="P50" s="211"/>
      <c r="Q50" s="214"/>
      <c r="R50" s="213" t="e">
        <v>#REF!</v>
      </c>
      <c r="S50" s="211"/>
      <c r="T50" s="212" t="e">
        <v>#REF!</v>
      </c>
      <c r="U50" s="215"/>
      <c r="V50" s="215"/>
      <c r="W50" s="213" t="e">
        <v>#REF!</v>
      </c>
      <c r="X50" s="215"/>
      <c r="Y50" s="212" t="e">
        <v>#REF!</v>
      </c>
      <c r="Z50" s="215"/>
      <c r="AA50" s="215"/>
      <c r="AB50" s="213" t="e">
        <v>#REF!</v>
      </c>
      <c r="AC50" s="215"/>
      <c r="AD50" s="212" t="e">
        <v>#REF!</v>
      </c>
      <c r="AE50" s="215"/>
      <c r="AF50" s="216"/>
    </row>
    <row r="51" spans="1:32" s="85" customFormat="1" x14ac:dyDescent="0.2">
      <c r="B51" s="217" t="s">
        <v>37</v>
      </c>
      <c r="C51" s="31"/>
      <c r="E51" s="87"/>
      <c r="F51" s="87"/>
      <c r="G51" s="87"/>
      <c r="H51" s="88"/>
      <c r="I51" s="232"/>
      <c r="J51" s="87"/>
      <c r="K51" s="87"/>
      <c r="L51" s="233"/>
      <c r="M51" s="31"/>
      <c r="O51" s="87"/>
      <c r="P51" s="87"/>
      <c r="Q51" s="87"/>
      <c r="R51" s="88"/>
      <c r="S51" s="232"/>
      <c r="T51" s="87"/>
      <c r="U51" s="87"/>
      <c r="V51" s="233"/>
      <c r="W51" s="31"/>
      <c r="Y51" s="87"/>
      <c r="Z51" s="87"/>
      <c r="AA51" s="233"/>
      <c r="AB51" s="88"/>
      <c r="AC51" s="232"/>
      <c r="AD51" s="87"/>
      <c r="AE51" s="87"/>
      <c r="AF51" s="89"/>
    </row>
    <row r="52" spans="1:32" s="85" customFormat="1" x14ac:dyDescent="0.2">
      <c r="B52" s="220"/>
      <c r="C52" s="31"/>
      <c r="H52" s="92"/>
      <c r="L52" s="221"/>
      <c r="M52" s="31"/>
      <c r="R52" s="92"/>
      <c r="V52" s="221"/>
      <c r="W52" s="31"/>
      <c r="AA52" s="221"/>
      <c r="AB52" s="92"/>
      <c r="AF52" s="93"/>
    </row>
    <row r="53" spans="1:32" s="85" customFormat="1" x14ac:dyDescent="0.2">
      <c r="B53" s="220"/>
      <c r="C53" s="31"/>
      <c r="H53" s="92"/>
      <c r="L53" s="221"/>
      <c r="M53" s="31"/>
      <c r="R53" s="92"/>
      <c r="V53" s="221"/>
      <c r="W53" s="31"/>
      <c r="AA53" s="221"/>
      <c r="AB53" s="92"/>
      <c r="AF53" s="93"/>
    </row>
    <row r="54" spans="1:32" s="85" customFormat="1" x14ac:dyDescent="0.2">
      <c r="B54" s="220"/>
      <c r="C54" s="31"/>
      <c r="H54" s="92"/>
      <c r="L54" s="221"/>
      <c r="M54" s="31"/>
      <c r="R54" s="92"/>
      <c r="V54" s="221"/>
      <c r="W54" s="31"/>
      <c r="AA54" s="221"/>
      <c r="AB54" s="92"/>
      <c r="AF54" s="93"/>
    </row>
    <row r="55" spans="1:32" s="85" customFormat="1" x14ac:dyDescent="0.2">
      <c r="B55" s="220"/>
      <c r="C55" s="31"/>
      <c r="H55" s="92"/>
      <c r="L55" s="221"/>
      <c r="M55" s="31"/>
      <c r="R55" s="92"/>
      <c r="V55" s="221"/>
      <c r="W55" s="31"/>
      <c r="AA55" s="221"/>
      <c r="AB55" s="92"/>
      <c r="AF55" s="93"/>
    </row>
    <row r="56" spans="1:32" s="85" customFormat="1" x14ac:dyDescent="0.2">
      <c r="B56" s="220"/>
      <c r="C56" s="31"/>
      <c r="H56" s="92"/>
      <c r="L56" s="221"/>
      <c r="M56" s="31"/>
      <c r="R56" s="92"/>
      <c r="V56" s="221"/>
      <c r="W56" s="31"/>
      <c r="AA56" s="221"/>
      <c r="AB56" s="92"/>
      <c r="AF56" s="93"/>
    </row>
    <row r="57" spans="1:32" s="85" customFormat="1" x14ac:dyDescent="0.2">
      <c r="B57" s="220"/>
      <c r="C57" s="31"/>
      <c r="H57" s="92"/>
      <c r="L57" s="221"/>
      <c r="M57" s="31"/>
      <c r="R57" s="92"/>
      <c r="V57" s="221"/>
      <c r="W57" s="31"/>
      <c r="AA57" s="221"/>
      <c r="AB57" s="92"/>
      <c r="AF57" s="93"/>
    </row>
    <row r="58" spans="1:32" s="85" customFormat="1" x14ac:dyDescent="0.2">
      <c r="B58" s="220"/>
      <c r="C58" s="31"/>
      <c r="H58" s="92"/>
      <c r="L58" s="221"/>
      <c r="M58" s="31"/>
      <c r="R58" s="92"/>
      <c r="V58" s="221"/>
      <c r="W58" s="31"/>
      <c r="AA58" s="221"/>
      <c r="AB58" s="92"/>
      <c r="AF58" s="93"/>
    </row>
    <row r="59" spans="1:32" s="85" customFormat="1" x14ac:dyDescent="0.2">
      <c r="B59" s="220"/>
      <c r="C59" s="31"/>
      <c r="H59" s="92"/>
      <c r="L59" s="221"/>
      <c r="M59" s="31"/>
      <c r="R59" s="92"/>
      <c r="V59" s="221"/>
      <c r="W59" s="31"/>
      <c r="AA59" s="221"/>
      <c r="AB59" s="92"/>
      <c r="AF59" s="93"/>
    </row>
    <row r="60" spans="1:32" s="85" customFormat="1" x14ac:dyDescent="0.2">
      <c r="B60" s="220"/>
      <c r="C60" s="31"/>
      <c r="H60" s="92"/>
      <c r="L60" s="221"/>
      <c r="M60" s="31"/>
      <c r="R60" s="92"/>
      <c r="V60" s="221"/>
      <c r="W60" s="31"/>
      <c r="AA60" s="221"/>
      <c r="AB60" s="92"/>
      <c r="AF60" s="93"/>
    </row>
    <row r="61" spans="1:32" s="85" customFormat="1" x14ac:dyDescent="0.2">
      <c r="B61" s="220"/>
      <c r="C61" s="31"/>
      <c r="H61" s="92"/>
      <c r="L61" s="221"/>
      <c r="M61" s="31"/>
      <c r="R61" s="92"/>
      <c r="V61" s="221"/>
      <c r="W61" s="31"/>
      <c r="AA61" s="221"/>
      <c r="AB61" s="92"/>
      <c r="AF61" s="93"/>
    </row>
    <row r="62" spans="1:32" s="85" customFormat="1" x14ac:dyDescent="0.2">
      <c r="B62" s="220"/>
      <c r="C62" s="31"/>
      <c r="H62" s="92"/>
      <c r="L62" s="221"/>
      <c r="M62" s="31"/>
      <c r="R62" s="92"/>
      <c r="V62" s="221"/>
      <c r="W62" s="31"/>
      <c r="AA62" s="221"/>
      <c r="AB62" s="92"/>
      <c r="AF62" s="93"/>
    </row>
    <row r="63" spans="1:32" s="85" customFormat="1" x14ac:dyDescent="0.2">
      <c r="B63" s="220"/>
      <c r="C63" s="31"/>
      <c r="H63" s="92"/>
      <c r="L63" s="221"/>
      <c r="M63" s="31"/>
      <c r="R63" s="92"/>
      <c r="V63" s="221"/>
      <c r="W63" s="31"/>
      <c r="AA63" s="221"/>
      <c r="AB63" s="92"/>
      <c r="AF63" s="93"/>
    </row>
    <row r="64" spans="1:32" s="85" customFormat="1" ht="13.5" thickBot="1" x14ac:dyDescent="0.25">
      <c r="B64" s="222"/>
      <c r="C64" s="96"/>
      <c r="D64" s="97"/>
      <c r="E64" s="98"/>
      <c r="F64" s="97"/>
      <c r="G64" s="97"/>
      <c r="H64" s="99"/>
      <c r="I64" s="97"/>
      <c r="J64" s="98"/>
      <c r="K64" s="97"/>
      <c r="L64" s="223"/>
      <c r="M64" s="96"/>
      <c r="N64" s="97"/>
      <c r="O64" s="98"/>
      <c r="P64" s="97"/>
      <c r="Q64" s="97"/>
      <c r="R64" s="99"/>
      <c r="S64" s="97"/>
      <c r="T64" s="98"/>
      <c r="U64" s="97"/>
      <c r="V64" s="223"/>
      <c r="W64" s="96"/>
      <c r="X64" s="97"/>
      <c r="Y64" s="98"/>
      <c r="Z64" s="97"/>
      <c r="AA64" s="223"/>
      <c r="AB64" s="99"/>
      <c r="AC64" s="97"/>
      <c r="AD64" s="98"/>
      <c r="AE64" s="97"/>
      <c r="AF64" s="100"/>
    </row>
    <row r="65" spans="2:32" ht="21.75" customHeight="1" x14ac:dyDescent="0.2">
      <c r="B65" s="224"/>
      <c r="C65" s="183"/>
      <c r="D65" s="183"/>
      <c r="E65" s="29"/>
      <c r="F65" s="30"/>
      <c r="G65" s="30"/>
      <c r="H65" s="183"/>
      <c r="I65" s="183"/>
      <c r="J65" s="29"/>
      <c r="K65" s="30"/>
      <c r="L65" s="30"/>
      <c r="M65" s="183"/>
      <c r="N65" s="183"/>
      <c r="O65" s="29"/>
      <c r="P65" s="30"/>
      <c r="Q65" s="30"/>
      <c r="R65" s="183"/>
      <c r="S65" s="183"/>
      <c r="T65" s="29"/>
      <c r="U65" s="30"/>
      <c r="V65" s="30"/>
      <c r="W65" s="183"/>
      <c r="X65" s="183"/>
      <c r="Y65" s="29"/>
      <c r="Z65" s="30"/>
      <c r="AA65" s="225"/>
      <c r="AB65" s="226"/>
      <c r="AC65" s="226"/>
      <c r="AD65" s="227"/>
      <c r="AE65" s="225"/>
      <c r="AF65" s="225"/>
    </row>
    <row r="66" spans="2:32" x14ac:dyDescent="0.2">
      <c r="H66" s="554"/>
      <c r="I66" s="554"/>
      <c r="J66" s="554"/>
    </row>
    <row r="67" spans="2:32" x14ac:dyDescent="0.2">
      <c r="H67" s="32"/>
      <c r="I67" s="32"/>
      <c r="J67" s="32"/>
    </row>
    <row r="68" spans="2:32" x14ac:dyDescent="0.2">
      <c r="D68" s="234" t="s">
        <v>136</v>
      </c>
      <c r="F68" s="27">
        <f t="shared" ref="F68:F76" si="0">COUNTIF(C$2:C$65,D68)</f>
        <v>0</v>
      </c>
      <c r="H68" s="29"/>
      <c r="I68" s="234" t="s">
        <v>136</v>
      </c>
      <c r="K68" s="27">
        <f t="shared" ref="K68:K76" si="1">COUNTIF(H$2:H$65,I68)</f>
        <v>0</v>
      </c>
      <c r="N68" s="234" t="s">
        <v>136</v>
      </c>
      <c r="P68" s="27">
        <f t="shared" ref="P68:P76" si="2">COUNTIF(M$2:M$65,N68)</f>
        <v>0</v>
      </c>
      <c r="S68" s="234" t="s">
        <v>136</v>
      </c>
      <c r="U68" s="27">
        <f t="shared" ref="U68:U76" si="3">COUNTIF(R$2:R$65,S68)</f>
        <v>0</v>
      </c>
      <c r="X68" s="234" t="s">
        <v>136</v>
      </c>
      <c r="Z68" s="27">
        <f t="shared" ref="Z68:Z76" si="4">COUNTIF(W$2:W$65,X68)</f>
        <v>0</v>
      </c>
      <c r="AC68" s="234" t="s">
        <v>136</v>
      </c>
      <c r="AE68" s="27">
        <f t="shared" ref="AE68:AE76" si="5">COUNTIF(AB$2:AB$65,AC68)</f>
        <v>0</v>
      </c>
    </row>
    <row r="69" spans="2:32" x14ac:dyDescent="0.2">
      <c r="D69" s="234" t="s">
        <v>137</v>
      </c>
      <c r="F69" s="27">
        <f t="shared" si="0"/>
        <v>0</v>
      </c>
      <c r="H69" s="29"/>
      <c r="I69" s="234" t="s">
        <v>137</v>
      </c>
      <c r="K69" s="27">
        <f t="shared" si="1"/>
        <v>0</v>
      </c>
      <c r="N69" s="234" t="s">
        <v>137</v>
      </c>
      <c r="P69" s="27">
        <f t="shared" si="2"/>
        <v>0</v>
      </c>
      <c r="S69" s="234" t="s">
        <v>137</v>
      </c>
      <c r="U69" s="27">
        <f t="shared" si="3"/>
        <v>0</v>
      </c>
      <c r="X69" s="234" t="s">
        <v>137</v>
      </c>
      <c r="Z69" s="27">
        <f t="shared" si="4"/>
        <v>0</v>
      </c>
      <c r="AC69" s="234" t="s">
        <v>137</v>
      </c>
      <c r="AE69" s="27">
        <f t="shared" si="5"/>
        <v>0</v>
      </c>
    </row>
    <row r="70" spans="2:32" x14ac:dyDescent="0.2">
      <c r="D70" s="234" t="s">
        <v>138</v>
      </c>
      <c r="F70" s="27">
        <f t="shared" si="0"/>
        <v>0</v>
      </c>
      <c r="I70" s="234" t="s">
        <v>138</v>
      </c>
      <c r="K70" s="27">
        <f t="shared" si="1"/>
        <v>0</v>
      </c>
      <c r="N70" s="234" t="s">
        <v>138</v>
      </c>
      <c r="P70" s="27">
        <f t="shared" si="2"/>
        <v>0</v>
      </c>
      <c r="S70" s="234" t="s">
        <v>138</v>
      </c>
      <c r="U70" s="27">
        <f t="shared" si="3"/>
        <v>0</v>
      </c>
      <c r="X70" s="234" t="s">
        <v>138</v>
      </c>
      <c r="Z70" s="27">
        <f t="shared" si="4"/>
        <v>0</v>
      </c>
      <c r="AC70" s="234" t="s">
        <v>138</v>
      </c>
      <c r="AE70" s="27">
        <f t="shared" si="5"/>
        <v>0</v>
      </c>
    </row>
    <row r="71" spans="2:32" x14ac:dyDescent="0.2">
      <c r="D71" s="234" t="s">
        <v>139</v>
      </c>
      <c r="F71" s="27">
        <f t="shared" si="0"/>
        <v>0</v>
      </c>
      <c r="I71" s="234" t="s">
        <v>139</v>
      </c>
      <c r="K71" s="27">
        <f t="shared" si="1"/>
        <v>0</v>
      </c>
      <c r="N71" s="234" t="s">
        <v>139</v>
      </c>
      <c r="P71" s="27">
        <f t="shared" si="2"/>
        <v>0</v>
      </c>
      <c r="S71" s="234" t="s">
        <v>139</v>
      </c>
      <c r="U71" s="27">
        <f t="shared" si="3"/>
        <v>0</v>
      </c>
      <c r="X71" s="234" t="s">
        <v>139</v>
      </c>
      <c r="Z71" s="27">
        <f t="shared" si="4"/>
        <v>0</v>
      </c>
      <c r="AC71" s="234" t="s">
        <v>139</v>
      </c>
      <c r="AE71" s="27">
        <f t="shared" si="5"/>
        <v>0</v>
      </c>
    </row>
    <row r="72" spans="2:32" x14ac:dyDescent="0.2">
      <c r="D72" s="234" t="s">
        <v>126</v>
      </c>
      <c r="F72" s="27">
        <f t="shared" si="0"/>
        <v>0</v>
      </c>
      <c r="I72" s="234" t="s">
        <v>126</v>
      </c>
      <c r="K72" s="27">
        <f t="shared" si="1"/>
        <v>0</v>
      </c>
      <c r="N72" s="234" t="s">
        <v>126</v>
      </c>
      <c r="P72" s="27">
        <f t="shared" si="2"/>
        <v>0</v>
      </c>
      <c r="S72" s="234" t="s">
        <v>126</v>
      </c>
      <c r="U72" s="27">
        <f t="shared" si="3"/>
        <v>0</v>
      </c>
      <c r="X72" s="234" t="s">
        <v>126</v>
      </c>
      <c r="Z72" s="27">
        <f t="shared" si="4"/>
        <v>0</v>
      </c>
      <c r="AC72" s="234" t="s">
        <v>126</v>
      </c>
      <c r="AE72" s="27">
        <f t="shared" si="5"/>
        <v>0</v>
      </c>
    </row>
    <row r="73" spans="2:32" x14ac:dyDescent="0.2">
      <c r="D73" s="234" t="s">
        <v>127</v>
      </c>
      <c r="F73" s="27">
        <f t="shared" si="0"/>
        <v>0</v>
      </c>
      <c r="I73" s="234" t="s">
        <v>127</v>
      </c>
      <c r="K73" s="27">
        <f t="shared" si="1"/>
        <v>0</v>
      </c>
      <c r="N73" s="234" t="s">
        <v>127</v>
      </c>
      <c r="P73" s="27">
        <f t="shared" si="2"/>
        <v>0</v>
      </c>
      <c r="S73" s="234" t="s">
        <v>127</v>
      </c>
      <c r="U73" s="27">
        <f t="shared" si="3"/>
        <v>0</v>
      </c>
      <c r="X73" s="234" t="s">
        <v>127</v>
      </c>
      <c r="Z73" s="27">
        <f t="shared" si="4"/>
        <v>0</v>
      </c>
      <c r="AC73" s="234" t="s">
        <v>127</v>
      </c>
      <c r="AE73" s="27">
        <f t="shared" si="5"/>
        <v>0</v>
      </c>
    </row>
    <row r="74" spans="2:32" x14ac:dyDescent="0.2">
      <c r="D74" s="234" t="s">
        <v>128</v>
      </c>
      <c r="F74" s="27">
        <f t="shared" si="0"/>
        <v>0</v>
      </c>
      <c r="I74" s="234" t="s">
        <v>128</v>
      </c>
      <c r="K74" s="27">
        <f t="shared" si="1"/>
        <v>0</v>
      </c>
      <c r="N74" s="234" t="s">
        <v>128</v>
      </c>
      <c r="P74" s="27">
        <f t="shared" si="2"/>
        <v>0</v>
      </c>
      <c r="S74" s="234" t="s">
        <v>128</v>
      </c>
      <c r="U74" s="27">
        <f t="shared" si="3"/>
        <v>0</v>
      </c>
      <c r="X74" s="234" t="s">
        <v>128</v>
      </c>
      <c r="Z74" s="27">
        <f t="shared" si="4"/>
        <v>0</v>
      </c>
      <c r="AC74" s="234" t="s">
        <v>128</v>
      </c>
      <c r="AE74" s="27">
        <f t="shared" si="5"/>
        <v>0</v>
      </c>
    </row>
    <row r="75" spans="2:32" x14ac:dyDescent="0.2">
      <c r="D75" s="234" t="s">
        <v>129</v>
      </c>
      <c r="F75" s="27">
        <f t="shared" si="0"/>
        <v>0</v>
      </c>
      <c r="I75" s="234" t="s">
        <v>129</v>
      </c>
      <c r="K75" s="27">
        <f t="shared" si="1"/>
        <v>0</v>
      </c>
      <c r="N75" s="234" t="s">
        <v>129</v>
      </c>
      <c r="P75" s="27">
        <f t="shared" si="2"/>
        <v>0</v>
      </c>
      <c r="S75" s="234" t="s">
        <v>129</v>
      </c>
      <c r="U75" s="27">
        <f t="shared" si="3"/>
        <v>0</v>
      </c>
      <c r="X75" s="234" t="s">
        <v>129</v>
      </c>
      <c r="Z75" s="27">
        <f t="shared" si="4"/>
        <v>0</v>
      </c>
      <c r="AC75" s="234" t="s">
        <v>129</v>
      </c>
      <c r="AE75" s="27">
        <f t="shared" si="5"/>
        <v>0</v>
      </c>
    </row>
    <row r="76" spans="2:32" x14ac:dyDescent="0.2">
      <c r="D76" s="234" t="s">
        <v>130</v>
      </c>
      <c r="F76" s="27">
        <f t="shared" si="0"/>
        <v>0</v>
      </c>
      <c r="I76" s="234" t="s">
        <v>130</v>
      </c>
      <c r="K76" s="27">
        <f t="shared" si="1"/>
        <v>0</v>
      </c>
      <c r="N76" s="234" t="s">
        <v>130</v>
      </c>
      <c r="P76" s="27">
        <f t="shared" si="2"/>
        <v>0</v>
      </c>
      <c r="S76" s="234" t="s">
        <v>130</v>
      </c>
      <c r="U76" s="27">
        <f t="shared" si="3"/>
        <v>0</v>
      </c>
      <c r="X76" s="234" t="s">
        <v>130</v>
      </c>
      <c r="Z76" s="27">
        <f t="shared" si="4"/>
        <v>0</v>
      </c>
      <c r="AC76" s="234" t="s">
        <v>130</v>
      </c>
      <c r="AE76" s="27">
        <f t="shared" si="5"/>
        <v>0</v>
      </c>
    </row>
    <row r="81" spans="4:6" ht="13.5" thickBot="1" x14ac:dyDescent="0.25"/>
    <row r="82" spans="4:6" x14ac:dyDescent="0.2">
      <c r="D82" s="33" t="s">
        <v>136</v>
      </c>
      <c r="F82" s="33" t="s">
        <v>51</v>
      </c>
    </row>
    <row r="83" spans="4:6" x14ac:dyDescent="0.2">
      <c r="D83" s="34" t="s">
        <v>137</v>
      </c>
      <c r="F83" s="34" t="s">
        <v>52</v>
      </c>
    </row>
    <row r="84" spans="4:6" x14ac:dyDescent="0.2">
      <c r="D84" s="34" t="s">
        <v>138</v>
      </c>
      <c r="F84" s="34" t="s">
        <v>53</v>
      </c>
    </row>
    <row r="85" spans="4:6" ht="13.5" thickBot="1" x14ac:dyDescent="0.25">
      <c r="D85" s="35" t="s">
        <v>139</v>
      </c>
      <c r="F85" s="34" t="s">
        <v>54</v>
      </c>
    </row>
    <row r="86" spans="4:6" ht="13.5" thickBot="1" x14ac:dyDescent="0.25">
      <c r="D86" s="234"/>
      <c r="F86" s="35" t="s">
        <v>55</v>
      </c>
    </row>
    <row r="87" spans="4:6" x14ac:dyDescent="0.2">
      <c r="D87" s="234"/>
    </row>
    <row r="88" spans="4:6" x14ac:dyDescent="0.2">
      <c r="D88" s="234"/>
    </row>
    <row r="89" spans="4:6" x14ac:dyDescent="0.2">
      <c r="D89" s="234"/>
    </row>
    <row r="90" spans="4:6" x14ac:dyDescent="0.2">
      <c r="D90" s="234"/>
    </row>
    <row r="91" spans="4:6" x14ac:dyDescent="0.2">
      <c r="D91" s="234"/>
    </row>
    <row r="92" spans="4:6" x14ac:dyDescent="0.2">
      <c r="D92" s="234"/>
    </row>
    <row r="93" spans="4:6" x14ac:dyDescent="0.2">
      <c r="D93" s="234"/>
    </row>
    <row r="94" spans="4:6" x14ac:dyDescent="0.2">
      <c r="D94" s="234"/>
    </row>
    <row r="95" spans="4:6" x14ac:dyDescent="0.2">
      <c r="D95" s="234"/>
    </row>
    <row r="96" spans="4:6" x14ac:dyDescent="0.2">
      <c r="D96" s="31"/>
    </row>
    <row r="97" spans="4:4" x14ac:dyDescent="0.2">
      <c r="D97" s="31"/>
    </row>
    <row r="98" spans="4:4" x14ac:dyDescent="0.2">
      <c r="D98" s="31"/>
    </row>
    <row r="99" spans="4:4" x14ac:dyDescent="0.2">
      <c r="D99" s="31"/>
    </row>
  </sheetData>
  <mergeCells count="425">
    <mergeCell ref="C5:D5"/>
    <mergeCell ref="E5:G5"/>
    <mergeCell ref="H5:I5"/>
    <mergeCell ref="J5:L5"/>
    <mergeCell ref="M5:N5"/>
    <mergeCell ref="O5:Q5"/>
    <mergeCell ref="C1:AA1"/>
    <mergeCell ref="E2:G2"/>
    <mergeCell ref="J2:L2"/>
    <mergeCell ref="O2:Q2"/>
    <mergeCell ref="T2:V2"/>
    <mergeCell ref="Y2:AA2"/>
    <mergeCell ref="W3:X4"/>
    <mergeCell ref="Y3:AA4"/>
    <mergeCell ref="AD3:AF4"/>
    <mergeCell ref="R6:S6"/>
    <mergeCell ref="U6:V6"/>
    <mergeCell ref="W6:X6"/>
    <mergeCell ref="Z6:AA6"/>
    <mergeCell ref="R5:S5"/>
    <mergeCell ref="T5:V5"/>
    <mergeCell ref="W5:X5"/>
    <mergeCell ref="Y5:AA5"/>
    <mergeCell ref="AB5:AC5"/>
    <mergeCell ref="AD5:AF5"/>
    <mergeCell ref="AB6:AC6"/>
    <mergeCell ref="AE6:AF6"/>
    <mergeCell ref="AD2:AF2"/>
    <mergeCell ref="B3:B7"/>
    <mergeCell ref="C3:D4"/>
    <mergeCell ref="E3:G4"/>
    <mergeCell ref="H3:I4"/>
    <mergeCell ref="J3:L4"/>
    <mergeCell ref="M3:N4"/>
    <mergeCell ref="O3:Q4"/>
    <mergeCell ref="R3:S4"/>
    <mergeCell ref="T3:V4"/>
    <mergeCell ref="AE7:AF7"/>
    <mergeCell ref="C7:D7"/>
    <mergeCell ref="F7:G7"/>
    <mergeCell ref="H7:I7"/>
    <mergeCell ref="K7:L7"/>
    <mergeCell ref="M7:N7"/>
    <mergeCell ref="P7:Q7"/>
    <mergeCell ref="P6:Q6"/>
    <mergeCell ref="R7:S7"/>
    <mergeCell ref="U7:V7"/>
    <mergeCell ref="W7:X7"/>
    <mergeCell ref="Z7:AA7"/>
    <mergeCell ref="AB7:AC7"/>
    <mergeCell ref="AB3:AC4"/>
    <mergeCell ref="C6:D6"/>
    <mergeCell ref="F6:G6"/>
    <mergeCell ref="H6:I6"/>
    <mergeCell ref="K6:L6"/>
    <mergeCell ref="M6:N6"/>
    <mergeCell ref="Y8:AA9"/>
    <mergeCell ref="AB8:AC9"/>
    <mergeCell ref="C8:D9"/>
    <mergeCell ref="E8:G9"/>
    <mergeCell ref="H8:I9"/>
    <mergeCell ref="J8:L9"/>
    <mergeCell ref="M8:N9"/>
    <mergeCell ref="O8:Q9"/>
    <mergeCell ref="R8:S9"/>
    <mergeCell ref="T8:V9"/>
    <mergeCell ref="W8:X9"/>
    <mergeCell ref="E10:G10"/>
    <mergeCell ref="H10:I10"/>
    <mergeCell ref="J10:L10"/>
    <mergeCell ref="M10:N10"/>
    <mergeCell ref="O10:Q10"/>
    <mergeCell ref="R10:S10"/>
    <mergeCell ref="C11:D11"/>
    <mergeCell ref="F11:G11"/>
    <mergeCell ref="H11:I11"/>
    <mergeCell ref="K11:L11"/>
    <mergeCell ref="M11:N11"/>
    <mergeCell ref="P11:Q11"/>
    <mergeCell ref="AE12:AF12"/>
    <mergeCell ref="P12:Q12"/>
    <mergeCell ref="R12:S12"/>
    <mergeCell ref="U12:V12"/>
    <mergeCell ref="AD15:AF15"/>
    <mergeCell ref="AD13:AF14"/>
    <mergeCell ref="U11:V11"/>
    <mergeCell ref="W11:X11"/>
    <mergeCell ref="AD8:AF9"/>
    <mergeCell ref="Y10:AA10"/>
    <mergeCell ref="AB10:AC10"/>
    <mergeCell ref="AD10:AF10"/>
    <mergeCell ref="T10:V10"/>
    <mergeCell ref="W10:X10"/>
    <mergeCell ref="AE11:AF11"/>
    <mergeCell ref="Y15:AA15"/>
    <mergeCell ref="AB15:AC15"/>
    <mergeCell ref="C15:D15"/>
    <mergeCell ref="E15:G15"/>
    <mergeCell ref="H15:I15"/>
    <mergeCell ref="J15:L15"/>
    <mergeCell ref="M15:N15"/>
    <mergeCell ref="O15:Q15"/>
    <mergeCell ref="Z11:AA11"/>
    <mergeCell ref="AB11:AC11"/>
    <mergeCell ref="W12:X12"/>
    <mergeCell ref="Z12:AA12"/>
    <mergeCell ref="AB12:AC12"/>
    <mergeCell ref="R11:S11"/>
    <mergeCell ref="W13:X14"/>
    <mergeCell ref="Y13:AA14"/>
    <mergeCell ref="AB13:AC14"/>
    <mergeCell ref="B13:B17"/>
    <mergeCell ref="C13:D14"/>
    <mergeCell ref="E13:G14"/>
    <mergeCell ref="H13:I14"/>
    <mergeCell ref="J13:L14"/>
    <mergeCell ref="B8:B12"/>
    <mergeCell ref="R15:S15"/>
    <mergeCell ref="T15:V15"/>
    <mergeCell ref="W15:X15"/>
    <mergeCell ref="M13:N14"/>
    <mergeCell ref="O13:Q14"/>
    <mergeCell ref="R13:S14"/>
    <mergeCell ref="T13:V14"/>
    <mergeCell ref="W16:X16"/>
    <mergeCell ref="R16:S16"/>
    <mergeCell ref="U16:V16"/>
    <mergeCell ref="R17:S17"/>
    <mergeCell ref="U17:V17"/>
    <mergeCell ref="C12:D12"/>
    <mergeCell ref="F12:G12"/>
    <mergeCell ref="H12:I12"/>
    <mergeCell ref="K12:L12"/>
    <mergeCell ref="M12:N12"/>
    <mergeCell ref="C10:D10"/>
    <mergeCell ref="AE16:AF16"/>
    <mergeCell ref="C16:D16"/>
    <mergeCell ref="F16:G16"/>
    <mergeCell ref="H16:I16"/>
    <mergeCell ref="K16:L16"/>
    <mergeCell ref="M16:N16"/>
    <mergeCell ref="P16:Q16"/>
    <mergeCell ref="C17:D17"/>
    <mergeCell ref="F17:G17"/>
    <mergeCell ref="H17:I17"/>
    <mergeCell ref="K17:L17"/>
    <mergeCell ref="M17:N17"/>
    <mergeCell ref="P17:Q17"/>
    <mergeCell ref="Z16:AA16"/>
    <mergeCell ref="AB16:AC16"/>
    <mergeCell ref="W18:X19"/>
    <mergeCell ref="Y20:AA20"/>
    <mergeCell ref="AB20:AC20"/>
    <mergeCell ref="AD20:AF20"/>
    <mergeCell ref="W17:X17"/>
    <mergeCell ref="Z17:AA17"/>
    <mergeCell ref="AB17:AC17"/>
    <mergeCell ref="AE17:AF17"/>
    <mergeCell ref="Y18:AA19"/>
    <mergeCell ref="AB18:AC19"/>
    <mergeCell ref="AD18:AF19"/>
    <mergeCell ref="AE22:AF22"/>
    <mergeCell ref="P22:Q22"/>
    <mergeCell ref="R22:S22"/>
    <mergeCell ref="U22:V22"/>
    <mergeCell ref="W22:X22"/>
    <mergeCell ref="Z22:AA22"/>
    <mergeCell ref="AB22:AC22"/>
    <mergeCell ref="AE21:AF21"/>
    <mergeCell ref="C18:D19"/>
    <mergeCell ref="E18:G19"/>
    <mergeCell ref="H18:I19"/>
    <mergeCell ref="J18:L19"/>
    <mergeCell ref="M18:N19"/>
    <mergeCell ref="T20:V20"/>
    <mergeCell ref="W20:X20"/>
    <mergeCell ref="O18:Q19"/>
    <mergeCell ref="R18:S19"/>
    <mergeCell ref="Z21:AA21"/>
    <mergeCell ref="AB21:AC21"/>
    <mergeCell ref="R21:S21"/>
    <mergeCell ref="C20:D20"/>
    <mergeCell ref="E20:G20"/>
    <mergeCell ref="H20:I20"/>
    <mergeCell ref="J20:L20"/>
    <mergeCell ref="U21:V21"/>
    <mergeCell ref="W21:X21"/>
    <mergeCell ref="B18:B22"/>
    <mergeCell ref="W23:X24"/>
    <mergeCell ref="Y23:AA25"/>
    <mergeCell ref="AB23:AC24"/>
    <mergeCell ref="J26:L26"/>
    <mergeCell ref="M26:N26"/>
    <mergeCell ref="O26:Q26"/>
    <mergeCell ref="C22:D22"/>
    <mergeCell ref="F22:G22"/>
    <mergeCell ref="H22:I22"/>
    <mergeCell ref="K22:L22"/>
    <mergeCell ref="M22:N22"/>
    <mergeCell ref="M20:N20"/>
    <mergeCell ref="O20:Q20"/>
    <mergeCell ref="R20:S20"/>
    <mergeCell ref="C21:D21"/>
    <mergeCell ref="F21:G21"/>
    <mergeCell ref="H21:I21"/>
    <mergeCell ref="K21:L21"/>
    <mergeCell ref="M21:N21"/>
    <mergeCell ref="P21:Q21"/>
    <mergeCell ref="T18:V19"/>
    <mergeCell ref="B23:B28"/>
    <mergeCell ref="C23:D24"/>
    <mergeCell ref="E23:G25"/>
    <mergeCell ref="H23:I24"/>
    <mergeCell ref="J23:L25"/>
    <mergeCell ref="M23:N24"/>
    <mergeCell ref="O23:Q25"/>
    <mergeCell ref="R23:S24"/>
    <mergeCell ref="T23:V25"/>
    <mergeCell ref="R28:S28"/>
    <mergeCell ref="U28:V28"/>
    <mergeCell ref="R26:S26"/>
    <mergeCell ref="T26:V26"/>
    <mergeCell ref="R27:S27"/>
    <mergeCell ref="C26:D26"/>
    <mergeCell ref="E26:G26"/>
    <mergeCell ref="H26:I26"/>
    <mergeCell ref="P27:Q27"/>
    <mergeCell ref="W27:X27"/>
    <mergeCell ref="Z27:AA27"/>
    <mergeCell ref="AB27:AC27"/>
    <mergeCell ref="AD23:AF25"/>
    <mergeCell ref="C25:D25"/>
    <mergeCell ref="H25:I25"/>
    <mergeCell ref="M25:N25"/>
    <mergeCell ref="R25:S25"/>
    <mergeCell ref="W25:X25"/>
    <mergeCell ref="AD26:AF26"/>
    <mergeCell ref="AB25:AC25"/>
    <mergeCell ref="W26:X26"/>
    <mergeCell ref="Y26:AA26"/>
    <mergeCell ref="AB26:AC26"/>
    <mergeCell ref="C33:D33"/>
    <mergeCell ref="F33:G33"/>
    <mergeCell ref="H33:I33"/>
    <mergeCell ref="K33:L33"/>
    <mergeCell ref="M33:N33"/>
    <mergeCell ref="P33:Q33"/>
    <mergeCell ref="R33:S33"/>
    <mergeCell ref="AE27:AF27"/>
    <mergeCell ref="U27:V27"/>
    <mergeCell ref="W28:X28"/>
    <mergeCell ref="Z28:AA28"/>
    <mergeCell ref="AB28:AC28"/>
    <mergeCell ref="AE28:AF28"/>
    <mergeCell ref="C28:D28"/>
    <mergeCell ref="F28:G28"/>
    <mergeCell ref="H28:I28"/>
    <mergeCell ref="K28:L28"/>
    <mergeCell ref="M28:N28"/>
    <mergeCell ref="P28:Q28"/>
    <mergeCell ref="C27:D27"/>
    <mergeCell ref="F27:G27"/>
    <mergeCell ref="H27:I27"/>
    <mergeCell ref="K27:L27"/>
    <mergeCell ref="M27:N27"/>
    <mergeCell ref="C31:D31"/>
    <mergeCell ref="H31:I31"/>
    <mergeCell ref="M31:N31"/>
    <mergeCell ref="R31:S31"/>
    <mergeCell ref="W31:X31"/>
    <mergeCell ref="AB31:AC31"/>
    <mergeCell ref="O29:Q31"/>
    <mergeCell ref="B29:B34"/>
    <mergeCell ref="C29:D30"/>
    <mergeCell ref="E29:G31"/>
    <mergeCell ref="H29:I30"/>
    <mergeCell ref="J29:L31"/>
    <mergeCell ref="U33:V33"/>
    <mergeCell ref="M32:N32"/>
    <mergeCell ref="M29:N30"/>
    <mergeCell ref="C32:D32"/>
    <mergeCell ref="E32:G32"/>
    <mergeCell ref="H32:I32"/>
    <mergeCell ref="J32:L32"/>
    <mergeCell ref="C34:D34"/>
    <mergeCell ref="F34:G34"/>
    <mergeCell ref="H34:I34"/>
    <mergeCell ref="K34:L34"/>
    <mergeCell ref="M34:N34"/>
    <mergeCell ref="Y32:AA32"/>
    <mergeCell ref="AD32:AF32"/>
    <mergeCell ref="W29:X30"/>
    <mergeCell ref="Y29:AA31"/>
    <mergeCell ref="AB29:AC30"/>
    <mergeCell ref="P34:Q34"/>
    <mergeCell ref="AB32:AC32"/>
    <mergeCell ref="O32:Q32"/>
    <mergeCell ref="R32:S32"/>
    <mergeCell ref="T32:V32"/>
    <mergeCell ref="W32:X32"/>
    <mergeCell ref="Z33:AA33"/>
    <mergeCell ref="AB33:AC33"/>
    <mergeCell ref="AE34:AF34"/>
    <mergeCell ref="W33:X33"/>
    <mergeCell ref="R34:S34"/>
    <mergeCell ref="U34:V34"/>
    <mergeCell ref="W34:X34"/>
    <mergeCell ref="Z34:AA34"/>
    <mergeCell ref="AB34:AC34"/>
    <mergeCell ref="AE33:AF33"/>
    <mergeCell ref="R29:S30"/>
    <mergeCell ref="T29:V31"/>
    <mergeCell ref="AD29:AF31"/>
    <mergeCell ref="AD35:AF37"/>
    <mergeCell ref="C37:D37"/>
    <mergeCell ref="H37:I37"/>
    <mergeCell ref="M37:N37"/>
    <mergeCell ref="R37:S37"/>
    <mergeCell ref="W37:X37"/>
    <mergeCell ref="AB37:AC37"/>
    <mergeCell ref="AD38:AF38"/>
    <mergeCell ref="O35:Q37"/>
    <mergeCell ref="R35:S36"/>
    <mergeCell ref="T35:V37"/>
    <mergeCell ref="W35:X36"/>
    <mergeCell ref="M38:N38"/>
    <mergeCell ref="O38:Q38"/>
    <mergeCell ref="R38:S38"/>
    <mergeCell ref="T38:V38"/>
    <mergeCell ref="B35:B40"/>
    <mergeCell ref="C35:D36"/>
    <mergeCell ref="E35:G37"/>
    <mergeCell ref="H35:I36"/>
    <mergeCell ref="J35:L37"/>
    <mergeCell ref="M35:N36"/>
    <mergeCell ref="C38:D38"/>
    <mergeCell ref="AB38:AC38"/>
    <mergeCell ref="R40:S40"/>
    <mergeCell ref="U40:V40"/>
    <mergeCell ref="W40:X40"/>
    <mergeCell ref="Z40:AA40"/>
    <mergeCell ref="AB40:AC40"/>
    <mergeCell ref="W38:X38"/>
    <mergeCell ref="Y38:AA38"/>
    <mergeCell ref="Y35:AA37"/>
    <mergeCell ref="AB35:AC36"/>
    <mergeCell ref="C40:D40"/>
    <mergeCell ref="F40:G40"/>
    <mergeCell ref="H40:I40"/>
    <mergeCell ref="K40:L40"/>
    <mergeCell ref="M40:N40"/>
    <mergeCell ref="P40:Q40"/>
    <mergeCell ref="M39:N39"/>
    <mergeCell ref="E38:G38"/>
    <mergeCell ref="H38:I38"/>
    <mergeCell ref="J38:L38"/>
    <mergeCell ref="AB43:AC43"/>
    <mergeCell ref="O41:Q43"/>
    <mergeCell ref="R41:S42"/>
    <mergeCell ref="T41:V43"/>
    <mergeCell ref="W41:X42"/>
    <mergeCell ref="C41:D42"/>
    <mergeCell ref="E41:G43"/>
    <mergeCell ref="H41:I42"/>
    <mergeCell ref="J41:L43"/>
    <mergeCell ref="M41:N42"/>
    <mergeCell ref="C39:D39"/>
    <mergeCell ref="F39:G39"/>
    <mergeCell ref="H39:I39"/>
    <mergeCell ref="K39:L39"/>
    <mergeCell ref="C43:D43"/>
    <mergeCell ref="H43:I43"/>
    <mergeCell ref="M43:N43"/>
    <mergeCell ref="AE40:AF40"/>
    <mergeCell ref="W39:X39"/>
    <mergeCell ref="Z39:AA39"/>
    <mergeCell ref="AB39:AC39"/>
    <mergeCell ref="AE39:AF39"/>
    <mergeCell ref="AD41:AF43"/>
    <mergeCell ref="Y41:AA43"/>
    <mergeCell ref="AB41:AC42"/>
    <mergeCell ref="P39:Q39"/>
    <mergeCell ref="R39:S39"/>
    <mergeCell ref="U39:V39"/>
    <mergeCell ref="R43:S43"/>
    <mergeCell ref="AB44:AC44"/>
    <mergeCell ref="AD44:AF44"/>
    <mergeCell ref="C45:D45"/>
    <mergeCell ref="F45:G45"/>
    <mergeCell ref="H45:I45"/>
    <mergeCell ref="K45:L45"/>
    <mergeCell ref="M45:N45"/>
    <mergeCell ref="P45:Q45"/>
    <mergeCell ref="R45:S45"/>
    <mergeCell ref="U45:V45"/>
    <mergeCell ref="O44:Q44"/>
    <mergeCell ref="R44:S44"/>
    <mergeCell ref="T44:V44"/>
    <mergeCell ref="W44:X44"/>
    <mergeCell ref="Y44:AA44"/>
    <mergeCell ref="C44:D44"/>
    <mergeCell ref="E44:G44"/>
    <mergeCell ref="H44:I44"/>
    <mergeCell ref="J44:L44"/>
    <mergeCell ref="Z46:AA46"/>
    <mergeCell ref="AE46:AF46"/>
    <mergeCell ref="W45:X45"/>
    <mergeCell ref="Z45:AA45"/>
    <mergeCell ref="AE45:AF45"/>
    <mergeCell ref="C46:D46"/>
    <mergeCell ref="F46:G46"/>
    <mergeCell ref="H46:I46"/>
    <mergeCell ref="K46:L46"/>
    <mergeCell ref="M46:N46"/>
    <mergeCell ref="H66:J66"/>
    <mergeCell ref="A47:A48"/>
    <mergeCell ref="B47:B48"/>
    <mergeCell ref="B49:B50"/>
    <mergeCell ref="U46:V46"/>
    <mergeCell ref="W46:X46"/>
    <mergeCell ref="P46:Q46"/>
    <mergeCell ref="R46:S46"/>
    <mergeCell ref="B41:B46"/>
    <mergeCell ref="M44:N44"/>
    <mergeCell ref="W43:X43"/>
  </mergeCells>
  <conditionalFormatting sqref="C51:C64 H51:H64 M51:M64 R51:R64 W51:W64 AB51:AB64">
    <cfRule type="expression" dxfId="2" priority="1" stopIfTrue="1">
      <formula>IF(E51=0,1,0)</formula>
    </cfRule>
  </conditionalFormatting>
  <conditionalFormatting sqref="D68:D76 I68:I76 N68:N76 S68:S76 X68:X76 AC68:AC76">
    <cfRule type="expression" dxfId="1" priority="3" stopIfTrue="1">
      <formula>IF(F68=0,1,0)</formula>
    </cfRule>
  </conditionalFormatting>
  <conditionalFormatting sqref="D86:D99">
    <cfRule type="expression" dxfId="0" priority="2" stopIfTrue="1">
      <formula>IF(F86=0,1,0)</formula>
    </cfRule>
  </conditionalFormatting>
  <dataValidations count="2">
    <dataValidation type="list" allowBlank="1" showInputMessage="1" showErrorMessage="1" sqref="E51:E64 AD51:AD64 Y51:Y64 T51:T64 O51:O64 J51:J64" xr:uid="{F9FC8BB9-074C-4014-B507-A35BC3735698}">
      <formula1>$F$82:$F$86</formula1>
    </dataValidation>
    <dataValidation type="list" allowBlank="1" showInputMessage="1" showErrorMessage="1" sqref="R65:S65 C65:D65 AB65:AC65 W65:X65 H65:I65 M65:N65 W51:W64 M43:N46 R51:R64 M51:M64 H51:H64 C51:C64 AB37:AC40 R37:S40 H43:I46 C43:D46 W43:X46 AB15:AC17 C31:D34 AB20:AC22 AB5:AC7 W37:X40 M37:N40 H37:I40 C37:D40 AB31:AC34 AB25:AC28 W31:X34 R31:S34 M31:N34 H31:I34 R25:S28 M25:N28 H25:I28 C25:D28 AB43:AC44 C5:D7 W20:X22 R20:S22 M20:N22 H20:I22 C20:D22 AB51:AB64 W15:X17 R15:S17 M15:N17 H15:I17 C15:D17 W25:X28 AB10:AC12 W10:X12 R10:S12 M10:N12 H10:I12 C10:D12 W5:X7 R5:S7 M5:N7 H5:I7 R43:S46" xr:uid="{00000000-0002-0000-0500-000000000000}">
      <formula1>$D$82:$D$99</formula1>
    </dataValidation>
  </dataValidations>
  <printOptions horizontalCentered="1" verticalCentered="1"/>
  <pageMargins left="0.17" right="0.16" top="0.17" bottom="0.23622047244094491" header="0.17" footer="0.23622047244094491"/>
  <pageSetup paperSize="9" scale="5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D11FE-68B2-42E6-AA97-6895AF95206D}">
  <sheetPr codeName="Tabelle6"/>
  <dimension ref="A1:L112"/>
  <sheetViews>
    <sheetView topLeftCell="A44" zoomScale="85" zoomScaleNormal="85" zoomScaleSheetLayoutView="100" workbookViewId="0">
      <selection activeCell="J3" sqref="J3:L4"/>
    </sheetView>
  </sheetViews>
  <sheetFormatPr baseColWidth="10" defaultColWidth="11.5546875" defaultRowHeight="15" x14ac:dyDescent="0.2"/>
  <cols>
    <col min="1" max="1" width="16.6640625" bestFit="1" customWidth="1"/>
    <col min="2" max="2" width="6.77734375" customWidth="1"/>
    <col min="3" max="3" width="16.6640625" bestFit="1" customWidth="1"/>
    <col min="4" max="4" width="14.33203125" bestFit="1" customWidth="1"/>
    <col min="5" max="5" width="7.44140625" customWidth="1"/>
    <col min="6" max="6" width="4.109375" bestFit="1" customWidth="1"/>
    <col min="7" max="7" width="9" customWidth="1"/>
    <col min="8" max="8" width="9.88671875" customWidth="1"/>
    <col min="9" max="9" width="9.21875" bestFit="1" customWidth="1"/>
    <col min="10" max="10" width="9.6640625" customWidth="1"/>
    <col min="11" max="11" width="22.44140625" bestFit="1" customWidth="1"/>
  </cols>
  <sheetData>
    <row r="1" spans="1:12" ht="23.25" customHeight="1" thickBot="1" x14ac:dyDescent="0.25">
      <c r="A1" s="609" t="s">
        <v>72</v>
      </c>
      <c r="B1" s="610"/>
      <c r="C1" s="610"/>
      <c r="D1" s="610"/>
      <c r="E1" s="610"/>
      <c r="F1" s="610"/>
      <c r="G1" s="610"/>
      <c r="H1" s="610"/>
      <c r="I1" s="610"/>
      <c r="J1" s="610"/>
      <c r="K1" s="611"/>
    </row>
    <row r="2" spans="1:12" s="1" customFormat="1" ht="15.75" thickBot="1" x14ac:dyDescent="0.25">
      <c r="A2" s="25" t="s">
        <v>73</v>
      </c>
      <c r="B2" s="26" t="s">
        <v>74</v>
      </c>
      <c r="C2" s="25" t="s">
        <v>75</v>
      </c>
      <c r="D2" s="25" t="s">
        <v>76</v>
      </c>
      <c r="E2" s="25" t="s">
        <v>77</v>
      </c>
      <c r="F2" s="25" t="s">
        <v>78</v>
      </c>
      <c r="G2" s="25" t="s">
        <v>79</v>
      </c>
      <c r="H2" s="25" t="s">
        <v>80</v>
      </c>
      <c r="I2" s="25" t="s">
        <v>81</v>
      </c>
      <c r="J2" s="25" t="s">
        <v>82</v>
      </c>
      <c r="K2" s="25" t="s">
        <v>83</v>
      </c>
    </row>
    <row r="3" spans="1:12" x14ac:dyDescent="0.2">
      <c r="A3" s="11"/>
      <c r="B3" s="11"/>
      <c r="C3" s="12"/>
      <c r="D3" s="12"/>
      <c r="E3" s="11"/>
      <c r="F3" s="11"/>
      <c r="G3" s="11"/>
      <c r="H3" s="11"/>
      <c r="I3" s="11"/>
      <c r="J3" s="11"/>
      <c r="K3" s="13"/>
      <c r="L3" s="3"/>
    </row>
    <row r="4" spans="1:12" x14ac:dyDescent="0.2">
      <c r="A4" s="14"/>
      <c r="B4" s="15"/>
      <c r="C4" s="4"/>
      <c r="D4" s="4"/>
      <c r="E4" s="14"/>
      <c r="F4" s="15"/>
      <c r="G4" s="14"/>
      <c r="H4" s="14"/>
      <c r="I4" s="14"/>
      <c r="J4" s="14"/>
      <c r="K4" s="2"/>
      <c r="L4" s="3"/>
    </row>
    <row r="5" spans="1:12" x14ac:dyDescent="0.2">
      <c r="A5" s="14"/>
      <c r="B5" s="15"/>
      <c r="C5" s="4"/>
      <c r="D5" s="4"/>
      <c r="E5" s="14"/>
      <c r="F5" s="15"/>
      <c r="G5" s="14"/>
      <c r="H5" s="14"/>
      <c r="I5" s="14"/>
      <c r="J5" s="14"/>
      <c r="K5" s="2"/>
      <c r="L5" s="3"/>
    </row>
    <row r="6" spans="1:12" x14ac:dyDescent="0.2">
      <c r="A6" s="14"/>
      <c r="B6" s="15"/>
      <c r="C6" s="4"/>
      <c r="D6" s="4"/>
      <c r="E6" s="14"/>
      <c r="F6" s="15"/>
      <c r="G6" s="14"/>
      <c r="H6" s="14"/>
      <c r="I6" s="14"/>
      <c r="J6" s="14"/>
      <c r="K6" s="2"/>
      <c r="L6" s="3"/>
    </row>
    <row r="7" spans="1:12" x14ac:dyDescent="0.2">
      <c r="A7" s="14"/>
      <c r="B7" s="15"/>
      <c r="C7" s="4"/>
      <c r="D7" s="4"/>
      <c r="E7" s="14"/>
      <c r="F7" s="15"/>
      <c r="G7" s="14"/>
      <c r="H7" s="14"/>
      <c r="I7" s="14"/>
      <c r="J7" s="14"/>
      <c r="K7" s="2"/>
      <c r="L7" s="3"/>
    </row>
    <row r="8" spans="1:12" x14ac:dyDescent="0.2">
      <c r="A8" s="14"/>
      <c r="B8" s="15"/>
      <c r="C8" s="4"/>
      <c r="D8" s="4"/>
      <c r="E8" s="14"/>
      <c r="F8" s="15"/>
      <c r="G8" s="14"/>
      <c r="H8" s="14"/>
      <c r="I8" s="14"/>
      <c r="J8" s="14"/>
      <c r="K8" s="2"/>
      <c r="L8" s="3"/>
    </row>
    <row r="9" spans="1:12" x14ac:dyDescent="0.2">
      <c r="A9" s="14"/>
      <c r="B9" s="15"/>
      <c r="C9" s="4"/>
      <c r="D9" s="4"/>
      <c r="E9" s="14"/>
      <c r="F9" s="15"/>
      <c r="G9" s="14"/>
      <c r="H9" s="14"/>
      <c r="I9" s="14"/>
      <c r="J9" s="14"/>
      <c r="K9" s="2"/>
      <c r="L9" s="3"/>
    </row>
    <row r="10" spans="1:12" x14ac:dyDescent="0.2">
      <c r="A10" s="14"/>
      <c r="B10" s="15"/>
      <c r="C10" s="4"/>
      <c r="D10" s="4"/>
      <c r="E10" s="14"/>
      <c r="F10" s="15"/>
      <c r="G10" s="14"/>
      <c r="H10" s="14"/>
      <c r="I10" s="14"/>
      <c r="J10" s="14"/>
      <c r="K10" s="2"/>
      <c r="L10" s="3"/>
    </row>
    <row r="11" spans="1:12" x14ac:dyDescent="0.2">
      <c r="A11" s="14"/>
      <c r="B11" s="15"/>
      <c r="C11" s="4"/>
      <c r="D11" s="4"/>
      <c r="E11" s="14"/>
      <c r="F11" s="15"/>
      <c r="G11" s="14"/>
      <c r="H11" s="14"/>
      <c r="I11" s="14"/>
      <c r="J11" s="14"/>
      <c r="K11" s="2"/>
      <c r="L11" s="3"/>
    </row>
    <row r="12" spans="1:12" x14ac:dyDescent="0.2">
      <c r="A12" s="16"/>
      <c r="B12" s="14"/>
      <c r="C12" s="4"/>
      <c r="D12" s="4"/>
      <c r="E12" s="14"/>
      <c r="F12" s="14"/>
      <c r="G12" s="14"/>
      <c r="H12" s="14"/>
      <c r="I12" s="14"/>
      <c r="J12" s="14"/>
      <c r="K12" s="4"/>
      <c r="L12" s="3"/>
    </row>
    <row r="13" spans="1:12" x14ac:dyDescent="0.2">
      <c r="A13" s="14"/>
      <c r="B13" s="15"/>
      <c r="C13" s="4"/>
      <c r="D13" s="4"/>
      <c r="E13" s="14"/>
      <c r="F13" s="15"/>
      <c r="G13" s="14"/>
      <c r="H13" s="14"/>
      <c r="I13" s="14"/>
      <c r="J13" s="14"/>
      <c r="K13" s="4"/>
      <c r="L13" s="3"/>
    </row>
    <row r="14" spans="1:12" x14ac:dyDescent="0.2">
      <c r="A14" s="14"/>
      <c r="B14" s="15"/>
      <c r="C14" s="4"/>
      <c r="D14" s="4"/>
      <c r="E14" s="14"/>
      <c r="F14" s="15"/>
      <c r="G14" s="14"/>
      <c r="H14" s="14"/>
      <c r="I14" s="14"/>
      <c r="J14" s="14"/>
      <c r="K14" s="4"/>
      <c r="L14" s="3"/>
    </row>
    <row r="15" spans="1:12" x14ac:dyDescent="0.2">
      <c r="A15" s="14"/>
      <c r="B15" s="15"/>
      <c r="C15" s="4"/>
      <c r="D15" s="4"/>
      <c r="E15" s="14"/>
      <c r="F15" s="15"/>
      <c r="G15" s="14"/>
      <c r="H15" s="14"/>
      <c r="I15" s="14"/>
      <c r="J15" s="14"/>
      <c r="K15" s="4"/>
      <c r="L15" s="3"/>
    </row>
    <row r="16" spans="1:12" ht="15.75" thickBot="1" x14ac:dyDescent="0.25">
      <c r="A16" s="5"/>
      <c r="B16" s="17"/>
      <c r="C16" s="18"/>
      <c r="D16" s="18"/>
      <c r="E16" s="5"/>
      <c r="F16" s="5"/>
      <c r="G16" s="5"/>
      <c r="H16" s="17"/>
      <c r="I16" s="17"/>
      <c r="J16" s="17"/>
      <c r="K16" s="6"/>
      <c r="L16" s="3"/>
    </row>
    <row r="17" spans="1:12" ht="15.75" thickBot="1" x14ac:dyDescent="0.25">
      <c r="A17" s="9"/>
      <c r="B17" s="9"/>
      <c r="C17" s="10"/>
      <c r="D17" s="10"/>
      <c r="E17" s="9"/>
      <c r="F17" s="9"/>
      <c r="G17" s="9"/>
      <c r="H17" s="9"/>
      <c r="I17" s="9"/>
      <c r="J17" s="9"/>
      <c r="K17" s="10"/>
      <c r="L17" s="3"/>
    </row>
    <row r="18" spans="1:12" ht="23.25" customHeight="1" thickBot="1" x14ac:dyDescent="0.25">
      <c r="A18" s="609" t="s">
        <v>84</v>
      </c>
      <c r="B18" s="610"/>
      <c r="C18" s="610"/>
      <c r="D18" s="610"/>
      <c r="E18" s="610"/>
      <c r="F18" s="610"/>
      <c r="G18" s="610"/>
      <c r="H18" s="610"/>
      <c r="I18" s="610"/>
      <c r="J18" s="610"/>
      <c r="K18" s="611"/>
    </row>
    <row r="19" spans="1:12" ht="15.75" thickBot="1" x14ac:dyDescent="0.25">
      <c r="A19" s="25" t="s">
        <v>73</v>
      </c>
      <c r="B19" s="26" t="s">
        <v>74</v>
      </c>
      <c r="C19" s="25" t="s">
        <v>75</v>
      </c>
      <c r="D19" s="25" t="s">
        <v>76</v>
      </c>
      <c r="E19" s="25" t="s">
        <v>77</v>
      </c>
      <c r="F19" s="25" t="s">
        <v>78</v>
      </c>
      <c r="G19" s="25" t="s">
        <v>79</v>
      </c>
      <c r="H19" s="25" t="s">
        <v>80</v>
      </c>
      <c r="I19" s="25" t="s">
        <v>81</v>
      </c>
      <c r="J19" s="25" t="s">
        <v>82</v>
      </c>
      <c r="K19" s="25" t="s">
        <v>83</v>
      </c>
      <c r="L19" s="3"/>
    </row>
    <row r="20" spans="1:12" x14ac:dyDescent="0.2">
      <c r="A20" s="11"/>
      <c r="B20" s="11"/>
      <c r="C20" s="12"/>
      <c r="D20" s="12"/>
      <c r="E20" s="11"/>
      <c r="F20" s="11"/>
      <c r="G20" s="11"/>
      <c r="H20" s="11"/>
      <c r="I20" s="11"/>
      <c r="J20" s="11"/>
      <c r="K20" s="12"/>
      <c r="L20" s="3"/>
    </row>
    <row r="21" spans="1:12" x14ac:dyDescent="0.2">
      <c r="A21" s="19"/>
      <c r="B21" s="20"/>
      <c r="C21" s="19"/>
      <c r="D21" s="19"/>
      <c r="E21" s="19"/>
      <c r="F21" s="20"/>
      <c r="G21" s="19"/>
      <c r="H21" s="19"/>
      <c r="I21" s="19"/>
      <c r="J21" s="19"/>
      <c r="K21" s="19"/>
      <c r="L21" s="3"/>
    </row>
    <row r="22" spans="1:12" x14ac:dyDescent="0.2">
      <c r="A22" s="19"/>
      <c r="B22" s="20"/>
      <c r="C22" s="21"/>
      <c r="D22" s="21"/>
      <c r="E22" s="19"/>
      <c r="F22" s="20"/>
      <c r="G22" s="19"/>
      <c r="H22" s="19"/>
      <c r="I22" s="19"/>
      <c r="J22" s="19"/>
      <c r="K22" s="21"/>
      <c r="L22" s="3"/>
    </row>
    <row r="23" spans="1:12" x14ac:dyDescent="0.2">
      <c r="A23" s="19"/>
      <c r="B23" s="20"/>
      <c r="C23" s="21"/>
      <c r="D23" s="21"/>
      <c r="E23" s="19"/>
      <c r="F23" s="20"/>
      <c r="G23" s="19"/>
      <c r="H23" s="19"/>
      <c r="I23" s="19"/>
      <c r="J23" s="19"/>
      <c r="K23" s="21"/>
      <c r="L23" s="3"/>
    </row>
    <row r="24" spans="1:12" x14ac:dyDescent="0.2">
      <c r="A24" s="19"/>
      <c r="B24" s="20"/>
      <c r="C24" s="7"/>
      <c r="D24" s="21"/>
      <c r="E24" s="19"/>
      <c r="F24" s="20"/>
      <c r="G24" s="19"/>
      <c r="H24" s="19"/>
      <c r="I24" s="19"/>
      <c r="J24" s="19"/>
      <c r="K24" s="21"/>
      <c r="L24" s="3"/>
    </row>
    <row r="25" spans="1:12" x14ac:dyDescent="0.2">
      <c r="A25" s="19"/>
      <c r="B25" s="20"/>
      <c r="C25" s="7"/>
      <c r="D25" s="21"/>
      <c r="E25" s="19"/>
      <c r="F25" s="20"/>
      <c r="G25" s="19"/>
      <c r="H25" s="19"/>
      <c r="I25" s="19"/>
      <c r="J25" s="19"/>
      <c r="K25" s="21"/>
      <c r="L25" s="3"/>
    </row>
    <row r="26" spans="1:12" x14ac:dyDescent="0.2">
      <c r="A26" s="19"/>
      <c r="B26" s="20"/>
      <c r="C26" s="7"/>
      <c r="D26" s="21"/>
      <c r="E26" s="19"/>
      <c r="F26" s="20"/>
      <c r="G26" s="19"/>
      <c r="H26" s="19"/>
      <c r="I26" s="19"/>
      <c r="J26" s="19"/>
      <c r="K26" s="21"/>
      <c r="L26" s="3"/>
    </row>
    <row r="27" spans="1:12" x14ac:dyDescent="0.2">
      <c r="A27" s="19"/>
      <c r="B27" s="20"/>
      <c r="C27" s="22"/>
      <c r="D27" s="21"/>
      <c r="E27" s="19"/>
      <c r="F27" s="20"/>
      <c r="G27" s="19"/>
      <c r="H27" s="19"/>
      <c r="I27" s="19"/>
      <c r="J27" s="19"/>
      <c r="K27" s="21"/>
      <c r="L27" s="3"/>
    </row>
    <row r="28" spans="1:12" x14ac:dyDescent="0.2">
      <c r="A28" s="19"/>
      <c r="B28" s="20"/>
      <c r="C28" s="22"/>
      <c r="D28" s="21"/>
      <c r="E28" s="19"/>
      <c r="F28" s="20"/>
      <c r="G28" s="19"/>
      <c r="H28" s="19"/>
      <c r="I28" s="19"/>
      <c r="J28" s="19"/>
      <c r="K28" s="21"/>
      <c r="L28" s="3"/>
    </row>
    <row r="29" spans="1:12" x14ac:dyDescent="0.2">
      <c r="A29" s="19"/>
      <c r="B29" s="20"/>
      <c r="C29" s="22"/>
      <c r="D29" s="21"/>
      <c r="E29" s="19"/>
      <c r="F29" s="20"/>
      <c r="G29" s="19"/>
      <c r="H29" s="19"/>
      <c r="I29" s="19"/>
      <c r="J29" s="19"/>
      <c r="K29" s="7"/>
      <c r="L29" s="3"/>
    </row>
    <row r="30" spans="1:12" x14ac:dyDescent="0.2">
      <c r="A30" s="19"/>
      <c r="B30" s="20"/>
      <c r="C30" s="22"/>
      <c r="D30" s="21"/>
      <c r="E30" s="19"/>
      <c r="F30" s="20"/>
      <c r="G30" s="19"/>
      <c r="H30" s="19"/>
      <c r="I30" s="19"/>
      <c r="J30" s="19"/>
      <c r="K30" s="21"/>
      <c r="L30" s="3"/>
    </row>
    <row r="31" spans="1:12" x14ac:dyDescent="0.2">
      <c r="A31" s="19"/>
      <c r="B31" s="19"/>
      <c r="C31" s="21"/>
      <c r="D31" s="21"/>
      <c r="E31" s="19"/>
      <c r="F31" s="19"/>
      <c r="G31" s="19"/>
      <c r="H31" s="19"/>
      <c r="I31" s="19"/>
      <c r="J31" s="19"/>
      <c r="K31" s="21"/>
      <c r="L31" s="3"/>
    </row>
    <row r="32" spans="1:12" x14ac:dyDescent="0.2">
      <c r="A32" s="19"/>
      <c r="B32" s="20"/>
      <c r="C32" s="21"/>
      <c r="D32" s="21"/>
      <c r="E32" s="19"/>
      <c r="F32" s="20"/>
      <c r="G32" s="19"/>
      <c r="H32" s="19"/>
      <c r="I32" s="19"/>
      <c r="J32" s="19"/>
      <c r="K32" s="7"/>
    </row>
    <row r="33" spans="1:12" ht="15.75" thickBot="1" x14ac:dyDescent="0.25">
      <c r="A33" s="5"/>
      <c r="B33" s="23"/>
      <c r="C33" s="6"/>
      <c r="D33" s="6"/>
      <c r="E33" s="5"/>
      <c r="F33" s="23"/>
      <c r="G33" s="5"/>
      <c r="H33" s="5"/>
      <c r="I33" s="5"/>
      <c r="J33" s="5"/>
      <c r="K33" s="24"/>
    </row>
    <row r="34" spans="1:12" ht="15.75" thickBot="1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</row>
    <row r="35" spans="1:12" ht="23.25" customHeight="1" thickBot="1" x14ac:dyDescent="0.25">
      <c r="A35" s="609" t="s">
        <v>85</v>
      </c>
      <c r="B35" s="610"/>
      <c r="C35" s="610"/>
      <c r="D35" s="610"/>
      <c r="E35" s="610"/>
      <c r="F35" s="610"/>
      <c r="G35" s="610"/>
      <c r="H35" s="610"/>
      <c r="I35" s="610"/>
      <c r="J35" s="610"/>
      <c r="K35" s="611"/>
    </row>
    <row r="36" spans="1:12" ht="15.75" thickBot="1" x14ac:dyDescent="0.25">
      <c r="A36" s="25" t="s">
        <v>73</v>
      </c>
      <c r="B36" s="26" t="s">
        <v>74</v>
      </c>
      <c r="C36" s="25" t="s">
        <v>75</v>
      </c>
      <c r="D36" s="25" t="s">
        <v>76</v>
      </c>
      <c r="E36" s="25" t="s">
        <v>77</v>
      </c>
      <c r="F36" s="25" t="s">
        <v>78</v>
      </c>
      <c r="G36" s="25" t="s">
        <v>79</v>
      </c>
      <c r="H36" s="25" t="s">
        <v>80</v>
      </c>
      <c r="I36" s="25" t="s">
        <v>81</v>
      </c>
      <c r="J36" s="25" t="s">
        <v>82</v>
      </c>
      <c r="K36" s="25" t="s">
        <v>83</v>
      </c>
      <c r="L36" s="3"/>
    </row>
    <row r="37" spans="1:12" x14ac:dyDescent="0.2">
      <c r="A37" s="11"/>
      <c r="B37" s="11"/>
      <c r="C37" s="12"/>
      <c r="D37" s="12"/>
      <c r="E37" s="11"/>
      <c r="F37" s="11"/>
      <c r="G37" s="11"/>
      <c r="H37" s="11"/>
      <c r="I37" s="11"/>
      <c r="J37" s="11"/>
      <c r="K37" s="12"/>
      <c r="L37" s="3"/>
    </row>
    <row r="38" spans="1:12" x14ac:dyDescent="0.2">
      <c r="A38" s="19"/>
      <c r="B38" s="20"/>
      <c r="C38" s="19"/>
      <c r="D38" s="19"/>
      <c r="E38" s="19"/>
      <c r="F38" s="20"/>
      <c r="G38" s="19"/>
      <c r="H38" s="19"/>
      <c r="I38" s="19"/>
      <c r="J38" s="19"/>
      <c r="K38" s="19"/>
      <c r="L38" s="3"/>
    </row>
    <row r="39" spans="1:12" x14ac:dyDescent="0.2">
      <c r="A39" s="19"/>
      <c r="B39" s="20"/>
      <c r="C39" s="21"/>
      <c r="D39" s="21"/>
      <c r="E39" s="19"/>
      <c r="F39" s="20"/>
      <c r="G39" s="19"/>
      <c r="H39" s="19"/>
      <c r="I39" s="19"/>
      <c r="J39" s="19"/>
      <c r="K39" s="21"/>
      <c r="L39" s="3"/>
    </row>
    <row r="40" spans="1:12" x14ac:dyDescent="0.2">
      <c r="A40" s="19"/>
      <c r="B40" s="20"/>
      <c r="C40" s="21"/>
      <c r="D40" s="21"/>
      <c r="E40" s="19"/>
      <c r="F40" s="20"/>
      <c r="G40" s="19"/>
      <c r="H40" s="19"/>
      <c r="I40" s="19"/>
      <c r="J40" s="19"/>
      <c r="K40" s="21"/>
      <c r="L40" s="3"/>
    </row>
    <row r="41" spans="1:12" x14ac:dyDescent="0.2">
      <c r="A41" s="19"/>
      <c r="B41" s="20"/>
      <c r="C41" s="7"/>
      <c r="D41" s="21"/>
      <c r="E41" s="19"/>
      <c r="F41" s="20"/>
      <c r="G41" s="19"/>
      <c r="H41" s="19"/>
      <c r="I41" s="19"/>
      <c r="J41" s="19"/>
      <c r="K41" s="21"/>
      <c r="L41" s="3"/>
    </row>
    <row r="42" spans="1:12" x14ac:dyDescent="0.2">
      <c r="A42" s="19"/>
      <c r="B42" s="20"/>
      <c r="C42" s="7"/>
      <c r="D42" s="21"/>
      <c r="E42" s="19"/>
      <c r="F42" s="20"/>
      <c r="G42" s="19"/>
      <c r="H42" s="19"/>
      <c r="I42" s="19"/>
      <c r="J42" s="19"/>
      <c r="K42" s="21"/>
      <c r="L42" s="3"/>
    </row>
    <row r="43" spans="1:12" x14ac:dyDescent="0.2">
      <c r="A43" s="19"/>
      <c r="B43" s="20"/>
      <c r="C43" s="7"/>
      <c r="D43" s="21"/>
      <c r="E43" s="19"/>
      <c r="F43" s="20"/>
      <c r="G43" s="19"/>
      <c r="H43" s="19"/>
      <c r="I43" s="19"/>
      <c r="J43" s="19"/>
      <c r="K43" s="21"/>
      <c r="L43" s="3"/>
    </row>
    <row r="44" spans="1:12" x14ac:dyDescent="0.2">
      <c r="A44" s="19"/>
      <c r="B44" s="20"/>
      <c r="C44" s="22"/>
      <c r="D44" s="21"/>
      <c r="E44" s="19"/>
      <c r="F44" s="20"/>
      <c r="G44" s="19"/>
      <c r="H44" s="19"/>
      <c r="I44" s="19"/>
      <c r="J44" s="19"/>
      <c r="K44" s="21"/>
      <c r="L44" s="3"/>
    </row>
    <row r="45" spans="1:12" x14ac:dyDescent="0.2">
      <c r="A45" s="19"/>
      <c r="B45" s="20"/>
      <c r="C45" s="22"/>
      <c r="D45" s="21"/>
      <c r="E45" s="19"/>
      <c r="F45" s="20"/>
      <c r="G45" s="19"/>
      <c r="H45" s="19"/>
      <c r="I45" s="19"/>
      <c r="J45" s="19"/>
      <c r="K45" s="21"/>
      <c r="L45" s="3"/>
    </row>
    <row r="46" spans="1:12" x14ac:dyDescent="0.2">
      <c r="A46" s="19"/>
      <c r="B46" s="20"/>
      <c r="C46" s="22"/>
      <c r="D46" s="21"/>
      <c r="E46" s="19"/>
      <c r="F46" s="20"/>
      <c r="G46" s="19"/>
      <c r="H46" s="19"/>
      <c r="I46" s="19"/>
      <c r="J46" s="19"/>
      <c r="K46" s="7"/>
      <c r="L46" s="3"/>
    </row>
    <row r="47" spans="1:12" x14ac:dyDescent="0.2">
      <c r="A47" s="19"/>
      <c r="B47" s="20"/>
      <c r="C47" s="22"/>
      <c r="D47" s="21"/>
      <c r="E47" s="19"/>
      <c r="F47" s="20"/>
      <c r="G47" s="19"/>
      <c r="H47" s="19"/>
      <c r="I47" s="19"/>
      <c r="J47" s="19"/>
      <c r="K47" s="21"/>
      <c r="L47" s="3"/>
    </row>
    <row r="48" spans="1:12" x14ac:dyDescent="0.2">
      <c r="A48" s="19"/>
      <c r="B48" s="19"/>
      <c r="C48" s="21"/>
      <c r="D48" s="21"/>
      <c r="E48" s="19"/>
      <c r="F48" s="19"/>
      <c r="G48" s="19"/>
      <c r="H48" s="19"/>
      <c r="I48" s="19"/>
      <c r="J48" s="19"/>
      <c r="K48" s="21"/>
      <c r="L48" s="3"/>
    </row>
    <row r="49" spans="1:12" x14ac:dyDescent="0.2">
      <c r="A49" s="19"/>
      <c r="B49" s="20"/>
      <c r="C49" s="21"/>
      <c r="D49" s="21"/>
      <c r="E49" s="19"/>
      <c r="F49" s="20"/>
      <c r="G49" s="19"/>
      <c r="H49" s="19"/>
      <c r="I49" s="19"/>
      <c r="J49" s="19"/>
      <c r="K49" s="7"/>
    </row>
    <row r="50" spans="1:12" ht="15.75" thickBot="1" x14ac:dyDescent="0.25">
      <c r="A50" s="5"/>
      <c r="B50" s="23"/>
      <c r="C50" s="6"/>
      <c r="D50" s="6"/>
      <c r="E50" s="5"/>
      <c r="F50" s="23"/>
      <c r="G50" s="5"/>
      <c r="H50" s="5"/>
      <c r="I50" s="5"/>
      <c r="J50" s="5"/>
      <c r="K50" s="24"/>
    </row>
    <row r="51" spans="1:12" ht="15.75" thickBot="1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</row>
    <row r="52" spans="1:12" ht="23.25" customHeight="1" thickBot="1" x14ac:dyDescent="0.25">
      <c r="A52" s="609" t="s">
        <v>86</v>
      </c>
      <c r="B52" s="610"/>
      <c r="C52" s="610"/>
      <c r="D52" s="610"/>
      <c r="E52" s="610"/>
      <c r="F52" s="610"/>
      <c r="G52" s="610"/>
      <c r="H52" s="610"/>
      <c r="I52" s="610"/>
      <c r="J52" s="610"/>
      <c r="K52" s="611"/>
    </row>
    <row r="53" spans="1:12" ht="15.75" thickBot="1" x14ac:dyDescent="0.25">
      <c r="A53" s="25" t="s">
        <v>73</v>
      </c>
      <c r="B53" s="26" t="s">
        <v>74</v>
      </c>
      <c r="C53" s="25" t="s">
        <v>75</v>
      </c>
      <c r="D53" s="25" t="s">
        <v>76</v>
      </c>
      <c r="E53" s="25" t="s">
        <v>77</v>
      </c>
      <c r="F53" s="25" t="s">
        <v>78</v>
      </c>
      <c r="G53" s="25" t="s">
        <v>79</v>
      </c>
      <c r="H53" s="25" t="s">
        <v>80</v>
      </c>
      <c r="I53" s="25" t="s">
        <v>81</v>
      </c>
      <c r="J53" s="25" t="s">
        <v>82</v>
      </c>
      <c r="K53" s="25" t="s">
        <v>83</v>
      </c>
      <c r="L53" s="3"/>
    </row>
    <row r="54" spans="1:12" x14ac:dyDescent="0.2">
      <c r="A54" s="11"/>
      <c r="B54" s="11"/>
      <c r="C54" s="12"/>
      <c r="D54" s="12"/>
      <c r="E54" s="11"/>
      <c r="F54" s="11"/>
      <c r="G54" s="11"/>
      <c r="H54" s="11"/>
      <c r="I54" s="11"/>
      <c r="J54" s="11"/>
      <c r="K54" s="12"/>
      <c r="L54" s="3"/>
    </row>
    <row r="55" spans="1:12" x14ac:dyDescent="0.2">
      <c r="A55" s="19"/>
      <c r="B55" s="20"/>
      <c r="C55" s="19"/>
      <c r="D55" s="19"/>
      <c r="E55" s="19"/>
      <c r="F55" s="20"/>
      <c r="G55" s="19"/>
      <c r="H55" s="19"/>
      <c r="I55" s="19"/>
      <c r="J55" s="19"/>
      <c r="K55" s="19"/>
      <c r="L55" s="3"/>
    </row>
    <row r="56" spans="1:12" x14ac:dyDescent="0.2">
      <c r="A56" s="19"/>
      <c r="B56" s="20"/>
      <c r="C56" s="21"/>
      <c r="D56" s="21"/>
      <c r="E56" s="19"/>
      <c r="F56" s="20"/>
      <c r="G56" s="19"/>
      <c r="H56" s="19"/>
      <c r="I56" s="19"/>
      <c r="J56" s="19"/>
      <c r="K56" s="21"/>
      <c r="L56" s="3"/>
    </row>
    <row r="57" spans="1:12" x14ac:dyDescent="0.2">
      <c r="A57" s="19"/>
      <c r="B57" s="20"/>
      <c r="C57" s="21"/>
      <c r="D57" s="21"/>
      <c r="E57" s="19"/>
      <c r="F57" s="20"/>
      <c r="G57" s="19"/>
      <c r="H57" s="19"/>
      <c r="I57" s="19"/>
      <c r="J57" s="19"/>
      <c r="K57" s="21"/>
      <c r="L57" s="3"/>
    </row>
    <row r="58" spans="1:12" x14ac:dyDescent="0.2">
      <c r="A58" s="19"/>
      <c r="B58" s="20"/>
      <c r="C58" s="7"/>
      <c r="D58" s="21"/>
      <c r="E58" s="19"/>
      <c r="F58" s="20"/>
      <c r="G58" s="19"/>
      <c r="H58" s="19"/>
      <c r="I58" s="19"/>
      <c r="J58" s="19"/>
      <c r="K58" s="21"/>
      <c r="L58" s="3"/>
    </row>
    <row r="59" spans="1:12" x14ac:dyDescent="0.2">
      <c r="A59" s="19"/>
      <c r="B59" s="20"/>
      <c r="C59" s="7"/>
      <c r="D59" s="21"/>
      <c r="E59" s="19"/>
      <c r="F59" s="20"/>
      <c r="G59" s="19"/>
      <c r="H59" s="19"/>
      <c r="I59" s="19"/>
      <c r="J59" s="19"/>
      <c r="K59" s="21"/>
      <c r="L59" s="3"/>
    </row>
    <row r="60" spans="1:12" x14ac:dyDescent="0.2">
      <c r="A60" s="19"/>
      <c r="B60" s="20"/>
      <c r="C60" s="7"/>
      <c r="D60" s="21"/>
      <c r="E60" s="19"/>
      <c r="F60" s="20"/>
      <c r="G60" s="19"/>
      <c r="H60" s="19"/>
      <c r="I60" s="19"/>
      <c r="J60" s="19"/>
      <c r="K60" s="21"/>
      <c r="L60" s="3"/>
    </row>
    <row r="61" spans="1:12" x14ac:dyDescent="0.2">
      <c r="A61" s="19"/>
      <c r="B61" s="20"/>
      <c r="C61" s="22"/>
      <c r="D61" s="21"/>
      <c r="E61" s="19"/>
      <c r="F61" s="20"/>
      <c r="G61" s="19"/>
      <c r="H61" s="19"/>
      <c r="I61" s="19"/>
      <c r="J61" s="19"/>
      <c r="K61" s="21"/>
      <c r="L61" s="3"/>
    </row>
    <row r="62" spans="1:12" x14ac:dyDescent="0.2">
      <c r="A62" s="19"/>
      <c r="B62" s="20"/>
      <c r="C62" s="22"/>
      <c r="D62" s="21"/>
      <c r="E62" s="19"/>
      <c r="F62" s="20"/>
      <c r="G62" s="19"/>
      <c r="H62" s="19"/>
      <c r="I62" s="19"/>
      <c r="J62" s="19"/>
      <c r="K62" s="21"/>
      <c r="L62" s="3"/>
    </row>
    <row r="63" spans="1:12" x14ac:dyDescent="0.2">
      <c r="A63" s="19"/>
      <c r="B63" s="20"/>
      <c r="C63" s="22"/>
      <c r="D63" s="21"/>
      <c r="E63" s="19"/>
      <c r="F63" s="20"/>
      <c r="G63" s="19"/>
      <c r="H63" s="19"/>
      <c r="I63" s="19"/>
      <c r="J63" s="19"/>
      <c r="K63" s="7"/>
      <c r="L63" s="3"/>
    </row>
    <row r="64" spans="1:12" x14ac:dyDescent="0.2">
      <c r="A64" s="19"/>
      <c r="B64" s="20"/>
      <c r="C64" s="22"/>
      <c r="D64" s="21"/>
      <c r="E64" s="19"/>
      <c r="F64" s="20"/>
      <c r="G64" s="19"/>
      <c r="H64" s="19"/>
      <c r="I64" s="19"/>
      <c r="J64" s="19"/>
      <c r="K64" s="21"/>
      <c r="L64" s="3"/>
    </row>
    <row r="65" spans="1:12" x14ac:dyDescent="0.2">
      <c r="A65" s="19"/>
      <c r="B65" s="19"/>
      <c r="C65" s="21"/>
      <c r="D65" s="21"/>
      <c r="E65" s="19"/>
      <c r="F65" s="19"/>
      <c r="G65" s="19"/>
      <c r="H65" s="19"/>
      <c r="I65" s="19"/>
      <c r="J65" s="19"/>
      <c r="K65" s="21"/>
      <c r="L65" s="3"/>
    </row>
    <row r="66" spans="1:12" x14ac:dyDescent="0.2">
      <c r="A66" s="19"/>
      <c r="B66" s="20"/>
      <c r="C66" s="21"/>
      <c r="D66" s="21"/>
      <c r="E66" s="19"/>
      <c r="F66" s="20"/>
      <c r="G66" s="19"/>
      <c r="H66" s="19"/>
      <c r="I66" s="19"/>
      <c r="J66" s="19"/>
      <c r="K66" s="7"/>
    </row>
    <row r="67" spans="1:12" ht="15.75" thickBot="1" x14ac:dyDescent="0.25">
      <c r="A67" s="5"/>
      <c r="B67" s="23"/>
      <c r="C67" s="6"/>
      <c r="D67" s="6"/>
      <c r="E67" s="5"/>
      <c r="F67" s="23"/>
      <c r="G67" s="5"/>
      <c r="H67" s="5"/>
      <c r="I67" s="5"/>
      <c r="J67" s="5"/>
      <c r="K67" s="24"/>
    </row>
    <row r="68" spans="1:12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</row>
    <row r="69" spans="1:12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</row>
    <row r="70" spans="1:12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</row>
    <row r="71" spans="1:12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</row>
    <row r="72" spans="1:12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</row>
    <row r="73" spans="1:12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</row>
    <row r="74" spans="1:12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</row>
    <row r="75" spans="1:12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</row>
    <row r="76" spans="1:12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</row>
    <row r="77" spans="1:12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</row>
    <row r="78" spans="1:12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</row>
    <row r="79" spans="1:12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</row>
    <row r="80" spans="1:12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</row>
    <row r="81" spans="1:11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</row>
    <row r="82" spans="1:11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</row>
    <row r="83" spans="1:11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</row>
    <row r="84" spans="1:11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</row>
    <row r="85" spans="1:11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</row>
    <row r="86" spans="1:11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</row>
    <row r="87" spans="1:11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</row>
    <row r="88" spans="1:11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</row>
    <row r="89" spans="1:11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</row>
    <row r="90" spans="1:11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</row>
    <row r="91" spans="1:11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</row>
    <row r="92" spans="1:11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</row>
    <row r="93" spans="1:11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</row>
    <row r="94" spans="1:11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</row>
    <row r="95" spans="1:11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</row>
    <row r="96" spans="1:11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</row>
    <row r="97" spans="1:11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</row>
    <row r="104" spans="1:11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</row>
    <row r="105" spans="1:11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</row>
    <row r="106" spans="1:11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</row>
    <row r="107" spans="1:11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</row>
    <row r="108" spans="1:11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</row>
    <row r="109" spans="1:11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</row>
    <row r="110" spans="1:11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</row>
    <row r="111" spans="1:11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</row>
    <row r="112" spans="1:11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</row>
  </sheetData>
  <mergeCells count="4">
    <mergeCell ref="A1:K1"/>
    <mergeCell ref="A18:K18"/>
    <mergeCell ref="A35:K35"/>
    <mergeCell ref="A52:K52"/>
  </mergeCells>
  <pageMargins left="0.25" right="0.25" top="0.44" bottom="0.46" header="0.44" footer="0.26"/>
  <pageSetup paperSize="9" scale="94" orientation="landscape" horizontalDpi="300" verticalDpi="300" r:id="rId1"/>
  <headerFooter alignWithMargins="0">
    <oddFooter>&amp;L&amp;8erstellt &amp;D&amp;C&amp;8&amp;F&amp;R&amp;8Johannes Timpel</oddFooter>
  </headerFooter>
  <rowBreaks count="3" manualBreakCount="3">
    <brk id="17" max="16383" man="1"/>
    <brk id="34" max="16383" man="1"/>
    <brk id="51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555A0-738B-4F91-9E95-F0C5B1ABA385}">
  <sheetPr codeName="Tabelle9"/>
  <dimension ref="A1:G19"/>
  <sheetViews>
    <sheetView workbookViewId="0"/>
  </sheetViews>
  <sheetFormatPr baseColWidth="10" defaultRowHeight="15" x14ac:dyDescent="0.2"/>
  <sheetData>
    <row r="1" spans="1:7" x14ac:dyDescent="0.2">
      <c r="A1" t="s">
        <v>92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  <c r="G1" t="s">
        <v>98</v>
      </c>
    </row>
    <row r="2" spans="1:7" x14ac:dyDescent="0.2">
      <c r="A2">
        <v>10</v>
      </c>
      <c r="B2" s="161">
        <v>0</v>
      </c>
      <c r="C2" s="161">
        <v>0.33333333333333331</v>
      </c>
      <c r="D2">
        <v>19</v>
      </c>
      <c r="E2">
        <v>4</v>
      </c>
      <c r="F2">
        <v>3</v>
      </c>
      <c r="G2" t="s">
        <v>99</v>
      </c>
    </row>
    <row r="3" spans="1:7" x14ac:dyDescent="0.2">
      <c r="A3">
        <v>10</v>
      </c>
      <c r="B3" s="161">
        <v>0</v>
      </c>
      <c r="C3" s="161">
        <v>0.33333333333333331</v>
      </c>
      <c r="D3">
        <v>4</v>
      </c>
      <c r="E3">
        <v>13</v>
      </c>
      <c r="F3">
        <v>12</v>
      </c>
      <c r="G3" t="s">
        <v>99</v>
      </c>
    </row>
    <row r="4" spans="1:7" x14ac:dyDescent="0.2">
      <c r="A4">
        <v>10</v>
      </c>
      <c r="B4" s="161">
        <v>0</v>
      </c>
      <c r="C4" s="161">
        <v>0.35416666666666669</v>
      </c>
      <c r="D4">
        <v>10</v>
      </c>
      <c r="E4">
        <v>16</v>
      </c>
      <c r="F4">
        <v>15</v>
      </c>
      <c r="G4" t="s">
        <v>102</v>
      </c>
    </row>
    <row r="5" spans="1:7" x14ac:dyDescent="0.2">
      <c r="A5">
        <v>10</v>
      </c>
      <c r="B5" s="161">
        <v>0</v>
      </c>
      <c r="C5" s="161">
        <v>0.375</v>
      </c>
      <c r="D5">
        <v>13</v>
      </c>
      <c r="E5">
        <v>4</v>
      </c>
      <c r="F5">
        <v>3</v>
      </c>
      <c r="G5" t="s">
        <v>101</v>
      </c>
    </row>
    <row r="6" spans="1:7" x14ac:dyDescent="0.2">
      <c r="A6">
        <v>40</v>
      </c>
      <c r="B6" s="161">
        <v>0</v>
      </c>
      <c r="C6" s="161">
        <v>0.35416666666666669</v>
      </c>
      <c r="D6">
        <v>16</v>
      </c>
      <c r="E6">
        <v>7</v>
      </c>
      <c r="F6">
        <v>6</v>
      </c>
      <c r="G6" t="s">
        <v>102</v>
      </c>
    </row>
    <row r="7" spans="1:7" x14ac:dyDescent="0.2">
      <c r="A7">
        <v>50</v>
      </c>
      <c r="B7" s="161">
        <v>0</v>
      </c>
      <c r="C7" s="161">
        <v>0.33333333333333331</v>
      </c>
      <c r="D7">
        <v>16</v>
      </c>
      <c r="E7">
        <v>13</v>
      </c>
      <c r="F7">
        <v>12</v>
      </c>
      <c r="G7" t="s">
        <v>99</v>
      </c>
    </row>
    <row r="8" spans="1:7" x14ac:dyDescent="0.2">
      <c r="A8">
        <v>50</v>
      </c>
      <c r="B8" s="161">
        <v>0</v>
      </c>
      <c r="C8" s="161">
        <v>0.34375</v>
      </c>
      <c r="D8">
        <v>13</v>
      </c>
      <c r="E8">
        <v>10</v>
      </c>
      <c r="F8">
        <v>9</v>
      </c>
      <c r="G8" t="s">
        <v>103</v>
      </c>
    </row>
    <row r="9" spans="1:7" x14ac:dyDescent="0.2">
      <c r="A9">
        <v>50</v>
      </c>
      <c r="B9" s="161">
        <v>0</v>
      </c>
      <c r="C9" s="161">
        <v>0.36458333333333331</v>
      </c>
      <c r="D9">
        <v>19</v>
      </c>
      <c r="E9">
        <v>16</v>
      </c>
      <c r="F9">
        <v>15</v>
      </c>
      <c r="G9" t="s">
        <v>104</v>
      </c>
    </row>
    <row r="10" spans="1:7" x14ac:dyDescent="0.2">
      <c r="A10">
        <v>80</v>
      </c>
      <c r="B10" s="161">
        <v>0</v>
      </c>
      <c r="C10" s="161">
        <v>0.33333333333333331</v>
      </c>
      <c r="D10">
        <v>4</v>
      </c>
      <c r="E10">
        <v>4</v>
      </c>
      <c r="F10">
        <v>3</v>
      </c>
      <c r="G10" t="s">
        <v>99</v>
      </c>
    </row>
    <row r="11" spans="1:7" x14ac:dyDescent="0.2">
      <c r="A11">
        <v>375</v>
      </c>
      <c r="B11" s="161">
        <v>0</v>
      </c>
      <c r="C11" s="161">
        <v>0</v>
      </c>
      <c r="D11">
        <v>14</v>
      </c>
      <c r="E11">
        <v>4</v>
      </c>
      <c r="F11">
        <v>3</v>
      </c>
      <c r="G11" t="s">
        <v>100</v>
      </c>
    </row>
    <row r="12" spans="1:7" x14ac:dyDescent="0.2">
      <c r="A12">
        <v>34375</v>
      </c>
      <c r="B12" s="161">
        <v>0</v>
      </c>
      <c r="C12" s="161">
        <v>0</v>
      </c>
      <c r="D12">
        <v>14</v>
      </c>
      <c r="E12">
        <v>10</v>
      </c>
      <c r="F12">
        <v>9</v>
      </c>
      <c r="G12" t="s">
        <v>100</v>
      </c>
    </row>
    <row r="13" spans="1:7" x14ac:dyDescent="0.2">
      <c r="A13">
        <v>333333333333333</v>
      </c>
      <c r="B13" s="161">
        <v>0</v>
      </c>
      <c r="C13" s="161">
        <v>0</v>
      </c>
      <c r="D13">
        <v>5</v>
      </c>
      <c r="E13">
        <v>4</v>
      </c>
      <c r="F13">
        <v>3</v>
      </c>
      <c r="G13" t="s">
        <v>100</v>
      </c>
    </row>
    <row r="14" spans="1:7" x14ac:dyDescent="0.2">
      <c r="A14">
        <v>333333333333333</v>
      </c>
      <c r="B14" s="161">
        <v>0</v>
      </c>
      <c r="C14" s="161">
        <v>0</v>
      </c>
      <c r="D14">
        <v>20</v>
      </c>
      <c r="E14">
        <v>4</v>
      </c>
      <c r="F14">
        <v>3</v>
      </c>
      <c r="G14" t="s">
        <v>100</v>
      </c>
    </row>
    <row r="15" spans="1:7" x14ac:dyDescent="0.2">
      <c r="A15">
        <v>333333333333333</v>
      </c>
      <c r="B15" s="161">
        <v>0</v>
      </c>
      <c r="C15" s="161">
        <v>0</v>
      </c>
      <c r="D15">
        <v>5</v>
      </c>
      <c r="E15">
        <v>13</v>
      </c>
      <c r="F15">
        <v>12</v>
      </c>
      <c r="G15" t="s">
        <v>100</v>
      </c>
    </row>
    <row r="16" spans="1:7" x14ac:dyDescent="0.2">
      <c r="A16">
        <v>333333333333333</v>
      </c>
      <c r="B16" s="161">
        <v>0</v>
      </c>
      <c r="C16" s="161">
        <v>0</v>
      </c>
      <c r="D16">
        <v>17</v>
      </c>
      <c r="E16">
        <v>13</v>
      </c>
      <c r="F16">
        <v>12</v>
      </c>
      <c r="G16" t="s">
        <v>100</v>
      </c>
    </row>
    <row r="17" spans="1:7" x14ac:dyDescent="0.2">
      <c r="A17">
        <v>354166666666667</v>
      </c>
      <c r="B17" s="161">
        <v>0</v>
      </c>
      <c r="C17" s="161">
        <v>0</v>
      </c>
      <c r="D17">
        <v>17</v>
      </c>
      <c r="E17">
        <v>7</v>
      </c>
      <c r="F17">
        <v>6</v>
      </c>
      <c r="G17" t="s">
        <v>100</v>
      </c>
    </row>
    <row r="18" spans="1:7" x14ac:dyDescent="0.2">
      <c r="A18">
        <v>354166666666667</v>
      </c>
      <c r="B18" s="161">
        <v>0</v>
      </c>
      <c r="C18" s="161">
        <v>0</v>
      </c>
      <c r="D18">
        <v>11</v>
      </c>
      <c r="E18">
        <v>16</v>
      </c>
      <c r="F18">
        <v>15</v>
      </c>
      <c r="G18" t="s">
        <v>100</v>
      </c>
    </row>
    <row r="19" spans="1:7" x14ac:dyDescent="0.2">
      <c r="A19">
        <v>364583333333333</v>
      </c>
      <c r="B19" s="161">
        <v>0</v>
      </c>
      <c r="C19" s="161">
        <v>0</v>
      </c>
      <c r="D19">
        <v>20</v>
      </c>
      <c r="E19">
        <v>16</v>
      </c>
      <c r="F19">
        <v>15</v>
      </c>
      <c r="G19" t="s">
        <v>100</v>
      </c>
    </row>
  </sheetData>
  <sortState xmlns:xlrd2="http://schemas.microsoft.com/office/spreadsheetml/2017/richdata2" ref="A2:G19">
    <sortCondition ref="A2"/>
    <sortCondition ref="G2"/>
  </sortState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04cf348-bf7c-48a8-a558-45a0eb7258a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12A0C41309C3044BF39EEC07144D73C" ma:contentTypeVersion="12" ma:contentTypeDescription="Ein neues Dokument erstellen." ma:contentTypeScope="" ma:versionID="f975ea22194ece7200a8a413282aa713">
  <xsd:schema xmlns:xsd="http://www.w3.org/2001/XMLSchema" xmlns:xs="http://www.w3.org/2001/XMLSchema" xmlns:p="http://schemas.microsoft.com/office/2006/metadata/properties" xmlns:ns2="004cf348-bf7c-48a8-a558-45a0eb7258a1" xmlns:ns3="684e08f1-bad3-4788-a2ee-caa68e0db376" targetNamespace="http://schemas.microsoft.com/office/2006/metadata/properties" ma:root="true" ma:fieldsID="83ed6472869be298de63ec88744f24dd" ns2:_="" ns3:_="">
    <xsd:import namespace="004cf348-bf7c-48a8-a558-45a0eb7258a1"/>
    <xsd:import namespace="684e08f1-bad3-4788-a2ee-caa68e0db37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4cf348-bf7c-48a8-a558-45a0eb725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Bildmarkierungen" ma:readOnly="false" ma:fieldId="{5cf76f15-5ced-4ddc-b409-7134ff3c332f}" ma:taxonomyMulti="true" ma:sspId="fdd0ed1d-c717-4483-8842-e4e93f781d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4e08f1-bad3-4788-a2ee-caa68e0db37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B4E509-EE20-486B-8FA4-1649205A01D4}">
  <ds:schemaRefs>
    <ds:schemaRef ds:uri="http://schemas.microsoft.com/office/2006/metadata/properties"/>
    <ds:schemaRef ds:uri="http://schemas.microsoft.com/office/infopath/2007/PartnerControls"/>
    <ds:schemaRef ds:uri="004cf348-bf7c-48a8-a558-45a0eb7258a1"/>
  </ds:schemaRefs>
</ds:datastoreItem>
</file>

<file path=customXml/itemProps2.xml><?xml version="1.0" encoding="utf-8"?>
<ds:datastoreItem xmlns:ds="http://schemas.openxmlformats.org/officeDocument/2006/customXml" ds:itemID="{D509046D-CD90-4381-9C36-04A8E268F7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4B956E-0A0E-4A51-818F-327E7E131D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04cf348-bf7c-48a8-a558-45a0eb7258a1"/>
    <ds:schemaRef ds:uri="684e08f1-bad3-4788-a2ee-caa68e0db3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5</vt:i4>
      </vt:variant>
    </vt:vector>
  </HeadingPairs>
  <TitlesOfParts>
    <vt:vector size="11" baseType="lpstr">
      <vt:lpstr>Tourenplan Dispo</vt:lpstr>
      <vt:lpstr>Wochenplan SC Graz</vt:lpstr>
      <vt:lpstr>Wochenplan SC Klagenfurt</vt:lpstr>
      <vt:lpstr>Wochenplan SC Innsbruck</vt:lpstr>
      <vt:lpstr>Wochenplan SC Bregenz</vt:lpstr>
      <vt:lpstr>SYWA-KW12_fein</vt:lpstr>
      <vt:lpstr>'Tourenplan Dispo'!Druckbereich</vt:lpstr>
      <vt:lpstr>'Wochenplan SC Bregenz'!Druckbereich</vt:lpstr>
      <vt:lpstr>'Wochenplan SC Graz'!Druckbereich</vt:lpstr>
      <vt:lpstr>'Wochenplan SC Innsbruck'!Druckbereich</vt:lpstr>
      <vt:lpstr>'Wochenplan SC Klagenfurt'!Druckbereich</vt:lpstr>
    </vt:vector>
  </TitlesOfParts>
  <Manager/>
  <Company>Bene Büromöbel KG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Johannes Timpel</dc:creator>
  <cp:keywords/>
  <dc:description/>
  <cp:lastModifiedBy>Zellhofer Erik</cp:lastModifiedBy>
  <cp:revision/>
  <dcterms:created xsi:type="dcterms:W3CDTF">2002-09-26T11:45:10Z</dcterms:created>
  <dcterms:modified xsi:type="dcterms:W3CDTF">2025-03-06T11:46:43Z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0x010100A12A0C41309C3044BF39EEC07144D73C</vt:lpwstr>
  </property>
  <property fmtid="{D5CDD505-2E9C-101B-9397-08002B2CF9AE}" pid="3" name="MediaServiceImageTags">
    <vt:lpwstr/>
  </property>
</Properties>
</file>